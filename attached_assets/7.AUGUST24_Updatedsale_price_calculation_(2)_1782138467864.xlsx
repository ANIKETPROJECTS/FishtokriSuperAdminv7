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. ATHA FOODS\ACCOUNTS\1. DAILY ACCOUNTING\PRODUCT CALCULATION\"/>
    </mc:Choice>
  </mc:AlternateContent>
  <bookViews>
    <workbookView xWindow="-120" yWindow="-120" windowWidth="20730" windowHeight="11160"/>
  </bookViews>
  <sheets>
    <sheet name="NETT WEIGHT" sheetId="1" r:id="rId1"/>
    <sheet name="GROSS WEIGHT" sheetId="2" r:id="rId2"/>
    <sheet name="MEAT" sheetId="10" r:id="rId3"/>
    <sheet name="PACKAGING COSTS" sheetId="3" r:id="rId4"/>
    <sheet name="DELIVERY COSTS" sheetId="4" r:id="rId5"/>
    <sheet name="Sheet1" sheetId="9" r:id="rId6"/>
    <sheet name="DRY FISH" sheetId="11" r:id="rId7"/>
  </sheets>
  <definedNames>
    <definedName name="_xlnm._FilterDatabase" localSheetId="1" hidden="1">'GROSS WEIGHT'!$A$3:$Q$980</definedName>
    <definedName name="_xlnm._FilterDatabase" localSheetId="0" hidden="1">'NETT WEIGHT'!$A$7:$LF$1636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35" i="1" l="1"/>
  <c r="F1635" i="1"/>
  <c r="H1635" i="1" s="1"/>
  <c r="K1635" i="1" l="1"/>
  <c r="L1635" i="1" s="1"/>
  <c r="Q1635" i="1" l="1"/>
  <c r="O1635" i="1"/>
  <c r="E980" i="2" l="1"/>
  <c r="H980" i="2" s="1"/>
  <c r="I980" i="2" s="1"/>
  <c r="M980" i="2" s="1"/>
  <c r="E979" i="2"/>
  <c r="H979" i="2" s="1"/>
  <c r="E978" i="2"/>
  <c r="H978" i="2" s="1"/>
  <c r="I978" i="2" s="1"/>
  <c r="N978" i="2" s="1"/>
  <c r="E977" i="2"/>
  <c r="H977" i="2" s="1"/>
  <c r="I977" i="2" s="1"/>
  <c r="F1634" i="1"/>
  <c r="H1634" i="1" s="1"/>
  <c r="K1634" i="1" s="1"/>
  <c r="L1634" i="1" s="1"/>
  <c r="O1634" i="1" s="1"/>
  <c r="G1634" i="1"/>
  <c r="F1633" i="1"/>
  <c r="H1633" i="1" s="1"/>
  <c r="K1633" i="1" s="1"/>
  <c r="L1633" i="1" s="1"/>
  <c r="G1633" i="1"/>
  <c r="G1632" i="1"/>
  <c r="F1632" i="1"/>
  <c r="H1632" i="1" s="1"/>
  <c r="I979" i="2" l="1"/>
  <c r="Q980" i="2"/>
  <c r="N980" i="2"/>
  <c r="N977" i="2"/>
  <c r="K977" i="2"/>
  <c r="Q977" i="2"/>
  <c r="J978" i="2"/>
  <c r="Q978" i="2"/>
  <c r="Q1633" i="1"/>
  <c r="O1633" i="1"/>
  <c r="Q1634" i="1"/>
  <c r="K1632" i="1"/>
  <c r="L1632" i="1" s="1"/>
  <c r="F1631" i="1"/>
  <c r="H1631" i="1" s="1"/>
  <c r="K1631" i="1" s="1"/>
  <c r="L1631" i="1" s="1"/>
  <c r="G1631" i="1"/>
  <c r="G1630" i="1"/>
  <c r="F1630" i="1"/>
  <c r="H1630" i="1" s="1"/>
  <c r="K1630" i="1" s="1"/>
  <c r="L1630" i="1" s="1"/>
  <c r="E976" i="2"/>
  <c r="H976" i="2" s="1"/>
  <c r="I976" i="2" s="1"/>
  <c r="K976" i="2" s="1"/>
  <c r="N979" i="2" l="1"/>
  <c r="L979" i="2"/>
  <c r="Q979" i="2"/>
  <c r="Q1632" i="1"/>
  <c r="O1632" i="1"/>
  <c r="Q1630" i="1"/>
  <c r="M1630" i="1"/>
  <c r="Q1631" i="1"/>
  <c r="M1631" i="1"/>
  <c r="N976" i="2"/>
  <c r="Q976" i="2"/>
  <c r="E975" i="2" l="1"/>
  <c r="H975" i="2" s="1"/>
  <c r="I975" i="2" s="1"/>
  <c r="E974" i="2"/>
  <c r="H974" i="2" s="1"/>
  <c r="F1629" i="1"/>
  <c r="H1629" i="1" s="1"/>
  <c r="G1629" i="1"/>
  <c r="G1628" i="1"/>
  <c r="F1628" i="1"/>
  <c r="H1628" i="1" s="1"/>
  <c r="G1627" i="1"/>
  <c r="F1627" i="1"/>
  <c r="H1627" i="1" s="1"/>
  <c r="K1627" i="1" s="1"/>
  <c r="L1627" i="1" s="1"/>
  <c r="F1626" i="1"/>
  <c r="H1626" i="1" s="1"/>
  <c r="K1626" i="1" s="1"/>
  <c r="L1626" i="1" s="1"/>
  <c r="G1626" i="1"/>
  <c r="N975" i="2" l="1"/>
  <c r="J975" i="2"/>
  <c r="I974" i="2"/>
  <c r="Q975" i="2"/>
  <c r="K1629" i="1"/>
  <c r="L1629" i="1" s="1"/>
  <c r="K1628" i="1"/>
  <c r="L1628" i="1" s="1"/>
  <c r="Q1627" i="1"/>
  <c r="O1627" i="1"/>
  <c r="Q1626" i="1"/>
  <c r="O1626" i="1"/>
  <c r="G1625" i="1"/>
  <c r="F1625" i="1"/>
  <c r="H1625" i="1" s="1"/>
  <c r="K1625" i="1" s="1"/>
  <c r="L1625" i="1" s="1"/>
  <c r="G1624" i="1"/>
  <c r="F1624" i="1"/>
  <c r="H1624" i="1" s="1"/>
  <c r="K1624" i="1" s="1"/>
  <c r="L1624" i="1" s="1"/>
  <c r="G1623" i="1"/>
  <c r="F1623" i="1"/>
  <c r="H1623" i="1" s="1"/>
  <c r="N974" i="2" l="1"/>
  <c r="J974" i="2"/>
  <c r="Q974" i="2"/>
  <c r="Q1629" i="1"/>
  <c r="O1629" i="1"/>
  <c r="Q1628" i="1"/>
  <c r="O1628" i="1"/>
  <c r="Q1625" i="1"/>
  <c r="O1625" i="1"/>
  <c r="M1625" i="1"/>
  <c r="Q1624" i="1"/>
  <c r="O1624" i="1"/>
  <c r="K1623" i="1"/>
  <c r="L1623" i="1" s="1"/>
  <c r="E968" i="2"/>
  <c r="H968" i="2" s="1"/>
  <c r="I968" i="2" s="1"/>
  <c r="G1616" i="1"/>
  <c r="F1616" i="1"/>
  <c r="Q1623" i="1" l="1"/>
  <c r="O1623" i="1"/>
  <c r="N968" i="2"/>
  <c r="H1616" i="1"/>
  <c r="G1619" i="1"/>
  <c r="F1619" i="1"/>
  <c r="H1619" i="1" s="1"/>
  <c r="K1619" i="1" s="1"/>
  <c r="F1618" i="1"/>
  <c r="H1618" i="1" s="1"/>
  <c r="F1617" i="1"/>
  <c r="H1617" i="1" s="1"/>
  <c r="K1617" i="1" s="1"/>
  <c r="L1617" i="1" s="1"/>
  <c r="O1617" i="1" s="1"/>
  <c r="G1618" i="1"/>
  <c r="G1617" i="1"/>
  <c r="F1611" i="1"/>
  <c r="H1611" i="1" s="1"/>
  <c r="G1611" i="1"/>
  <c r="F1610" i="1"/>
  <c r="H1610" i="1" s="1"/>
  <c r="G1610" i="1"/>
  <c r="G1622" i="1"/>
  <c r="F1622" i="1"/>
  <c r="H1622" i="1" s="1"/>
  <c r="G1621" i="1"/>
  <c r="F1621" i="1"/>
  <c r="H1621" i="1" s="1"/>
  <c r="G1620" i="1"/>
  <c r="F1620" i="1"/>
  <c r="H1620" i="1" s="1"/>
  <c r="E973" i="2"/>
  <c r="H973" i="2" s="1"/>
  <c r="E972" i="2"/>
  <c r="H972" i="2" s="1"/>
  <c r="I972" i="2" s="1"/>
  <c r="E971" i="2"/>
  <c r="H971" i="2" s="1"/>
  <c r="E970" i="2"/>
  <c r="E969" i="2"/>
  <c r="H969" i="2" s="1"/>
  <c r="F1615" i="1"/>
  <c r="H1615" i="1" s="1"/>
  <c r="K1615" i="1" s="1"/>
  <c r="L1615" i="1" s="1"/>
  <c r="O1615" i="1" s="1"/>
  <c r="G1615" i="1"/>
  <c r="F1614" i="1"/>
  <c r="H1614" i="1" s="1"/>
  <c r="G1614" i="1"/>
  <c r="Q968" i="2" l="1"/>
  <c r="K1618" i="1"/>
  <c r="L1618" i="1" s="1"/>
  <c r="O1618" i="1" s="1"/>
  <c r="K1616" i="1"/>
  <c r="L1616" i="1" s="1"/>
  <c r="O1616" i="1" s="1"/>
  <c r="L1619" i="1"/>
  <c r="O1619" i="1" s="1"/>
  <c r="K1622" i="1"/>
  <c r="L1622" i="1" s="1"/>
  <c r="Q1617" i="1"/>
  <c r="K1611" i="1"/>
  <c r="L1611" i="1" s="1"/>
  <c r="K1610" i="1"/>
  <c r="L1610" i="1" s="1"/>
  <c r="K1621" i="1"/>
  <c r="L1621" i="1" s="1"/>
  <c r="K1620" i="1"/>
  <c r="L1620" i="1" s="1"/>
  <c r="M1620" i="1" s="1"/>
  <c r="I973" i="2"/>
  <c r="J972" i="2"/>
  <c r="Q972" i="2"/>
  <c r="N972" i="2"/>
  <c r="I971" i="2"/>
  <c r="H970" i="2"/>
  <c r="I969" i="2"/>
  <c r="K1614" i="1"/>
  <c r="L1614" i="1" s="1"/>
  <c r="Q1615" i="1"/>
  <c r="G1613" i="1"/>
  <c r="F1613" i="1"/>
  <c r="H1613" i="1" s="1"/>
  <c r="G1612" i="1"/>
  <c r="F1612" i="1"/>
  <c r="H1612" i="1" s="1"/>
  <c r="E967" i="2"/>
  <c r="H967" i="2" s="1"/>
  <c r="I967" i="2" s="1"/>
  <c r="K967" i="2" s="1"/>
  <c r="E966" i="2"/>
  <c r="H966" i="2" s="1"/>
  <c r="E965" i="2"/>
  <c r="F1609" i="1"/>
  <c r="H1609" i="1" s="1"/>
  <c r="K1609" i="1" s="1"/>
  <c r="L1609" i="1" s="1"/>
  <c r="O1609" i="1" s="1"/>
  <c r="G1609" i="1"/>
  <c r="F1608" i="1"/>
  <c r="H1608" i="1" s="1"/>
  <c r="G1608" i="1"/>
  <c r="F1607" i="1"/>
  <c r="H1607" i="1" s="1"/>
  <c r="K1607" i="1" s="1"/>
  <c r="L1607" i="1" s="1"/>
  <c r="O1607" i="1" s="1"/>
  <c r="G1607" i="1"/>
  <c r="G1606" i="1"/>
  <c r="F1606" i="1"/>
  <c r="H1606" i="1" s="1"/>
  <c r="K1606" i="1" s="1"/>
  <c r="L1606" i="1" s="1"/>
  <c r="G1605" i="1"/>
  <c r="F1605" i="1"/>
  <c r="H1605" i="1" s="1"/>
  <c r="G1604" i="1"/>
  <c r="F1604" i="1"/>
  <c r="H1604" i="1" s="1"/>
  <c r="E963" i="2"/>
  <c r="E964" i="2"/>
  <c r="G1603" i="1"/>
  <c r="F1603" i="1"/>
  <c r="H1603" i="1" s="1"/>
  <c r="F1602" i="1"/>
  <c r="H1602" i="1" s="1"/>
  <c r="K1602" i="1" s="1"/>
  <c r="L1602" i="1" s="1"/>
  <c r="G1602" i="1"/>
  <c r="F1601" i="1"/>
  <c r="H1601" i="1" s="1"/>
  <c r="G1601" i="1"/>
  <c r="F1600" i="1"/>
  <c r="H1600" i="1" s="1"/>
  <c r="G1600" i="1"/>
  <c r="E961" i="2"/>
  <c r="H961" i="2" s="1"/>
  <c r="E962" i="2"/>
  <c r="Q1616" i="1" l="1"/>
  <c r="Q1618" i="1"/>
  <c r="O1622" i="1"/>
  <c r="Q1622" i="1"/>
  <c r="Q1611" i="1"/>
  <c r="O1611" i="1"/>
  <c r="Q1610" i="1"/>
  <c r="O1610" i="1"/>
  <c r="Q1621" i="1"/>
  <c r="M1621" i="1"/>
  <c r="Q1620" i="1"/>
  <c r="N973" i="2"/>
  <c r="J973" i="2"/>
  <c r="Q973" i="2"/>
  <c r="M971" i="2"/>
  <c r="N971" i="2"/>
  <c r="Q971" i="2"/>
  <c r="I970" i="2"/>
  <c r="N969" i="2"/>
  <c r="M969" i="2"/>
  <c r="Q969" i="2"/>
  <c r="O1614" i="1"/>
  <c r="Q1614" i="1"/>
  <c r="K1613" i="1"/>
  <c r="L1613" i="1" s="1"/>
  <c r="K1612" i="1"/>
  <c r="L1612" i="1" s="1"/>
  <c r="Q967" i="2"/>
  <c r="I966" i="2"/>
  <c r="H965" i="2"/>
  <c r="K1608" i="1"/>
  <c r="L1608" i="1" s="1"/>
  <c r="Q1609" i="1"/>
  <c r="Q1606" i="1"/>
  <c r="M1606" i="1"/>
  <c r="Q1607" i="1"/>
  <c r="K1605" i="1"/>
  <c r="L1605" i="1" s="1"/>
  <c r="K1604" i="1"/>
  <c r="L1604" i="1" s="1"/>
  <c r="H963" i="2"/>
  <c r="H964" i="2"/>
  <c r="K1603" i="1"/>
  <c r="L1603" i="1" s="1"/>
  <c r="O1603" i="1" s="1"/>
  <c r="K1601" i="1"/>
  <c r="L1601" i="1" s="1"/>
  <c r="O1602" i="1"/>
  <c r="Q1602" i="1"/>
  <c r="K1600" i="1"/>
  <c r="L1600" i="1" s="1"/>
  <c r="I961" i="2"/>
  <c r="N961" i="2" s="1"/>
  <c r="H962" i="2"/>
  <c r="E953" i="2"/>
  <c r="N970" i="2" l="1"/>
  <c r="J970" i="2"/>
  <c r="Q970" i="2"/>
  <c r="O1612" i="1"/>
  <c r="Q1612" i="1"/>
  <c r="Q1613" i="1"/>
  <c r="O1613" i="1"/>
  <c r="N966" i="2"/>
  <c r="J966" i="2"/>
  <c r="Q966" i="2"/>
  <c r="I965" i="2"/>
  <c r="Q965" i="2" s="1"/>
  <c r="Q1608" i="1"/>
  <c r="M1608" i="1"/>
  <c r="M1604" i="1"/>
  <c r="Q1604" i="1"/>
  <c r="Q1605" i="1"/>
  <c r="M1605" i="1"/>
  <c r="I963" i="2"/>
  <c r="N963" i="2" s="1"/>
  <c r="I964" i="2"/>
  <c r="Q1603" i="1"/>
  <c r="M1603" i="1"/>
  <c r="Q1601" i="1"/>
  <c r="O1601" i="1"/>
  <c r="Q1600" i="1"/>
  <c r="O1600" i="1"/>
  <c r="Q961" i="2"/>
  <c r="I962" i="2"/>
  <c r="H953" i="2"/>
  <c r="E959" i="2"/>
  <c r="H959" i="2" s="1"/>
  <c r="L965" i="2" l="1"/>
  <c r="N965" i="2"/>
  <c r="Q963" i="2"/>
  <c r="N964" i="2"/>
  <c r="K964" i="2"/>
  <c r="Q964" i="2"/>
  <c r="M962" i="2"/>
  <c r="N962" i="2"/>
  <c r="Q962" i="2"/>
  <c r="I953" i="2"/>
  <c r="N953" i="2" s="1"/>
  <c r="I959" i="2"/>
  <c r="F1599" i="1"/>
  <c r="H1599" i="1" s="1"/>
  <c r="K1599" i="1" s="1"/>
  <c r="L1599" i="1" s="1"/>
  <c r="G1599" i="1"/>
  <c r="F1598" i="1"/>
  <c r="H1598" i="1" s="1"/>
  <c r="G1598" i="1"/>
  <c r="E957" i="2"/>
  <c r="H957" i="2" s="1"/>
  <c r="F1597" i="1"/>
  <c r="H1597" i="1" s="1"/>
  <c r="K1597" i="1" s="1"/>
  <c r="L1597" i="1" s="1"/>
  <c r="O1597" i="1" s="1"/>
  <c r="F1596" i="1"/>
  <c r="H1596" i="1" s="1"/>
  <c r="G1597" i="1"/>
  <c r="G1596" i="1"/>
  <c r="G1595" i="1"/>
  <c r="F1595" i="1"/>
  <c r="H1595" i="1" s="1"/>
  <c r="K1595" i="1" s="1"/>
  <c r="L1595" i="1" s="1"/>
  <c r="F1594" i="1"/>
  <c r="H1594" i="1" s="1"/>
  <c r="K1594" i="1" s="1"/>
  <c r="L1594" i="1" s="1"/>
  <c r="E954" i="2"/>
  <c r="E955" i="2"/>
  <c r="E956" i="2"/>
  <c r="H956" i="2" s="1"/>
  <c r="E958" i="2"/>
  <c r="E960" i="2"/>
  <c r="Q953" i="2" l="1"/>
  <c r="J959" i="2"/>
  <c r="N959" i="2"/>
  <c r="Q959" i="2"/>
  <c r="K1598" i="1"/>
  <c r="L1598" i="1" s="1"/>
  <c r="O1599" i="1"/>
  <c r="Q1599" i="1"/>
  <c r="I957" i="2"/>
  <c r="K1596" i="1"/>
  <c r="L1596" i="1" s="1"/>
  <c r="Q1597" i="1"/>
  <c r="Q1594" i="1"/>
  <c r="O1594" i="1"/>
  <c r="O1595" i="1"/>
  <c r="Q1595" i="1"/>
  <c r="H954" i="2"/>
  <c r="I954" i="2" s="1"/>
  <c r="H955" i="2"/>
  <c r="I956" i="2"/>
  <c r="N956" i="2" s="1"/>
  <c r="H958" i="2"/>
  <c r="H960" i="2"/>
  <c r="F1593" i="1"/>
  <c r="H1593" i="1" s="1"/>
  <c r="G1594" i="1"/>
  <c r="G1593" i="1"/>
  <c r="E951" i="2"/>
  <c r="H951" i="2" s="1"/>
  <c r="E950" i="2"/>
  <c r="H950" i="2" s="1"/>
  <c r="Q1598" i="1" l="1"/>
  <c r="O1598" i="1"/>
  <c r="N957" i="2"/>
  <c r="K957" i="2"/>
  <c r="Q957" i="2"/>
  <c r="O1596" i="1"/>
  <c r="Q1596" i="1"/>
  <c r="N954" i="2"/>
  <c r="L954" i="2"/>
  <c r="Q954" i="2"/>
  <c r="I955" i="2"/>
  <c r="Q955" i="2" s="1"/>
  <c r="Q956" i="2"/>
  <c r="I958" i="2"/>
  <c r="K958" i="2" s="1"/>
  <c r="I960" i="2"/>
  <c r="K1593" i="1"/>
  <c r="L1593" i="1" s="1"/>
  <c r="I951" i="2"/>
  <c r="I950" i="2"/>
  <c r="E952" i="2"/>
  <c r="H952" i="2" s="1"/>
  <c r="E949" i="2"/>
  <c r="H949" i="2" s="1"/>
  <c r="F1592" i="1"/>
  <c r="H1592" i="1" s="1"/>
  <c r="K1592" i="1" s="1"/>
  <c r="L1592" i="1" s="1"/>
  <c r="O1592" i="1" s="1"/>
  <c r="F1591" i="1"/>
  <c r="H1591" i="1" s="1"/>
  <c r="K1591" i="1" s="1"/>
  <c r="L1591" i="1" s="1"/>
  <c r="G1592" i="1"/>
  <c r="G1591" i="1"/>
  <c r="M955" i="2" l="1"/>
  <c r="N955" i="2"/>
  <c r="N958" i="2"/>
  <c r="Q958" i="2"/>
  <c r="N960" i="2"/>
  <c r="J960" i="2"/>
  <c r="Q960" i="2"/>
  <c r="Q1593" i="1"/>
  <c r="O1593" i="1"/>
  <c r="N951" i="2"/>
  <c r="J951" i="2"/>
  <c r="Q951" i="2"/>
  <c r="I952" i="2"/>
  <c r="N950" i="2"/>
  <c r="M950" i="2"/>
  <c r="Q950" i="2"/>
  <c r="I949" i="2"/>
  <c r="N949" i="2" s="1"/>
  <c r="Q1591" i="1"/>
  <c r="O1591" i="1"/>
  <c r="Q1592" i="1"/>
  <c r="G1590" i="1"/>
  <c r="F1590" i="1"/>
  <c r="H1590" i="1" s="1"/>
  <c r="G1589" i="1"/>
  <c r="F1589" i="1"/>
  <c r="H1589" i="1" s="1"/>
  <c r="G1588" i="1"/>
  <c r="F1588" i="1"/>
  <c r="H1588" i="1" s="1"/>
  <c r="G1587" i="1"/>
  <c r="F1587" i="1"/>
  <c r="H1587" i="1" s="1"/>
  <c r="E947" i="2"/>
  <c r="E948" i="2"/>
  <c r="H948" i="2" s="1"/>
  <c r="F1586" i="1"/>
  <c r="H1586" i="1" s="1"/>
  <c r="G1586" i="1"/>
  <c r="F1585" i="1"/>
  <c r="H1585" i="1" s="1"/>
  <c r="K1585" i="1" s="1"/>
  <c r="L1585" i="1" s="1"/>
  <c r="O1585" i="1" s="1"/>
  <c r="G1585" i="1"/>
  <c r="G1584" i="1"/>
  <c r="F1584" i="1"/>
  <c r="H1584" i="1" s="1"/>
  <c r="K952" i="2" l="1"/>
  <c r="N952" i="2"/>
  <c r="Q952" i="2"/>
  <c r="Q949" i="2"/>
  <c r="K1589" i="1"/>
  <c r="L1589" i="1" s="1"/>
  <c r="K1590" i="1"/>
  <c r="L1590" i="1" s="1"/>
  <c r="K1587" i="1"/>
  <c r="L1587" i="1" s="1"/>
  <c r="K1588" i="1"/>
  <c r="L1588" i="1" s="1"/>
  <c r="H947" i="2"/>
  <c r="I947" i="2" s="1"/>
  <c r="K947" i="2" s="1"/>
  <c r="I948" i="2"/>
  <c r="Q948" i="2" s="1"/>
  <c r="K1586" i="1"/>
  <c r="L1586" i="1" s="1"/>
  <c r="K1584" i="1"/>
  <c r="L1584" i="1" s="1"/>
  <c r="Q1585" i="1"/>
  <c r="G1583" i="1"/>
  <c r="F1583" i="1"/>
  <c r="H1583" i="1" s="1"/>
  <c r="G1582" i="1"/>
  <c r="F1582" i="1"/>
  <c r="H1582" i="1" s="1"/>
  <c r="G1581" i="1"/>
  <c r="F1581" i="1"/>
  <c r="H1581" i="1" s="1"/>
  <c r="K1581" i="1" s="1"/>
  <c r="F1580" i="1"/>
  <c r="H1580" i="1" s="1"/>
  <c r="G1580" i="1"/>
  <c r="E946" i="2"/>
  <c r="G1579" i="1"/>
  <c r="F1579" i="1"/>
  <c r="H1579" i="1" s="1"/>
  <c r="Q1590" i="1" l="1"/>
  <c r="M1590" i="1"/>
  <c r="O1589" i="1"/>
  <c r="Q1589" i="1"/>
  <c r="Q1588" i="1"/>
  <c r="O1588" i="1"/>
  <c r="O1587" i="1"/>
  <c r="Q1587" i="1"/>
  <c r="Q947" i="2"/>
  <c r="N947" i="2"/>
  <c r="J948" i="2"/>
  <c r="N948" i="2"/>
  <c r="Q1586" i="1"/>
  <c r="O1586" i="1"/>
  <c r="Q1584" i="1"/>
  <c r="O1584" i="1"/>
  <c r="K1582" i="1"/>
  <c r="L1582" i="1" s="1"/>
  <c r="K1583" i="1"/>
  <c r="L1583" i="1" s="1"/>
  <c r="L1581" i="1"/>
  <c r="K1580" i="1"/>
  <c r="L1580" i="1" s="1"/>
  <c r="H946" i="2"/>
  <c r="K1579" i="1"/>
  <c r="L1579" i="1" s="1"/>
  <c r="E942" i="2"/>
  <c r="H942" i="2" s="1"/>
  <c r="I942" i="2" s="1"/>
  <c r="Q942" i="2" s="1"/>
  <c r="E943" i="2"/>
  <c r="H943" i="2" s="1"/>
  <c r="F1578" i="1"/>
  <c r="H1578" i="1" s="1"/>
  <c r="G1578" i="1"/>
  <c r="G1577" i="1"/>
  <c r="F1577" i="1"/>
  <c r="H1577" i="1" s="1"/>
  <c r="Q1583" i="1" l="1"/>
  <c r="O1583" i="1"/>
  <c r="O1582" i="1"/>
  <c r="Q1582" i="1"/>
  <c r="M1581" i="1"/>
  <c r="Q1581" i="1"/>
  <c r="O1581" i="1"/>
  <c r="Q1580" i="1"/>
  <c r="O1580" i="1"/>
  <c r="I946" i="2"/>
  <c r="Q1579" i="1"/>
  <c r="O1579" i="1"/>
  <c r="M1579" i="1"/>
  <c r="K1578" i="1"/>
  <c r="L1578" i="1" s="1"/>
  <c r="K942" i="2"/>
  <c r="I943" i="2"/>
  <c r="Q943" i="2" s="1"/>
  <c r="N942" i="2"/>
  <c r="K1577" i="1"/>
  <c r="L1577" i="1" s="1"/>
  <c r="E944" i="2"/>
  <c r="H944" i="2" s="1"/>
  <c r="I944" i="2" s="1"/>
  <c r="N944" i="2" s="1"/>
  <c r="E945" i="2"/>
  <c r="H945" i="2" s="1"/>
  <c r="E941" i="2"/>
  <c r="H941" i="2" s="1"/>
  <c r="N946" i="2" l="1"/>
  <c r="J946" i="2"/>
  <c r="Q946" i="2"/>
  <c r="O1578" i="1"/>
  <c r="Q1578" i="1"/>
  <c r="N943" i="2"/>
  <c r="L943" i="2"/>
  <c r="Q1577" i="1"/>
  <c r="O1577" i="1"/>
  <c r="J944" i="2"/>
  <c r="I945" i="2"/>
  <c r="Q944" i="2"/>
  <c r="I941" i="2"/>
  <c r="N941" i="2" s="1"/>
  <c r="G1576" i="1"/>
  <c r="F1576" i="1"/>
  <c r="H1576" i="1" s="1"/>
  <c r="F1575" i="1"/>
  <c r="H1575" i="1" s="1"/>
  <c r="G1575" i="1"/>
  <c r="E940" i="2"/>
  <c r="E939" i="2"/>
  <c r="H939" i="2" s="1"/>
  <c r="G1574" i="1"/>
  <c r="F1574" i="1"/>
  <c r="H1574" i="1" s="1"/>
  <c r="G1573" i="1"/>
  <c r="F1573" i="1"/>
  <c r="H1573" i="1" s="1"/>
  <c r="G1572" i="1"/>
  <c r="F1572" i="1"/>
  <c r="H1572" i="1" s="1"/>
  <c r="G1571" i="1"/>
  <c r="F1571" i="1"/>
  <c r="H1571" i="1" s="1"/>
  <c r="K1571" i="1" s="1"/>
  <c r="L1571" i="1" s="1"/>
  <c r="N945" i="2" l="1"/>
  <c r="K945" i="2"/>
  <c r="Q945" i="2"/>
  <c r="Q941" i="2"/>
  <c r="K1576" i="1"/>
  <c r="L1576" i="1" s="1"/>
  <c r="K1575" i="1"/>
  <c r="L1575" i="1" s="1"/>
  <c r="O1575" i="1" s="1"/>
  <c r="H940" i="2"/>
  <c r="I939" i="2"/>
  <c r="K1573" i="1"/>
  <c r="L1573" i="1" s="1"/>
  <c r="K1574" i="1"/>
  <c r="L1574" i="1" s="1"/>
  <c r="Q1571" i="1"/>
  <c r="O1571" i="1"/>
  <c r="K1572" i="1"/>
  <c r="L1572" i="1" s="1"/>
  <c r="G1570" i="1"/>
  <c r="F1570" i="1"/>
  <c r="H1570" i="1" s="1"/>
  <c r="K1570" i="1" s="1"/>
  <c r="L1570" i="1" s="1"/>
  <c r="M1576" i="1" l="1"/>
  <c r="Q1576" i="1"/>
  <c r="Q1575" i="1"/>
  <c r="M1575" i="1"/>
  <c r="I940" i="2"/>
  <c r="K939" i="2"/>
  <c r="N939" i="2"/>
  <c r="Q939" i="2"/>
  <c r="O1573" i="1"/>
  <c r="Q1573" i="1"/>
  <c r="Q1574" i="1"/>
  <c r="O1574" i="1"/>
  <c r="Q1572" i="1"/>
  <c r="O1572" i="1"/>
  <c r="O1570" i="1"/>
  <c r="Q1570" i="1"/>
  <c r="E938" i="2"/>
  <c r="E937" i="2"/>
  <c r="G1569" i="1"/>
  <c r="F1569" i="1"/>
  <c r="H1569" i="1" s="1"/>
  <c r="G1568" i="1"/>
  <c r="F1568" i="1"/>
  <c r="H1568" i="1" s="1"/>
  <c r="G1565" i="1"/>
  <c r="F1565" i="1"/>
  <c r="H1565" i="1" s="1"/>
  <c r="J940" i="2" l="1"/>
  <c r="N940" i="2"/>
  <c r="Q940" i="2"/>
  <c r="H938" i="2"/>
  <c r="I938" i="2" s="1"/>
  <c r="H937" i="2"/>
  <c r="I937" i="2" s="1"/>
  <c r="K1568" i="1"/>
  <c r="L1568" i="1" s="1"/>
  <c r="K1569" i="1"/>
  <c r="L1569" i="1" s="1"/>
  <c r="K1565" i="1"/>
  <c r="L1565" i="1" s="1"/>
  <c r="E934" i="2"/>
  <c r="H934" i="2" s="1"/>
  <c r="E935" i="2"/>
  <c r="G1567" i="1"/>
  <c r="F1567" i="1"/>
  <c r="H1567" i="1" s="1"/>
  <c r="K1567" i="1" s="1"/>
  <c r="G1566" i="1"/>
  <c r="F1566" i="1"/>
  <c r="H1566" i="1" s="1"/>
  <c r="E936" i="2"/>
  <c r="H936" i="2" s="1"/>
  <c r="I936" i="2" s="1"/>
  <c r="N936" i="2" s="1"/>
  <c r="G1564" i="1"/>
  <c r="F1564" i="1"/>
  <c r="H1564" i="1" s="1"/>
  <c r="N938" i="2" l="1"/>
  <c r="Q938" i="2"/>
  <c r="L938" i="2"/>
  <c r="N937" i="2"/>
  <c r="M937" i="2"/>
  <c r="Q937" i="2"/>
  <c r="M1568" i="1"/>
  <c r="Q1568" i="1"/>
  <c r="Q1569" i="1"/>
  <c r="M1569" i="1"/>
  <c r="Q1565" i="1"/>
  <c r="O1565" i="1"/>
  <c r="I934" i="2"/>
  <c r="Q936" i="2"/>
  <c r="K936" i="2"/>
  <c r="H935" i="2"/>
  <c r="I935" i="2" s="1"/>
  <c r="L1567" i="1"/>
  <c r="K1566" i="1"/>
  <c r="L1566" i="1" s="1"/>
  <c r="K1564" i="1"/>
  <c r="L1564" i="1" s="1"/>
  <c r="E930" i="2"/>
  <c r="H930" i="2" s="1"/>
  <c r="N934" i="2" l="1"/>
  <c r="J934" i="2"/>
  <c r="Q934" i="2"/>
  <c r="Q935" i="2"/>
  <c r="K935" i="2"/>
  <c r="N935" i="2"/>
  <c r="Q1567" i="1"/>
  <c r="O1567" i="1"/>
  <c r="Q1566" i="1"/>
  <c r="O1566" i="1"/>
  <c r="M1564" i="1"/>
  <c r="Q1564" i="1"/>
  <c r="I930" i="2"/>
  <c r="G1563" i="1"/>
  <c r="F1563" i="1"/>
  <c r="H1563" i="1" s="1"/>
  <c r="G1562" i="1"/>
  <c r="F1562" i="1"/>
  <c r="H1562" i="1" s="1"/>
  <c r="Q930" i="2" l="1"/>
  <c r="K930" i="2"/>
  <c r="N930" i="2"/>
  <c r="K1563" i="1"/>
  <c r="L1563" i="1" s="1"/>
  <c r="K1562" i="1"/>
  <c r="L1562" i="1" s="1"/>
  <c r="E931" i="2"/>
  <c r="H931" i="2" s="1"/>
  <c r="E932" i="2"/>
  <c r="H932" i="2" s="1"/>
  <c r="E933" i="2"/>
  <c r="H933" i="2" s="1"/>
  <c r="O1562" i="1" l="1"/>
  <c r="Q1562" i="1"/>
  <c r="Q1563" i="1"/>
  <c r="O1563" i="1"/>
  <c r="I931" i="2"/>
  <c r="I932" i="2"/>
  <c r="I933" i="2"/>
  <c r="F1561" i="1"/>
  <c r="H1561" i="1" s="1"/>
  <c r="K1561" i="1" s="1"/>
  <c r="L1561" i="1" s="1"/>
  <c r="Q1561" i="1" s="1"/>
  <c r="G1561" i="1"/>
  <c r="G1560" i="1"/>
  <c r="F1560" i="1"/>
  <c r="H1560" i="1" s="1"/>
  <c r="K1560" i="1" s="1"/>
  <c r="E928" i="2"/>
  <c r="H928" i="2" s="1"/>
  <c r="E927" i="2"/>
  <c r="E926" i="2"/>
  <c r="H926" i="2" s="1"/>
  <c r="E929" i="2"/>
  <c r="N931" i="2" l="1"/>
  <c r="L931" i="2"/>
  <c r="Q931" i="2"/>
  <c r="L932" i="2"/>
  <c r="N932" i="2"/>
  <c r="Q932" i="2"/>
  <c r="M933" i="2"/>
  <c r="N933" i="2"/>
  <c r="Q933" i="2"/>
  <c r="L1560" i="1"/>
  <c r="O1561" i="1"/>
  <c r="I928" i="2"/>
  <c r="Q928" i="2" s="1"/>
  <c r="H927" i="2"/>
  <c r="I927" i="2" s="1"/>
  <c r="I926" i="2"/>
  <c r="J926" i="2" s="1"/>
  <c r="H929" i="2"/>
  <c r="G1559" i="1"/>
  <c r="F1559" i="1"/>
  <c r="H1559" i="1" s="1"/>
  <c r="K1559" i="1" s="1"/>
  <c r="G1558" i="1"/>
  <c r="F1558" i="1"/>
  <c r="H1558" i="1" s="1"/>
  <c r="O1560" i="1" l="1"/>
  <c r="Q1560" i="1"/>
  <c r="N928" i="2"/>
  <c r="J928" i="2"/>
  <c r="N927" i="2"/>
  <c r="K927" i="2"/>
  <c r="Q927" i="2"/>
  <c r="N926" i="2"/>
  <c r="Q926" i="2"/>
  <c r="I929" i="2"/>
  <c r="L1559" i="1"/>
  <c r="K1558" i="1"/>
  <c r="L1558" i="1" s="1"/>
  <c r="E925" i="2"/>
  <c r="H925" i="2" s="1"/>
  <c r="E923" i="2"/>
  <c r="H923" i="2" s="1"/>
  <c r="I923" i="2" s="1"/>
  <c r="E924" i="2"/>
  <c r="H924" i="2" s="1"/>
  <c r="F1557" i="1"/>
  <c r="H1557" i="1" s="1"/>
  <c r="K1557" i="1" s="1"/>
  <c r="L1557" i="1" s="1"/>
  <c r="O1557" i="1" s="1"/>
  <c r="G1557" i="1"/>
  <c r="G1556" i="1"/>
  <c r="F1556" i="1"/>
  <c r="H1556" i="1" s="1"/>
  <c r="K1556" i="1" s="1"/>
  <c r="F1555" i="1"/>
  <c r="H1555" i="1" s="1"/>
  <c r="G1555" i="1"/>
  <c r="G1554" i="1"/>
  <c r="F1554" i="1"/>
  <c r="H1554" i="1" s="1"/>
  <c r="N929" i="2" l="1"/>
  <c r="K929" i="2"/>
  <c r="Q929" i="2"/>
  <c r="O1559" i="1"/>
  <c r="Q1559" i="1"/>
  <c r="Q1558" i="1"/>
  <c r="M1558" i="1"/>
  <c r="I924" i="2"/>
  <c r="Q924" i="2" s="1"/>
  <c r="Q923" i="2"/>
  <c r="I925" i="2"/>
  <c r="M923" i="2"/>
  <c r="N923" i="2"/>
  <c r="L1556" i="1"/>
  <c r="Q1557" i="1"/>
  <c r="K1554" i="1"/>
  <c r="L1554" i="1" s="1"/>
  <c r="K1555" i="1"/>
  <c r="L1555" i="1" s="1"/>
  <c r="G1553" i="1"/>
  <c r="F1553" i="1"/>
  <c r="H1553" i="1" s="1"/>
  <c r="E919" i="2"/>
  <c r="G1552" i="1"/>
  <c r="F1552" i="1"/>
  <c r="H1552" i="1" s="1"/>
  <c r="F1551" i="1"/>
  <c r="H1551" i="1" s="1"/>
  <c r="K1551" i="1" s="1"/>
  <c r="L1551" i="1" s="1"/>
  <c r="O1551" i="1" s="1"/>
  <c r="G1551" i="1"/>
  <c r="G1550" i="1"/>
  <c r="F1550" i="1"/>
  <c r="H1550" i="1" s="1"/>
  <c r="G1549" i="1"/>
  <c r="F1549" i="1"/>
  <c r="H1549" i="1" s="1"/>
  <c r="G1547" i="1"/>
  <c r="F1548" i="1"/>
  <c r="H1548" i="1" s="1"/>
  <c r="F1547" i="1"/>
  <c r="H1547" i="1" s="1"/>
  <c r="G1548" i="1"/>
  <c r="E922" i="2"/>
  <c r="H922" i="2" s="1"/>
  <c r="I922" i="2" s="1"/>
  <c r="E921" i="2"/>
  <c r="H921" i="2" s="1"/>
  <c r="I921" i="2" s="1"/>
  <c r="N921" i="2" s="1"/>
  <c r="E920" i="2"/>
  <c r="H920" i="2" s="1"/>
  <c r="I920" i="2" s="1"/>
  <c r="N924" i="2" l="1"/>
  <c r="L924" i="2"/>
  <c r="N925" i="2"/>
  <c r="L925" i="2"/>
  <c r="Q925" i="2"/>
  <c r="Q1556" i="1"/>
  <c r="O1556" i="1"/>
  <c r="Q1554" i="1"/>
  <c r="O1554" i="1"/>
  <c r="O1555" i="1"/>
  <c r="Q1555" i="1"/>
  <c r="K1553" i="1"/>
  <c r="L1553" i="1" s="1"/>
  <c r="K1552" i="1"/>
  <c r="L1552" i="1" s="1"/>
  <c r="K1550" i="1"/>
  <c r="L1550" i="1" s="1"/>
  <c r="H919" i="2"/>
  <c r="Q922" i="2"/>
  <c r="Q921" i="2"/>
  <c r="Q1551" i="1"/>
  <c r="K1549" i="1"/>
  <c r="L1549" i="1" s="1"/>
  <c r="O1549" i="1" s="1"/>
  <c r="K1547" i="1"/>
  <c r="L1547" i="1" s="1"/>
  <c r="K1548" i="1"/>
  <c r="L1548" i="1" s="1"/>
  <c r="N922" i="2"/>
  <c r="K922" i="2"/>
  <c r="K920" i="2"/>
  <c r="N920" i="2"/>
  <c r="Q920" i="2"/>
  <c r="J921" i="2"/>
  <c r="E907" i="2"/>
  <c r="H907" i="2" s="1"/>
  <c r="I907" i="2" s="1"/>
  <c r="N907" i="2" s="1"/>
  <c r="E910" i="2"/>
  <c r="H910" i="2" s="1"/>
  <c r="I910" i="2" s="1"/>
  <c r="N910" i="2" s="1"/>
  <c r="E911" i="2"/>
  <c r="H911" i="2" s="1"/>
  <c r="E912" i="2"/>
  <c r="H912" i="2" s="1"/>
  <c r="F1546" i="1"/>
  <c r="H1546" i="1" s="1"/>
  <c r="G1546" i="1"/>
  <c r="E914" i="2"/>
  <c r="E913" i="2"/>
  <c r="H913" i="2" s="1"/>
  <c r="I913" i="2" s="1"/>
  <c r="L913" i="2" s="1"/>
  <c r="E915" i="2"/>
  <c r="H915" i="2" s="1"/>
  <c r="E908" i="2"/>
  <c r="H908" i="2" s="1"/>
  <c r="G1545" i="1"/>
  <c r="F1545" i="1"/>
  <c r="H1545" i="1" s="1"/>
  <c r="G1544" i="1"/>
  <c r="F1544" i="1"/>
  <c r="H1544" i="1" s="1"/>
  <c r="E917" i="2"/>
  <c r="E909" i="2"/>
  <c r="H909" i="2" s="1"/>
  <c r="E918" i="2"/>
  <c r="H918" i="2" s="1"/>
  <c r="E916" i="2"/>
  <c r="H916" i="2" s="1"/>
  <c r="O1553" i="1" l="1"/>
  <c r="Q1553" i="1"/>
  <c r="Q1552" i="1"/>
  <c r="O1552" i="1"/>
  <c r="Q1550" i="1"/>
  <c r="O1550" i="1"/>
  <c r="I919" i="2"/>
  <c r="Q1549" i="1"/>
  <c r="M1549" i="1"/>
  <c r="Q1548" i="1"/>
  <c r="O1548" i="1"/>
  <c r="Q1547" i="1"/>
  <c r="O1547" i="1"/>
  <c r="I911" i="2"/>
  <c r="M911" i="2" s="1"/>
  <c r="I909" i="2"/>
  <c r="H914" i="2"/>
  <c r="I912" i="2"/>
  <c r="Q912" i="2" s="1"/>
  <c r="Q913" i="2"/>
  <c r="K1546" i="1"/>
  <c r="L1546" i="1" s="1"/>
  <c r="Q910" i="2"/>
  <c r="I915" i="2"/>
  <c r="M915" i="2" s="1"/>
  <c r="N913" i="2"/>
  <c r="I908" i="2"/>
  <c r="K1544" i="1"/>
  <c r="L1544" i="1" s="1"/>
  <c r="K1545" i="1"/>
  <c r="L1545" i="1" s="1"/>
  <c r="H917" i="2"/>
  <c r="I918" i="2"/>
  <c r="I916" i="2"/>
  <c r="J916" i="2" s="1"/>
  <c r="E906" i="2"/>
  <c r="H906" i="2" s="1"/>
  <c r="N911" i="2" l="1"/>
  <c r="Q911" i="2"/>
  <c r="N919" i="2"/>
  <c r="J919" i="2"/>
  <c r="Q919" i="2"/>
  <c r="Q909" i="2"/>
  <c r="N909" i="2"/>
  <c r="P909" i="2"/>
  <c r="L912" i="2"/>
  <c r="N912" i="2"/>
  <c r="I914" i="2"/>
  <c r="O1546" i="1"/>
  <c r="Q1546" i="1"/>
  <c r="N915" i="2"/>
  <c r="Q915" i="2"/>
  <c r="N908" i="2"/>
  <c r="M908" i="2"/>
  <c r="Q908" i="2"/>
  <c r="Q1545" i="1"/>
  <c r="O1545" i="1"/>
  <c r="O1544" i="1"/>
  <c r="Q1544" i="1"/>
  <c r="I917" i="2"/>
  <c r="J917" i="2" s="1"/>
  <c r="N918" i="2"/>
  <c r="K918" i="2"/>
  <c r="Q918" i="2"/>
  <c r="Q916" i="2"/>
  <c r="N916" i="2"/>
  <c r="I906" i="2"/>
  <c r="G1543" i="1"/>
  <c r="F1543" i="1"/>
  <c r="H1543" i="1" s="1"/>
  <c r="K1543" i="1" s="1"/>
  <c r="F1542" i="1"/>
  <c r="H1542" i="1" s="1"/>
  <c r="K1542" i="1" s="1"/>
  <c r="L1542" i="1" s="1"/>
  <c r="G1542" i="1"/>
  <c r="F1541" i="1"/>
  <c r="H1541" i="1" s="1"/>
  <c r="G1541" i="1"/>
  <c r="E904" i="2"/>
  <c r="H904" i="2" s="1"/>
  <c r="E902" i="2"/>
  <c r="H902" i="2" s="1"/>
  <c r="I902" i="2" s="1"/>
  <c r="K902" i="2" s="1"/>
  <c r="E903" i="2"/>
  <c r="H903" i="2" s="1"/>
  <c r="I903" i="2" s="1"/>
  <c r="E905" i="2"/>
  <c r="H905" i="2" s="1"/>
  <c r="I905" i="2" s="1"/>
  <c r="K914" i="2" l="1"/>
  <c r="N914" i="2"/>
  <c r="Q914" i="2"/>
  <c r="N917" i="2"/>
  <c r="Q917" i="2"/>
  <c r="K906" i="2"/>
  <c r="N906" i="2"/>
  <c r="Q906" i="2"/>
  <c r="L1543" i="1"/>
  <c r="Q1543" i="1" s="1"/>
  <c r="K1541" i="1"/>
  <c r="L1541" i="1" s="1"/>
  <c r="O1542" i="1"/>
  <c r="Q1542" i="1"/>
  <c r="I904" i="2"/>
  <c r="J904" i="2" s="1"/>
  <c r="N902" i="2"/>
  <c r="Q902" i="2"/>
  <c r="L902" i="2"/>
  <c r="J903" i="2"/>
  <c r="N903" i="2"/>
  <c r="Q903" i="2"/>
  <c r="K905" i="2"/>
  <c r="N905" i="2"/>
  <c r="Q905" i="2"/>
  <c r="F1540" i="1"/>
  <c r="H1540" i="1" s="1"/>
  <c r="K1540" i="1" s="1"/>
  <c r="L1540" i="1" s="1"/>
  <c r="O1540" i="1" s="1"/>
  <c r="G1540" i="1"/>
  <c r="G1539" i="1"/>
  <c r="F1539" i="1"/>
  <c r="H1539" i="1" s="1"/>
  <c r="K1539" i="1" s="1"/>
  <c r="F1538" i="1"/>
  <c r="H1538" i="1" s="1"/>
  <c r="K1538" i="1" s="1"/>
  <c r="L1538" i="1" s="1"/>
  <c r="M1538" i="1" s="1"/>
  <c r="G1538" i="1"/>
  <c r="Q1538" i="1" l="1"/>
  <c r="O1543" i="1"/>
  <c r="Q1541" i="1"/>
  <c r="O1541" i="1"/>
  <c r="N904" i="2"/>
  <c r="Q904" i="2"/>
  <c r="L1539" i="1"/>
  <c r="O1539" i="1" s="1"/>
  <c r="Q1540" i="1"/>
  <c r="F1537" i="1"/>
  <c r="H1537" i="1" s="1"/>
  <c r="K1537" i="1" s="1"/>
  <c r="L1537" i="1" s="1"/>
  <c r="G1537" i="1"/>
  <c r="G1536" i="1"/>
  <c r="F1536" i="1"/>
  <c r="H1536" i="1" s="1"/>
  <c r="E901" i="2"/>
  <c r="E899" i="2"/>
  <c r="H899" i="2" s="1"/>
  <c r="E900" i="2"/>
  <c r="H900" i="2" s="1"/>
  <c r="I899" i="2" l="1"/>
  <c r="Q899" i="2" s="1"/>
  <c r="Q1539" i="1"/>
  <c r="Q1537" i="1"/>
  <c r="M1537" i="1"/>
  <c r="K1536" i="1"/>
  <c r="L1536" i="1" s="1"/>
  <c r="H901" i="2"/>
  <c r="I900" i="2"/>
  <c r="J900" i="2" s="1"/>
  <c r="F1535" i="1"/>
  <c r="H1535" i="1" s="1"/>
  <c r="G1535" i="1"/>
  <c r="G1534" i="1"/>
  <c r="F1534" i="1"/>
  <c r="H1534" i="1" s="1"/>
  <c r="F1533" i="1"/>
  <c r="H1533" i="1" s="1"/>
  <c r="K1533" i="1" s="1"/>
  <c r="L1533" i="1" s="1"/>
  <c r="Q1533" i="1" s="1"/>
  <c r="G1533" i="1"/>
  <c r="F1532" i="1"/>
  <c r="H1532" i="1" s="1"/>
  <c r="G1532" i="1"/>
  <c r="E896" i="2"/>
  <c r="H896" i="2" s="1"/>
  <c r="E895" i="2"/>
  <c r="E891" i="2"/>
  <c r="H891" i="2" s="1"/>
  <c r="E893" i="2"/>
  <c r="H893" i="2" s="1"/>
  <c r="N899" i="2" l="1"/>
  <c r="L899" i="2"/>
  <c r="Q1536" i="1"/>
  <c r="O1536" i="1"/>
  <c r="I901" i="2"/>
  <c r="N900" i="2"/>
  <c r="Q900" i="2"/>
  <c r="K1535" i="1"/>
  <c r="L1535" i="1" s="1"/>
  <c r="K1534" i="1"/>
  <c r="L1534" i="1" s="1"/>
  <c r="K1532" i="1"/>
  <c r="L1532" i="1" s="1"/>
  <c r="O1533" i="1"/>
  <c r="I896" i="2"/>
  <c r="N896" i="2" s="1"/>
  <c r="H895" i="2"/>
  <c r="I891" i="2"/>
  <c r="Q891" i="2" s="1"/>
  <c r="I893" i="2"/>
  <c r="E894" i="2"/>
  <c r="H894" i="2" s="1"/>
  <c r="I894" i="2" s="1"/>
  <c r="E897" i="2"/>
  <c r="E898" i="2"/>
  <c r="H898" i="2" s="1"/>
  <c r="K901" i="2" l="1"/>
  <c r="N901" i="2"/>
  <c r="Q901" i="2"/>
  <c r="Q1535" i="1"/>
  <c r="O1535" i="1"/>
  <c r="N894" i="2"/>
  <c r="M894" i="2"/>
  <c r="Q1534" i="1"/>
  <c r="M1534" i="1"/>
  <c r="Q1532" i="1"/>
  <c r="O1532" i="1"/>
  <c r="Q896" i="2"/>
  <c r="I895" i="2"/>
  <c r="J891" i="2"/>
  <c r="N891" i="2"/>
  <c r="N893" i="2"/>
  <c r="K893" i="2"/>
  <c r="Q893" i="2"/>
  <c r="H897" i="2"/>
  <c r="I897" i="2" s="1"/>
  <c r="Q894" i="2"/>
  <c r="I898" i="2"/>
  <c r="J898" i="2" s="1"/>
  <c r="E892" i="2"/>
  <c r="H892" i="2" s="1"/>
  <c r="I892" i="2" s="1"/>
  <c r="J892" i="2" s="1"/>
  <c r="E889" i="2"/>
  <c r="E890" i="2"/>
  <c r="H890" i="2" s="1"/>
  <c r="L895" i="2" l="1"/>
  <c r="N895" i="2"/>
  <c r="Q895" i="2"/>
  <c r="Q898" i="2"/>
  <c r="N897" i="2"/>
  <c r="Q897" i="2"/>
  <c r="N898" i="2"/>
  <c r="I890" i="2"/>
  <c r="N890" i="2" s="1"/>
  <c r="H889" i="2"/>
  <c r="G1531" i="1"/>
  <c r="F1531" i="1"/>
  <c r="H1531" i="1" s="1"/>
  <c r="G1530" i="1"/>
  <c r="F1530" i="1"/>
  <c r="H1530" i="1" s="1"/>
  <c r="G1529" i="1"/>
  <c r="F1529" i="1"/>
  <c r="H1529" i="1" s="1"/>
  <c r="G1528" i="1"/>
  <c r="F1528" i="1"/>
  <c r="H1528" i="1" s="1"/>
  <c r="E886" i="2"/>
  <c r="G1526" i="1"/>
  <c r="F1526" i="1"/>
  <c r="H1526" i="1" s="1"/>
  <c r="G1527" i="1"/>
  <c r="F1527" i="1"/>
  <c r="H1527" i="1" s="1"/>
  <c r="K1527" i="1" s="1"/>
  <c r="L1527" i="1" s="1"/>
  <c r="G1525" i="1"/>
  <c r="F1525" i="1"/>
  <c r="H1525" i="1" s="1"/>
  <c r="K1525" i="1" s="1"/>
  <c r="L1525" i="1" s="1"/>
  <c r="G1524" i="1"/>
  <c r="F1524" i="1"/>
  <c r="H1524" i="1" s="1"/>
  <c r="G1523" i="1"/>
  <c r="F1523" i="1"/>
  <c r="H1523" i="1" s="1"/>
  <c r="E887" i="2"/>
  <c r="H887" i="2" s="1"/>
  <c r="I887" i="2" s="1"/>
  <c r="L887" i="2" s="1"/>
  <c r="E888" i="2"/>
  <c r="H888" i="2" s="1"/>
  <c r="N892" i="2" l="1"/>
  <c r="Q892" i="2"/>
  <c r="K890" i="2"/>
  <c r="Q890" i="2"/>
  <c r="I889" i="2"/>
  <c r="L889" i="2" s="1"/>
  <c r="K1531" i="1"/>
  <c r="L1531" i="1" s="1"/>
  <c r="K1529" i="1"/>
  <c r="L1529" i="1" s="1"/>
  <c r="K1530" i="1"/>
  <c r="L1530" i="1" s="1"/>
  <c r="K1528" i="1"/>
  <c r="L1528" i="1" s="1"/>
  <c r="H886" i="2"/>
  <c r="I886" i="2" s="1"/>
  <c r="K886" i="2" s="1"/>
  <c r="K1526" i="1"/>
  <c r="L1526" i="1" s="1"/>
  <c r="Q1525" i="1"/>
  <c r="O1525" i="1"/>
  <c r="M1527" i="1"/>
  <c r="Q1527" i="1"/>
  <c r="K1524" i="1"/>
  <c r="L1524" i="1" s="1"/>
  <c r="K1523" i="1"/>
  <c r="L1523" i="1" s="1"/>
  <c r="I888" i="2"/>
  <c r="K888" i="2" s="1"/>
  <c r="N887" i="2"/>
  <c r="Q887" i="2"/>
  <c r="E1" i="1"/>
  <c r="N889" i="2" l="1"/>
  <c r="Q889" i="2"/>
  <c r="O1531" i="1"/>
  <c r="Q1531" i="1"/>
  <c r="O1530" i="1"/>
  <c r="Q1530" i="1"/>
  <c r="O1529" i="1"/>
  <c r="Q1529" i="1"/>
  <c r="Q1528" i="1"/>
  <c r="O1528" i="1"/>
  <c r="N886" i="2"/>
  <c r="Q886" i="2"/>
  <c r="L886" i="2"/>
  <c r="Q1526" i="1"/>
  <c r="O1526" i="1"/>
  <c r="O1523" i="1"/>
  <c r="Q1523" i="1"/>
  <c r="Q1524" i="1"/>
  <c r="O1524" i="1"/>
  <c r="N888" i="2"/>
  <c r="Q888" i="2"/>
  <c r="G1522" i="1"/>
  <c r="F1522" i="1"/>
  <c r="H1522" i="1" s="1"/>
  <c r="G1521" i="1"/>
  <c r="F1521" i="1"/>
  <c r="H1521" i="1" s="1"/>
  <c r="G1520" i="1"/>
  <c r="F1520" i="1"/>
  <c r="H1520" i="1" s="1"/>
  <c r="G1519" i="1"/>
  <c r="F1519" i="1"/>
  <c r="H1519" i="1" s="1"/>
  <c r="E884" i="2"/>
  <c r="E885" i="2"/>
  <c r="K1522" i="1" l="1"/>
  <c r="L1522" i="1" s="1"/>
  <c r="K1521" i="1"/>
  <c r="L1521" i="1" s="1"/>
  <c r="K1519" i="1"/>
  <c r="L1519" i="1" s="1"/>
  <c r="K1520" i="1"/>
  <c r="L1520" i="1" s="1"/>
  <c r="H884" i="2"/>
  <c r="H885" i="2"/>
  <c r="G1518" i="1"/>
  <c r="F1518" i="1"/>
  <c r="H1518" i="1" s="1"/>
  <c r="G1517" i="1"/>
  <c r="F1517" i="1"/>
  <c r="H1517" i="1" s="1"/>
  <c r="G1516" i="1"/>
  <c r="F1516" i="1"/>
  <c r="H1516" i="1" s="1"/>
  <c r="G1515" i="1"/>
  <c r="F1515" i="1"/>
  <c r="H1515" i="1" s="1"/>
  <c r="F1514" i="1"/>
  <c r="H1514" i="1" s="1"/>
  <c r="G1514" i="1"/>
  <c r="Q1522" i="1" l="1"/>
  <c r="O1522" i="1"/>
  <c r="Q1521" i="1"/>
  <c r="O1521" i="1"/>
  <c r="O1520" i="1"/>
  <c r="Q1520" i="1"/>
  <c r="M1519" i="1"/>
  <c r="Q1519" i="1"/>
  <c r="I884" i="2"/>
  <c r="I885" i="2"/>
  <c r="K1517" i="1"/>
  <c r="L1517" i="1" s="1"/>
  <c r="K1518" i="1"/>
  <c r="L1518" i="1" s="1"/>
  <c r="K1515" i="1"/>
  <c r="L1515" i="1" s="1"/>
  <c r="K1516" i="1"/>
  <c r="L1516" i="1" s="1"/>
  <c r="K1514" i="1"/>
  <c r="L1514" i="1" s="1"/>
  <c r="F1510" i="1"/>
  <c r="H1510" i="1" s="1"/>
  <c r="K1510" i="1" s="1"/>
  <c r="L1510" i="1" s="1"/>
  <c r="G1510" i="1"/>
  <c r="G1513" i="1"/>
  <c r="F1513" i="1"/>
  <c r="H1513" i="1" s="1"/>
  <c r="E882" i="2"/>
  <c r="H882" i="2" s="1"/>
  <c r="G1512" i="1"/>
  <c r="F1512" i="1"/>
  <c r="H1512" i="1" s="1"/>
  <c r="G1511" i="1"/>
  <c r="F1511" i="1"/>
  <c r="H1511" i="1" s="1"/>
  <c r="E883" i="2"/>
  <c r="K884" i="2" l="1"/>
  <c r="N884" i="2"/>
  <c r="Q884" i="2"/>
  <c r="N885" i="2"/>
  <c r="K885" i="2"/>
  <c r="Q885" i="2"/>
  <c r="Q1517" i="1"/>
  <c r="O1517" i="1"/>
  <c r="O1518" i="1"/>
  <c r="Q1518" i="1"/>
  <c r="Q1516" i="1"/>
  <c r="M1516" i="1"/>
  <c r="M1515" i="1"/>
  <c r="Q1515" i="1"/>
  <c r="Q1514" i="1"/>
  <c r="O1514" i="1"/>
  <c r="Q1510" i="1"/>
  <c r="O1510" i="1"/>
  <c r="K1513" i="1"/>
  <c r="L1513" i="1" s="1"/>
  <c r="O1513" i="1" s="1"/>
  <c r="I882" i="2"/>
  <c r="K1511" i="1"/>
  <c r="L1511" i="1" s="1"/>
  <c r="K1512" i="1"/>
  <c r="L1512" i="1" s="1"/>
  <c r="H883" i="2"/>
  <c r="F1509" i="1"/>
  <c r="H1509" i="1" s="1"/>
  <c r="G1509" i="1"/>
  <c r="Q1513" i="1" l="1"/>
  <c r="M882" i="2"/>
  <c r="N882" i="2"/>
  <c r="Q882" i="2"/>
  <c r="Q1512" i="1"/>
  <c r="O1512" i="1"/>
  <c r="M1511" i="1"/>
  <c r="Q1511" i="1"/>
  <c r="I883" i="2"/>
  <c r="K1509" i="1"/>
  <c r="L1509" i="1" s="1"/>
  <c r="K883" i="2" l="1"/>
  <c r="N883" i="2"/>
  <c r="Q883" i="2"/>
  <c r="Q1509" i="1"/>
  <c r="O1509" i="1"/>
  <c r="F1508" i="1" l="1"/>
  <c r="H1508" i="1" s="1"/>
  <c r="G1508" i="1"/>
  <c r="G1507" i="1"/>
  <c r="F1507" i="1"/>
  <c r="H1507" i="1" s="1"/>
  <c r="K1508" i="1" l="1"/>
  <c r="L1508" i="1" s="1"/>
  <c r="K1507" i="1"/>
  <c r="L1507" i="1" s="1"/>
  <c r="E881" i="2"/>
  <c r="H881" i="2" s="1"/>
  <c r="E879" i="2"/>
  <c r="H879" i="2" s="1"/>
  <c r="E880" i="2"/>
  <c r="O1508" i="1" l="1"/>
  <c r="Q1508" i="1"/>
  <c r="M1507" i="1"/>
  <c r="Q1507" i="1"/>
  <c r="I881" i="2"/>
  <c r="I879" i="2"/>
  <c r="H880" i="2"/>
  <c r="F1506" i="1"/>
  <c r="H1506" i="1" s="1"/>
  <c r="K1506" i="1" s="1"/>
  <c r="L1506" i="1" s="1"/>
  <c r="O1506" i="1" s="1"/>
  <c r="G1506" i="1"/>
  <c r="G1505" i="1"/>
  <c r="F1505" i="1"/>
  <c r="H1505" i="1" s="1"/>
  <c r="G1504" i="1"/>
  <c r="F1504" i="1"/>
  <c r="H1504" i="1" s="1"/>
  <c r="K1504" i="1" s="1"/>
  <c r="L1504" i="1" s="1"/>
  <c r="G1503" i="1"/>
  <c r="F1503" i="1"/>
  <c r="H1503" i="1" s="1"/>
  <c r="K1503" i="1" s="1"/>
  <c r="L1503" i="1" s="1"/>
  <c r="F1502" i="1"/>
  <c r="H1502" i="1" s="1"/>
  <c r="K1502" i="1" s="1"/>
  <c r="L1502" i="1" s="1"/>
  <c r="Q1502" i="1" s="1"/>
  <c r="G1502" i="1"/>
  <c r="G1501" i="1"/>
  <c r="F1501" i="1"/>
  <c r="H1501" i="1" s="1"/>
  <c r="K1501" i="1" s="1"/>
  <c r="E878" i="2"/>
  <c r="N881" i="2" l="1"/>
  <c r="J881" i="2"/>
  <c r="Q881" i="2"/>
  <c r="L879" i="2"/>
  <c r="N879" i="2"/>
  <c r="Q879" i="2"/>
  <c r="I880" i="2"/>
  <c r="M880" i="2" s="1"/>
  <c r="H878" i="2"/>
  <c r="Q1504" i="1"/>
  <c r="O1504" i="1"/>
  <c r="Q1503" i="1"/>
  <c r="O1503" i="1"/>
  <c r="L1501" i="1"/>
  <c r="Q1501" i="1" s="1"/>
  <c r="O1502" i="1"/>
  <c r="K1505" i="1"/>
  <c r="L1505" i="1" s="1"/>
  <c r="Q1506" i="1"/>
  <c r="E875" i="2"/>
  <c r="G1500" i="1"/>
  <c r="F1500" i="1"/>
  <c r="H1500" i="1" s="1"/>
  <c r="K1500" i="1" s="1"/>
  <c r="L1500" i="1" s="1"/>
  <c r="G1499" i="1"/>
  <c r="F1499" i="1"/>
  <c r="H1499" i="1" s="1"/>
  <c r="K1499" i="1" s="1"/>
  <c r="N880" i="2" l="1"/>
  <c r="Q880" i="2"/>
  <c r="I878" i="2"/>
  <c r="O1501" i="1"/>
  <c r="Q1505" i="1"/>
  <c r="M1505" i="1"/>
  <c r="H875" i="2"/>
  <c r="I875" i="2" s="1"/>
  <c r="N875" i="2" s="1"/>
  <c r="Q1500" i="1"/>
  <c r="O1500" i="1"/>
  <c r="L1499" i="1"/>
  <c r="Q1499" i="1" s="1"/>
  <c r="E876" i="2"/>
  <c r="E877" i="2"/>
  <c r="H877" i="2" s="1"/>
  <c r="N878" i="2" l="1"/>
  <c r="Q878" i="2"/>
  <c r="I877" i="2"/>
  <c r="Q877" i="2" s="1"/>
  <c r="L875" i="2"/>
  <c r="Q875" i="2"/>
  <c r="O1499" i="1"/>
  <c r="H876" i="2"/>
  <c r="I876" i="2" s="1"/>
  <c r="E873" i="2"/>
  <c r="H873" i="2" s="1"/>
  <c r="I873" i="2" s="1"/>
  <c r="N873" i="2" s="1"/>
  <c r="E874" i="2"/>
  <c r="K877" i="2" l="1"/>
  <c r="N877" i="2"/>
  <c r="K876" i="2"/>
  <c r="N876" i="2"/>
  <c r="Q876" i="2"/>
  <c r="H874" i="2"/>
  <c r="I874" i="2" s="1"/>
  <c r="K873" i="2"/>
  <c r="Q873" i="2"/>
  <c r="E872" i="2"/>
  <c r="H872" i="2" s="1"/>
  <c r="I872" i="2" s="1"/>
  <c r="K872" i="2" s="1"/>
  <c r="E871" i="2"/>
  <c r="H871" i="2" s="1"/>
  <c r="F1498" i="1"/>
  <c r="H1498" i="1" s="1"/>
  <c r="G1498" i="1"/>
  <c r="F1497" i="1"/>
  <c r="H1497" i="1" s="1"/>
  <c r="G1497" i="1"/>
  <c r="G1496" i="1"/>
  <c r="F1496" i="1"/>
  <c r="H1496" i="1" s="1"/>
  <c r="G1495" i="1"/>
  <c r="F1495" i="1"/>
  <c r="H1495" i="1" s="1"/>
  <c r="N874" i="2" l="1"/>
  <c r="J874" i="2"/>
  <c r="Q874" i="2"/>
  <c r="I871" i="2"/>
  <c r="Q872" i="2"/>
  <c r="N872" i="2"/>
  <c r="K1498" i="1"/>
  <c r="L1498" i="1" s="1"/>
  <c r="K1497" i="1"/>
  <c r="L1497" i="1" s="1"/>
  <c r="K1495" i="1"/>
  <c r="L1495" i="1" s="1"/>
  <c r="K1496" i="1"/>
  <c r="L1496" i="1" s="1"/>
  <c r="F1494" i="1"/>
  <c r="H1494" i="1" s="1"/>
  <c r="K1494" i="1" s="1"/>
  <c r="L1494" i="1" s="1"/>
  <c r="Q1494" i="1" s="1"/>
  <c r="G1494" i="1"/>
  <c r="G1493" i="1"/>
  <c r="F1493" i="1"/>
  <c r="H1493" i="1" s="1"/>
  <c r="K1493" i="1" s="1"/>
  <c r="N871" i="2" l="1"/>
  <c r="L871" i="2"/>
  <c r="Q871" i="2"/>
  <c r="M1498" i="1"/>
  <c r="Q1498" i="1"/>
  <c r="Q1497" i="1"/>
  <c r="M1497" i="1"/>
  <c r="Q1496" i="1"/>
  <c r="O1496" i="1"/>
  <c r="O1495" i="1"/>
  <c r="Q1495" i="1"/>
  <c r="L1493" i="1"/>
  <c r="O1494" i="1"/>
  <c r="O1493" i="1" l="1"/>
  <c r="Q1493" i="1"/>
  <c r="G1492" i="1" l="1"/>
  <c r="F1492" i="1"/>
  <c r="H1492" i="1" s="1"/>
  <c r="G1491" i="1"/>
  <c r="F1491" i="1"/>
  <c r="H1491" i="1" s="1"/>
  <c r="K1491" i="1" l="1"/>
  <c r="L1491" i="1" s="1"/>
  <c r="K1492" i="1"/>
  <c r="L1492" i="1" s="1"/>
  <c r="F1490" i="1"/>
  <c r="H1490" i="1" s="1"/>
  <c r="G1490" i="1"/>
  <c r="Q1492" i="1" l="1"/>
  <c r="M1492" i="1"/>
  <c r="Q1491" i="1"/>
  <c r="M1491" i="1"/>
  <c r="K1490" i="1"/>
  <c r="L1490" i="1" s="1"/>
  <c r="G1489" i="1"/>
  <c r="F1489" i="1"/>
  <c r="H1489" i="1" s="1"/>
  <c r="M1490" i="1" l="1"/>
  <c r="Q1490" i="1"/>
  <c r="K1489" i="1"/>
  <c r="L1489" i="1" s="1"/>
  <c r="E868" i="2"/>
  <c r="H868" i="2" s="1"/>
  <c r="E870" i="2"/>
  <c r="H870" i="2" s="1"/>
  <c r="E869" i="2"/>
  <c r="H869" i="2" s="1"/>
  <c r="Q1489" i="1" l="1"/>
  <c r="M1489" i="1"/>
  <c r="I868" i="2"/>
  <c r="N868" i="2" s="1"/>
  <c r="I870" i="2"/>
  <c r="Q870" i="2" s="1"/>
  <c r="I869" i="2"/>
  <c r="J869" i="2" s="1"/>
  <c r="E865" i="2"/>
  <c r="H865" i="2" s="1"/>
  <c r="E866" i="2"/>
  <c r="F1488" i="1"/>
  <c r="H1488" i="1" s="1"/>
  <c r="K1488" i="1" s="1"/>
  <c r="L1488" i="1" s="1"/>
  <c r="O1488" i="1" s="1"/>
  <c r="G1488" i="1"/>
  <c r="F1487" i="1"/>
  <c r="H1487" i="1" s="1"/>
  <c r="G1487" i="1"/>
  <c r="G1486" i="1"/>
  <c r="F1486" i="1"/>
  <c r="H1486" i="1" s="1"/>
  <c r="K1486" i="1" s="1"/>
  <c r="L1486" i="1" s="1"/>
  <c r="F1485" i="1"/>
  <c r="H1485" i="1" s="1"/>
  <c r="K1485" i="1" s="1"/>
  <c r="G1485" i="1"/>
  <c r="F1484" i="1"/>
  <c r="H1484" i="1" s="1"/>
  <c r="K1484" i="1" s="1"/>
  <c r="L1484" i="1" s="1"/>
  <c r="O1484" i="1" s="1"/>
  <c r="G1484" i="1"/>
  <c r="G1483" i="1"/>
  <c r="F1483" i="1"/>
  <c r="H1483" i="1" s="1"/>
  <c r="K1483" i="1" s="1"/>
  <c r="L1483" i="1" s="1"/>
  <c r="E867" i="2"/>
  <c r="H867" i="2" s="1"/>
  <c r="Q868" i="2" l="1"/>
  <c r="N870" i="2"/>
  <c r="K870" i="2"/>
  <c r="N869" i="2"/>
  <c r="Q869" i="2"/>
  <c r="I865" i="2"/>
  <c r="Q865" i="2" s="1"/>
  <c r="H866" i="2"/>
  <c r="K1487" i="1"/>
  <c r="L1487" i="1" s="1"/>
  <c r="Q1488" i="1"/>
  <c r="O1486" i="1"/>
  <c r="Q1486" i="1"/>
  <c r="L1485" i="1"/>
  <c r="O1483" i="1"/>
  <c r="Q1483" i="1"/>
  <c r="Q1484" i="1"/>
  <c r="I867" i="2"/>
  <c r="Q867" i="2" s="1"/>
  <c r="E862" i="2"/>
  <c r="G1482" i="1"/>
  <c r="F1482" i="1"/>
  <c r="H1482" i="1" s="1"/>
  <c r="F1481" i="1"/>
  <c r="H1481" i="1" s="1"/>
  <c r="G1481" i="1"/>
  <c r="E863" i="2"/>
  <c r="H863" i="2" s="1"/>
  <c r="I863" i="2" s="1"/>
  <c r="N863" i="2" s="1"/>
  <c r="E864" i="2"/>
  <c r="H864" i="2" s="1"/>
  <c r="F1479" i="1"/>
  <c r="H1479" i="1" s="1"/>
  <c r="K1479" i="1" s="1"/>
  <c r="L1479" i="1" s="1"/>
  <c r="G1479" i="1"/>
  <c r="G1480" i="1"/>
  <c r="F1480" i="1"/>
  <c r="H1480" i="1" s="1"/>
  <c r="G1478" i="1"/>
  <c r="F1478" i="1"/>
  <c r="H1478" i="1" s="1"/>
  <c r="N865" i="2" l="1"/>
  <c r="J865" i="2"/>
  <c r="I866" i="2"/>
  <c r="Q1487" i="1"/>
  <c r="O1487" i="1"/>
  <c r="Q1485" i="1"/>
  <c r="O1485" i="1"/>
  <c r="J867" i="2"/>
  <c r="N867" i="2"/>
  <c r="H862" i="2"/>
  <c r="K1482" i="1"/>
  <c r="L1482" i="1" s="1"/>
  <c r="O1479" i="1"/>
  <c r="Q1479" i="1"/>
  <c r="K1481" i="1"/>
  <c r="L1481" i="1" s="1"/>
  <c r="K863" i="2"/>
  <c r="Q863" i="2"/>
  <c r="I864" i="2"/>
  <c r="K1480" i="1"/>
  <c r="L1480" i="1" s="1"/>
  <c r="K1478" i="1"/>
  <c r="L1478" i="1" s="1"/>
  <c r="E856" i="2"/>
  <c r="H856" i="2" s="1"/>
  <c r="E858" i="2"/>
  <c r="H858" i="2" s="1"/>
  <c r="I858" i="2" s="1"/>
  <c r="N858" i="2" s="1"/>
  <c r="E857" i="2"/>
  <c r="H857" i="2" s="1"/>
  <c r="I857" i="2" s="1"/>
  <c r="E861" i="2"/>
  <c r="H861" i="2" s="1"/>
  <c r="I861" i="2" s="1"/>
  <c r="J861" i="2" s="1"/>
  <c r="N866" i="2" l="1"/>
  <c r="L866" i="2"/>
  <c r="Q866" i="2"/>
  <c r="I862" i="2"/>
  <c r="Q1482" i="1"/>
  <c r="O1482" i="1"/>
  <c r="Q1481" i="1"/>
  <c r="O1481" i="1"/>
  <c r="K864" i="2"/>
  <c r="N864" i="2"/>
  <c r="Q864" i="2"/>
  <c r="Q1480" i="1"/>
  <c r="M1480" i="1"/>
  <c r="Q1478" i="1"/>
  <c r="O1478" i="1"/>
  <c r="I856" i="2"/>
  <c r="N856" i="2" s="1"/>
  <c r="L857" i="2"/>
  <c r="Q857" i="2"/>
  <c r="N857" i="2"/>
  <c r="M857" i="2"/>
  <c r="L858" i="2"/>
  <c r="Q858" i="2"/>
  <c r="N861" i="2"/>
  <c r="Q861" i="2"/>
  <c r="J862" i="2" l="1"/>
  <c r="N862" i="2"/>
  <c r="Q862" i="2"/>
  <c r="Q856" i="2"/>
  <c r="G1477" i="1" l="1"/>
  <c r="F1477" i="1"/>
  <c r="H1477" i="1" s="1"/>
  <c r="G1476" i="1"/>
  <c r="F1476" i="1"/>
  <c r="H1476" i="1" s="1"/>
  <c r="G1475" i="1"/>
  <c r="F1475" i="1"/>
  <c r="H1475" i="1" s="1"/>
  <c r="F1474" i="1"/>
  <c r="H1474" i="1" s="1"/>
  <c r="K1474" i="1" s="1"/>
  <c r="L1474" i="1" s="1"/>
  <c r="G1474" i="1"/>
  <c r="G1473" i="1"/>
  <c r="F1473" i="1"/>
  <c r="H1473" i="1" s="1"/>
  <c r="K1473" i="1" s="1"/>
  <c r="E860" i="2"/>
  <c r="H860" i="2" s="1"/>
  <c r="E859" i="2"/>
  <c r="H859" i="2" s="1"/>
  <c r="E855" i="2"/>
  <c r="H855" i="2" s="1"/>
  <c r="K1477" i="1" l="1"/>
  <c r="L1477" i="1" s="1"/>
  <c r="K1475" i="1"/>
  <c r="L1475" i="1" s="1"/>
  <c r="K1476" i="1"/>
  <c r="L1476" i="1" s="1"/>
  <c r="L1473" i="1"/>
  <c r="O1474" i="1"/>
  <c r="Q1474" i="1"/>
  <c r="I860" i="2"/>
  <c r="K860" i="2" s="1"/>
  <c r="I859" i="2"/>
  <c r="L859" i="2" s="1"/>
  <c r="I855" i="2"/>
  <c r="L855" i="2" s="1"/>
  <c r="E851" i="2"/>
  <c r="H851" i="2" s="1"/>
  <c r="E852" i="2"/>
  <c r="F1470" i="1"/>
  <c r="H1470" i="1" s="1"/>
  <c r="K1470" i="1" s="1"/>
  <c r="L1470" i="1" s="1"/>
  <c r="G1470" i="1"/>
  <c r="G1472" i="1"/>
  <c r="F1472" i="1"/>
  <c r="H1472" i="1" s="1"/>
  <c r="G1471" i="1"/>
  <c r="F1471" i="1"/>
  <c r="H1471" i="1" s="1"/>
  <c r="E854" i="2"/>
  <c r="H854" i="2" s="1"/>
  <c r="E853" i="2"/>
  <c r="H853" i="2" s="1"/>
  <c r="G1468" i="1"/>
  <c r="F1468" i="1"/>
  <c r="H1468" i="1" s="1"/>
  <c r="K1468" i="1" s="1"/>
  <c r="L1468" i="1" s="1"/>
  <c r="G1469" i="1"/>
  <c r="F1469" i="1"/>
  <c r="H1469" i="1" s="1"/>
  <c r="E850" i="2"/>
  <c r="H850" i="2" s="1"/>
  <c r="Q1477" i="1" l="1"/>
  <c r="O1477" i="1"/>
  <c r="Q1476" i="1"/>
  <c r="O1476" i="1"/>
  <c r="Q1475" i="1"/>
  <c r="O1475" i="1"/>
  <c r="Q1473" i="1"/>
  <c r="O1473" i="1"/>
  <c r="Q860" i="2"/>
  <c r="N860" i="2"/>
  <c r="N859" i="2"/>
  <c r="Q859" i="2"/>
  <c r="Q855" i="2"/>
  <c r="N855" i="2"/>
  <c r="I851" i="2"/>
  <c r="H852" i="2"/>
  <c r="O1470" i="1"/>
  <c r="Q1470" i="1"/>
  <c r="K1472" i="1"/>
  <c r="L1472" i="1" s="1"/>
  <c r="K1471" i="1"/>
  <c r="L1471" i="1" s="1"/>
  <c r="I853" i="2"/>
  <c r="I854" i="2"/>
  <c r="Q1468" i="1"/>
  <c r="O1468" i="1"/>
  <c r="K1469" i="1"/>
  <c r="L1469" i="1" s="1"/>
  <c r="I850" i="2"/>
  <c r="L850" i="2" s="1"/>
  <c r="G1467" i="1"/>
  <c r="F1467" i="1"/>
  <c r="H1467" i="1" s="1"/>
  <c r="N851" i="2" l="1"/>
  <c r="K851" i="2"/>
  <c r="Q851" i="2"/>
  <c r="N853" i="2"/>
  <c r="J853" i="2"/>
  <c r="N854" i="2"/>
  <c r="K854" i="2"/>
  <c r="Q854" i="2"/>
  <c r="I852" i="2"/>
  <c r="M1471" i="1"/>
  <c r="O1471" i="1"/>
  <c r="Q1471" i="1"/>
  <c r="M1472" i="1"/>
  <c r="O1472" i="1"/>
  <c r="Q1472" i="1"/>
  <c r="Q853" i="2"/>
  <c r="Q1469" i="1"/>
  <c r="O1469" i="1"/>
  <c r="Q850" i="2"/>
  <c r="K1467" i="1"/>
  <c r="L1467" i="1" s="1"/>
  <c r="G1466" i="1"/>
  <c r="F1466" i="1"/>
  <c r="H1466" i="1" s="1"/>
  <c r="N852" i="2" l="1"/>
  <c r="Q852" i="2"/>
  <c r="Q1467" i="1"/>
  <c r="O1467" i="1"/>
  <c r="K1466" i="1"/>
  <c r="L1466" i="1" s="1"/>
  <c r="E848" i="2"/>
  <c r="H848" i="2" s="1"/>
  <c r="I848" i="2" s="1"/>
  <c r="N848" i="2" s="1"/>
  <c r="E849" i="2"/>
  <c r="H849" i="2" s="1"/>
  <c r="Q1466" i="1" l="1"/>
  <c r="O1466" i="1"/>
  <c r="I849" i="2"/>
  <c r="J848" i="2"/>
  <c r="Q848" i="2"/>
  <c r="F1465" i="1"/>
  <c r="H1465" i="1" s="1"/>
  <c r="K1465" i="1" s="1"/>
  <c r="L1465" i="1" s="1"/>
  <c r="O1465" i="1" s="1"/>
  <c r="G1465" i="1"/>
  <c r="G1464" i="1"/>
  <c r="F1464" i="1"/>
  <c r="H1464" i="1" s="1"/>
  <c r="G1463" i="1"/>
  <c r="F1463" i="1"/>
  <c r="H1463" i="1" s="1"/>
  <c r="G1462" i="1"/>
  <c r="F1462" i="1"/>
  <c r="H1462" i="1" s="1"/>
  <c r="F1461" i="1"/>
  <c r="H1461" i="1" s="1"/>
  <c r="G1461" i="1"/>
  <c r="N849" i="2" l="1"/>
  <c r="K849" i="2"/>
  <c r="Q849" i="2"/>
  <c r="Q1465" i="1"/>
  <c r="K1464" i="1"/>
  <c r="L1464" i="1" s="1"/>
  <c r="K1463" i="1"/>
  <c r="L1463" i="1" s="1"/>
  <c r="K1462" i="1"/>
  <c r="L1462" i="1" s="1"/>
  <c r="K1461" i="1"/>
  <c r="L1461" i="1" s="1"/>
  <c r="F1460" i="1"/>
  <c r="H1460" i="1" s="1"/>
  <c r="G1460" i="1"/>
  <c r="O1464" i="1" l="1"/>
  <c r="Q1464" i="1"/>
  <c r="Q1463" i="1"/>
  <c r="O1463" i="1"/>
  <c r="Q1462" i="1"/>
  <c r="O1462" i="1"/>
  <c r="Q1461" i="1"/>
  <c r="M1461" i="1"/>
  <c r="K1460" i="1"/>
  <c r="L1460" i="1" s="1"/>
  <c r="G1459" i="1"/>
  <c r="F1459" i="1"/>
  <c r="H1459" i="1" s="1"/>
  <c r="K1459" i="1" s="1"/>
  <c r="L1459" i="1" s="1"/>
  <c r="G1458" i="1"/>
  <c r="F1458" i="1"/>
  <c r="H1458" i="1" s="1"/>
  <c r="Q1460" i="1" l="1"/>
  <c r="O1460" i="1"/>
  <c r="Q1459" i="1"/>
  <c r="O1459" i="1"/>
  <c r="K1458" i="1"/>
  <c r="L1458" i="1" s="1"/>
  <c r="Q1458" i="1" l="1"/>
  <c r="O1458" i="1"/>
  <c r="G1457" i="1" l="1"/>
  <c r="F1457" i="1"/>
  <c r="H1457" i="1" s="1"/>
  <c r="K1457" i="1" s="1"/>
  <c r="L1457" i="1" s="1"/>
  <c r="G1456" i="1"/>
  <c r="F1456" i="1"/>
  <c r="H1456" i="1" s="1"/>
  <c r="E845" i="2"/>
  <c r="H845" i="2" s="1"/>
  <c r="E3" i="1"/>
  <c r="F3" i="1" s="1"/>
  <c r="O1457" i="1" l="1"/>
  <c r="Q1457" i="1"/>
  <c r="K1456" i="1"/>
  <c r="L1456" i="1" s="1"/>
  <c r="I845" i="2"/>
  <c r="Q845" i="2" s="1"/>
  <c r="Q1456" i="1" l="1"/>
  <c r="O1456" i="1"/>
  <c r="M845" i="2"/>
  <c r="L845" i="2"/>
  <c r="O845" i="2"/>
  <c r="N845" i="2"/>
  <c r="E847" i="2" l="1"/>
  <c r="E846" i="2"/>
  <c r="G1455" i="1"/>
  <c r="F1455" i="1"/>
  <c r="H1455" i="1" s="1"/>
  <c r="G1454" i="1"/>
  <c r="F1454" i="1"/>
  <c r="H1454" i="1" s="1"/>
  <c r="H847" i="2" l="1"/>
  <c r="H846" i="2"/>
  <c r="K1454" i="1"/>
  <c r="L1454" i="1" s="1"/>
  <c r="K1455" i="1"/>
  <c r="L1455" i="1" s="1"/>
  <c r="E844" i="2"/>
  <c r="H844" i="2" s="1"/>
  <c r="I844" i="2" s="1"/>
  <c r="M843" i="2"/>
  <c r="N843" i="2"/>
  <c r="E841" i="2"/>
  <c r="H841" i="2" s="1"/>
  <c r="E842" i="2"/>
  <c r="H842" i="2" s="1"/>
  <c r="I847" i="2" l="1"/>
  <c r="M847" i="2" s="1"/>
  <c r="I846" i="2"/>
  <c r="L846" i="2" s="1"/>
  <c r="Q1455" i="1"/>
  <c r="O1455" i="1"/>
  <c r="M1454" i="1"/>
  <c r="Q1454" i="1"/>
  <c r="N844" i="2"/>
  <c r="M844" i="2"/>
  <c r="L844" i="2"/>
  <c r="I841" i="2"/>
  <c r="I842" i="2"/>
  <c r="L842" i="2" s="1"/>
  <c r="F1453" i="1"/>
  <c r="H1453" i="1" s="1"/>
  <c r="K1453" i="1" s="1"/>
  <c r="L1453" i="1" s="1"/>
  <c r="G1453" i="1"/>
  <c r="N847" i="2" l="1"/>
  <c r="Q847" i="2"/>
  <c r="N846" i="2"/>
  <c r="Q846" i="2"/>
  <c r="N841" i="2"/>
  <c r="Q841" i="2"/>
  <c r="N842" i="2"/>
  <c r="Q842" i="2"/>
  <c r="Q1453" i="1"/>
  <c r="M1453" i="1"/>
  <c r="G1450" i="1"/>
  <c r="F1450" i="1"/>
  <c r="H1450" i="1" s="1"/>
  <c r="G1452" i="1"/>
  <c r="F1452" i="1"/>
  <c r="H1452" i="1" s="1"/>
  <c r="F1451" i="1"/>
  <c r="H1451" i="1" s="1"/>
  <c r="G1451" i="1"/>
  <c r="G1449" i="1"/>
  <c r="F1449" i="1"/>
  <c r="H1449" i="1" s="1"/>
  <c r="G1448" i="1"/>
  <c r="F1448" i="1"/>
  <c r="H1448" i="1" s="1"/>
  <c r="K1450" i="1" l="1"/>
  <c r="L1450" i="1" s="1"/>
  <c r="M1450" i="1" s="1"/>
  <c r="K1452" i="1"/>
  <c r="L1452" i="1" s="1"/>
  <c r="K1451" i="1"/>
  <c r="L1451" i="1" s="1"/>
  <c r="K1449" i="1"/>
  <c r="L1449" i="1" s="1"/>
  <c r="K1448" i="1"/>
  <c r="L1448" i="1" s="1"/>
  <c r="G1447" i="1"/>
  <c r="F1447" i="1"/>
  <c r="H1447" i="1" s="1"/>
  <c r="F1446" i="1"/>
  <c r="H1446" i="1" s="1"/>
  <c r="K1446" i="1" s="1"/>
  <c r="G1446" i="1"/>
  <c r="F1445" i="1"/>
  <c r="H1445" i="1" s="1"/>
  <c r="K1445" i="1" s="1"/>
  <c r="L1445" i="1" s="1"/>
  <c r="G1445" i="1"/>
  <c r="F1444" i="1"/>
  <c r="H1444" i="1" s="1"/>
  <c r="G1444" i="1"/>
  <c r="E838" i="2"/>
  <c r="Q1452" i="1" l="1"/>
  <c r="M1452" i="1"/>
  <c r="Q1451" i="1"/>
  <c r="M1451" i="1"/>
  <c r="Q1449" i="1"/>
  <c r="O1449" i="1"/>
  <c r="Q1448" i="1"/>
  <c r="O1448" i="1"/>
  <c r="M1448" i="1"/>
  <c r="K1447" i="1"/>
  <c r="L1447" i="1" s="1"/>
  <c r="L1446" i="1"/>
  <c r="K1444" i="1"/>
  <c r="L1444" i="1" s="1"/>
  <c r="O1445" i="1"/>
  <c r="Q1445" i="1"/>
  <c r="H838" i="2"/>
  <c r="I838" i="2" s="1"/>
  <c r="Q1447" i="1" l="1"/>
  <c r="M1447" i="1"/>
  <c r="Q1446" i="1"/>
  <c r="M1446" i="1"/>
  <c r="Q1444" i="1"/>
  <c r="O1444" i="1"/>
  <c r="N838" i="2"/>
  <c r="M838" i="2"/>
  <c r="Q838" i="2"/>
  <c r="G1443" i="1"/>
  <c r="F1443" i="1"/>
  <c r="H1443" i="1" s="1"/>
  <c r="G1442" i="1"/>
  <c r="F1442" i="1"/>
  <c r="H1442" i="1" s="1"/>
  <c r="G1441" i="1"/>
  <c r="F1441" i="1"/>
  <c r="H1441" i="1" s="1"/>
  <c r="K1443" i="1" l="1"/>
  <c r="L1443" i="1" s="1"/>
  <c r="K1441" i="1"/>
  <c r="L1441" i="1" s="1"/>
  <c r="K1442" i="1"/>
  <c r="L1442" i="1" s="1"/>
  <c r="E840" i="2"/>
  <c r="H840" i="2" s="1"/>
  <c r="E839" i="2"/>
  <c r="H839" i="2" s="1"/>
  <c r="I839" i="2" s="1"/>
  <c r="N839" i="2" s="1"/>
  <c r="F1440" i="1"/>
  <c r="H1440" i="1" s="1"/>
  <c r="G1440" i="1"/>
  <c r="Q1443" i="1" l="1"/>
  <c r="M1443" i="1"/>
  <c r="Q1442" i="1"/>
  <c r="M1442" i="1"/>
  <c r="O1442" i="1"/>
  <c r="Q1441" i="1"/>
  <c r="O1441" i="1"/>
  <c r="I840" i="2"/>
  <c r="L839" i="2"/>
  <c r="K839" i="2"/>
  <c r="J839" i="2"/>
  <c r="Q839" i="2"/>
  <c r="K1440" i="1"/>
  <c r="L1440" i="1" s="1"/>
  <c r="O1440" i="1" s="1"/>
  <c r="E836" i="2"/>
  <c r="H836" i="2" s="1"/>
  <c r="I836" i="2" s="1"/>
  <c r="L836" i="2" s="1"/>
  <c r="E837" i="2"/>
  <c r="H837" i="2" s="1"/>
  <c r="F1439" i="1"/>
  <c r="H1439" i="1" s="1"/>
  <c r="G1439" i="1"/>
  <c r="G1438" i="1"/>
  <c r="F1438" i="1"/>
  <c r="H1438" i="1" s="1"/>
  <c r="N840" i="2" l="1"/>
  <c r="L840" i="2"/>
  <c r="K840" i="2"/>
  <c r="J840" i="2"/>
  <c r="Q840" i="2"/>
  <c r="I837" i="2"/>
  <c r="M837" i="2" s="1"/>
  <c r="Q836" i="2"/>
  <c r="K1439" i="1"/>
  <c r="L1439" i="1" s="1"/>
  <c r="O1439" i="1" s="1"/>
  <c r="K1438" i="1"/>
  <c r="L1438" i="1" s="1"/>
  <c r="O1438" i="1" s="1"/>
  <c r="G1435" i="1"/>
  <c r="F1435" i="1"/>
  <c r="H1435" i="1" s="1"/>
  <c r="G1434" i="1"/>
  <c r="F1434" i="1"/>
  <c r="H1434" i="1" s="1"/>
  <c r="G1437" i="1"/>
  <c r="F1437" i="1"/>
  <c r="H1437" i="1" s="1"/>
  <c r="G1436" i="1"/>
  <c r="F1436" i="1"/>
  <c r="H1436" i="1" s="1"/>
  <c r="E835" i="2"/>
  <c r="H835" i="2" s="1"/>
  <c r="E834" i="2"/>
  <c r="E833" i="2"/>
  <c r="H833" i="2" s="1"/>
  <c r="I833" i="2" s="1"/>
  <c r="Q837" i="2" l="1"/>
  <c r="K1434" i="1"/>
  <c r="L1434" i="1" s="1"/>
  <c r="K1435" i="1"/>
  <c r="L1435" i="1" s="1"/>
  <c r="K1437" i="1"/>
  <c r="L1437" i="1" s="1"/>
  <c r="K1436" i="1"/>
  <c r="L1436" i="1" s="1"/>
  <c r="O1436" i="1" s="1"/>
  <c r="I835" i="2"/>
  <c r="Q835" i="2" s="1"/>
  <c r="H834" i="2"/>
  <c r="M833" i="2"/>
  <c r="L833" i="2"/>
  <c r="N833" i="2"/>
  <c r="Q833" i="2"/>
  <c r="E830" i="2"/>
  <c r="H830" i="2" s="1"/>
  <c r="I830" i="2" s="1"/>
  <c r="N830" i="2" s="1"/>
  <c r="E831" i="2"/>
  <c r="H831" i="2" s="1"/>
  <c r="I831" i="2" s="1"/>
  <c r="M831" i="2" s="1"/>
  <c r="O1437" i="1" l="1"/>
  <c r="M1437" i="1"/>
  <c r="M1434" i="1"/>
  <c r="Q1434" i="1"/>
  <c r="Q1435" i="1"/>
  <c r="O1435" i="1"/>
  <c r="Q1437" i="1"/>
  <c r="Q1436" i="1"/>
  <c r="M1436" i="1"/>
  <c r="N835" i="2"/>
  <c r="K835" i="2"/>
  <c r="I834" i="2"/>
  <c r="O834" i="2" s="1"/>
  <c r="N831" i="2"/>
  <c r="Q831" i="2"/>
  <c r="Q830" i="2"/>
  <c r="G1433" i="1"/>
  <c r="F1433" i="1"/>
  <c r="H1433" i="1" s="1"/>
  <c r="L834" i="2" l="1"/>
  <c r="N834" i="2"/>
  <c r="M834" i="2"/>
  <c r="Q834" i="2"/>
  <c r="K1433" i="1"/>
  <c r="L1433" i="1" s="1"/>
  <c r="E832" i="2"/>
  <c r="Q1433" i="1" l="1"/>
  <c r="M1433" i="1"/>
  <c r="H832" i="2"/>
  <c r="I832" i="2" s="1"/>
  <c r="N832" i="2" s="1"/>
  <c r="G1432" i="1"/>
  <c r="F1432" i="1"/>
  <c r="H1432" i="1" s="1"/>
  <c r="E824" i="2"/>
  <c r="E825" i="2"/>
  <c r="H825" i="2" s="1"/>
  <c r="F1431" i="1"/>
  <c r="H1431" i="1" s="1"/>
  <c r="G1431" i="1"/>
  <c r="E827" i="2"/>
  <c r="H827" i="2" s="1"/>
  <c r="E826" i="2"/>
  <c r="H826" i="2" s="1"/>
  <c r="E829" i="2"/>
  <c r="H829" i="2" s="1"/>
  <c r="E828" i="2"/>
  <c r="H828" i="2" s="1"/>
  <c r="Q832" i="2" l="1"/>
  <c r="K1432" i="1"/>
  <c r="L1432" i="1" s="1"/>
  <c r="I827" i="2"/>
  <c r="N827" i="2" s="1"/>
  <c r="I826" i="2"/>
  <c r="Q826" i="2" s="1"/>
  <c r="H824" i="2"/>
  <c r="I825" i="2"/>
  <c r="M825" i="2" s="1"/>
  <c r="K1431" i="1"/>
  <c r="L1431" i="1" s="1"/>
  <c r="I829" i="2"/>
  <c r="I828" i="2"/>
  <c r="G1430" i="1"/>
  <c r="F1430" i="1"/>
  <c r="H1430" i="1" s="1"/>
  <c r="L827" i="2" l="1"/>
  <c r="Q827" i="2"/>
  <c r="Q1432" i="1"/>
  <c r="M1432" i="1"/>
  <c r="L826" i="2"/>
  <c r="N826" i="2"/>
  <c r="I824" i="2"/>
  <c r="N825" i="2"/>
  <c r="L825" i="2"/>
  <c r="Q825" i="2"/>
  <c r="Q1431" i="1"/>
  <c r="O1431" i="1"/>
  <c r="N829" i="2"/>
  <c r="K829" i="2"/>
  <c r="Q829" i="2"/>
  <c r="N828" i="2"/>
  <c r="L828" i="2"/>
  <c r="Q828" i="2"/>
  <c r="K1430" i="1"/>
  <c r="L1430" i="1" s="1"/>
  <c r="G1429" i="1"/>
  <c r="F1429" i="1"/>
  <c r="H1429" i="1" s="1"/>
  <c r="Q824" i="2" l="1"/>
  <c r="Q1430" i="1"/>
  <c r="M1430" i="1"/>
  <c r="K1429" i="1"/>
  <c r="L1429" i="1" s="1"/>
  <c r="F1428" i="1"/>
  <c r="H1428" i="1" s="1"/>
  <c r="G1428" i="1"/>
  <c r="G1426" i="1"/>
  <c r="F1426" i="1"/>
  <c r="H1426" i="1" s="1"/>
  <c r="G1425" i="1"/>
  <c r="F1425" i="1"/>
  <c r="H1425" i="1" s="1"/>
  <c r="F1427" i="1"/>
  <c r="H1427" i="1" s="1"/>
  <c r="G1427" i="1"/>
  <c r="E816" i="2"/>
  <c r="H816" i="2" s="1"/>
  <c r="E817" i="2"/>
  <c r="E818" i="2"/>
  <c r="H818" i="2" s="1"/>
  <c r="I818" i="2" s="1"/>
  <c r="L818" i="2" s="1"/>
  <c r="E822" i="2"/>
  <c r="H822" i="2" s="1"/>
  <c r="E823" i="2"/>
  <c r="E819" i="2"/>
  <c r="E820" i="2"/>
  <c r="H820" i="2" s="1"/>
  <c r="E821" i="2"/>
  <c r="H821" i="2" s="1"/>
  <c r="Q1429" i="1" l="1"/>
  <c r="M1429" i="1"/>
  <c r="K1428" i="1"/>
  <c r="L1428" i="1" s="1"/>
  <c r="K1426" i="1"/>
  <c r="L1426" i="1" s="1"/>
  <c r="K1425" i="1"/>
  <c r="L1425" i="1" s="1"/>
  <c r="K1427" i="1"/>
  <c r="L1427" i="1" s="1"/>
  <c r="N818" i="2"/>
  <c r="Q818" i="2"/>
  <c r="I816" i="2"/>
  <c r="N816" i="2" s="1"/>
  <c r="I822" i="2"/>
  <c r="N822" i="2" s="1"/>
  <c r="H817" i="2"/>
  <c r="I817" i="2" s="1"/>
  <c r="H823" i="2"/>
  <c r="I820" i="2"/>
  <c r="M820" i="2" s="1"/>
  <c r="I821" i="2"/>
  <c r="L821" i="2" s="1"/>
  <c r="H819" i="2"/>
  <c r="F1415" i="1"/>
  <c r="F1424" i="1"/>
  <c r="H1424" i="1" s="1"/>
  <c r="G1424" i="1"/>
  <c r="F1423" i="1"/>
  <c r="H1423" i="1" s="1"/>
  <c r="F1422" i="1"/>
  <c r="H1422" i="1" s="1"/>
  <c r="K1422" i="1" s="1"/>
  <c r="L1422" i="1" s="1"/>
  <c r="G1422" i="1"/>
  <c r="G1423" i="1"/>
  <c r="F1421" i="1"/>
  <c r="H1421" i="1" s="1"/>
  <c r="K1421" i="1" s="1"/>
  <c r="L1421" i="1" s="1"/>
  <c r="G1421" i="1"/>
  <c r="E813" i="2"/>
  <c r="H813" i="2" s="1"/>
  <c r="E815" i="2"/>
  <c r="H815" i="2" s="1"/>
  <c r="Q1428" i="1" l="1"/>
  <c r="M1428" i="1"/>
  <c r="Q1426" i="1"/>
  <c r="M1426" i="1"/>
  <c r="O1425" i="1"/>
  <c r="Q1425" i="1"/>
  <c r="Q1427" i="1"/>
  <c r="M1427" i="1"/>
  <c r="N817" i="2"/>
  <c r="M817" i="2"/>
  <c r="Q816" i="2"/>
  <c r="Q822" i="2"/>
  <c r="Q817" i="2"/>
  <c r="I823" i="2"/>
  <c r="N821" i="2"/>
  <c r="N820" i="2"/>
  <c r="I819" i="2"/>
  <c r="Q820" i="2"/>
  <c r="Q821" i="2"/>
  <c r="K1424" i="1"/>
  <c r="L1424" i="1" s="1"/>
  <c r="O1422" i="1"/>
  <c r="Q1422" i="1"/>
  <c r="K1423" i="1"/>
  <c r="L1423" i="1" s="1"/>
  <c r="Q1421" i="1"/>
  <c r="M1421" i="1"/>
  <c r="I813" i="2"/>
  <c r="Q813" i="2" s="1"/>
  <c r="I815" i="2"/>
  <c r="E814" i="2"/>
  <c r="H814" i="2" s="1"/>
  <c r="N823" i="2" l="1"/>
  <c r="M823" i="2"/>
  <c r="Q823" i="2"/>
  <c r="N819" i="2"/>
  <c r="Q819" i="2"/>
  <c r="Q1424" i="1"/>
  <c r="M1424" i="1"/>
  <c r="Q1423" i="1"/>
  <c r="M1423" i="1"/>
  <c r="N813" i="2"/>
  <c r="K813" i="2"/>
  <c r="N815" i="2"/>
  <c r="J815" i="2"/>
  <c r="Q815" i="2"/>
  <c r="I814" i="2"/>
  <c r="F1420" i="1"/>
  <c r="H1420" i="1" s="1"/>
  <c r="G1420" i="1"/>
  <c r="F1419" i="1"/>
  <c r="H1419" i="1" s="1"/>
  <c r="G1419" i="1"/>
  <c r="N814" i="2" l="1"/>
  <c r="K814" i="2"/>
  <c r="Q814" i="2"/>
  <c r="K1420" i="1"/>
  <c r="L1420" i="1" s="1"/>
  <c r="K1419" i="1"/>
  <c r="L1419" i="1" s="1"/>
  <c r="G1418" i="1"/>
  <c r="F1418" i="1"/>
  <c r="H1418" i="1" s="1"/>
  <c r="K1418" i="1" s="1"/>
  <c r="G1417" i="1"/>
  <c r="F1417" i="1"/>
  <c r="H1417" i="1" s="1"/>
  <c r="Q1420" i="1" l="1"/>
  <c r="M1420" i="1"/>
  <c r="Q1419" i="1"/>
  <c r="M1419" i="1"/>
  <c r="K1417" i="1"/>
  <c r="L1417" i="1" s="1"/>
  <c r="L1418" i="1"/>
  <c r="Q1418" i="1" s="1"/>
  <c r="Q1417" i="1" l="1"/>
  <c r="O1417" i="1"/>
  <c r="M1417" i="1"/>
  <c r="M1418" i="1"/>
  <c r="E812" i="2" l="1"/>
  <c r="E809" i="2"/>
  <c r="E811" i="2"/>
  <c r="F1416" i="1"/>
  <c r="H1416" i="1" s="1"/>
  <c r="G1416" i="1"/>
  <c r="G1415" i="1"/>
  <c r="H1415" i="1"/>
  <c r="H812" i="2" l="1"/>
  <c r="I812" i="2" s="1"/>
  <c r="H809" i="2"/>
  <c r="H811" i="2"/>
  <c r="K1416" i="1"/>
  <c r="L1416" i="1" s="1"/>
  <c r="K1415" i="1"/>
  <c r="L1415" i="1" s="1"/>
  <c r="F1414" i="1"/>
  <c r="H1414" i="1" s="1"/>
  <c r="G1414" i="1"/>
  <c r="E810" i="2"/>
  <c r="N812" i="2" l="1"/>
  <c r="M812" i="2"/>
  <c r="L812" i="2"/>
  <c r="Q812" i="2"/>
  <c r="I809" i="2"/>
  <c r="I811" i="2"/>
  <c r="Q811" i="2" s="1"/>
  <c r="Q1416" i="1"/>
  <c r="M1416" i="1"/>
  <c r="Q1415" i="1"/>
  <c r="M1415" i="1"/>
  <c r="K1414" i="1"/>
  <c r="L1414" i="1" s="1"/>
  <c r="H810" i="2"/>
  <c r="E806" i="2"/>
  <c r="F1413" i="1"/>
  <c r="H1413" i="1" s="1"/>
  <c r="G1413" i="1"/>
  <c r="F1412" i="1"/>
  <c r="H1412" i="1" s="1"/>
  <c r="G1412" i="1"/>
  <c r="F1411" i="1"/>
  <c r="H1411" i="1" s="1"/>
  <c r="G1411" i="1"/>
  <c r="E807" i="2"/>
  <c r="H807" i="2" s="1"/>
  <c r="N811" i="2" l="1"/>
  <c r="I807" i="2"/>
  <c r="K807" i="2" s="1"/>
  <c r="N809" i="2"/>
  <c r="L809" i="2"/>
  <c r="M809" i="2"/>
  <c r="Q809" i="2"/>
  <c r="L811" i="2"/>
  <c r="M811" i="2"/>
  <c r="Q1414" i="1"/>
  <c r="M1414" i="1"/>
  <c r="I810" i="2"/>
  <c r="H806" i="2"/>
  <c r="K1413" i="1"/>
  <c r="L1413" i="1" s="1"/>
  <c r="K1412" i="1"/>
  <c r="L1412" i="1" s="1"/>
  <c r="K1411" i="1"/>
  <c r="L1411" i="1" s="1"/>
  <c r="F1410" i="1"/>
  <c r="H1410" i="1" s="1"/>
  <c r="K1410" i="1" s="1"/>
  <c r="L1410" i="1" s="1"/>
  <c r="G1410" i="1"/>
  <c r="F1409" i="1"/>
  <c r="H1409" i="1" s="1"/>
  <c r="G1409" i="1"/>
  <c r="G1407" i="1"/>
  <c r="F1407" i="1"/>
  <c r="H1407" i="1" s="1"/>
  <c r="G1408" i="1"/>
  <c r="F1408" i="1"/>
  <c r="H1408" i="1" s="1"/>
  <c r="G1406" i="1"/>
  <c r="F1406" i="1"/>
  <c r="H1406" i="1" s="1"/>
  <c r="E808" i="2"/>
  <c r="H808" i="2" s="1"/>
  <c r="N807" i="2" l="1"/>
  <c r="Q807" i="2"/>
  <c r="I806" i="2"/>
  <c r="Q806" i="2" s="1"/>
  <c r="N810" i="2"/>
  <c r="L810" i="2"/>
  <c r="Q810" i="2"/>
  <c r="M1412" i="1"/>
  <c r="Q1412" i="1"/>
  <c r="Q1413" i="1"/>
  <c r="M1413" i="1"/>
  <c r="Q1411" i="1"/>
  <c r="O1411" i="1"/>
  <c r="K1409" i="1"/>
  <c r="L1409" i="1" s="1"/>
  <c r="M1410" i="1"/>
  <c r="Q1410" i="1"/>
  <c r="O1410" i="1"/>
  <c r="K1407" i="1"/>
  <c r="L1407" i="1" s="1"/>
  <c r="K1408" i="1"/>
  <c r="L1408" i="1" s="1"/>
  <c r="O1408" i="1" s="1"/>
  <c r="K1406" i="1"/>
  <c r="L1406" i="1" s="1"/>
  <c r="I808" i="2"/>
  <c r="L808" i="2" s="1"/>
  <c r="F1405" i="1"/>
  <c r="H1405" i="1" s="1"/>
  <c r="K1405" i="1" s="1"/>
  <c r="L1405" i="1" s="1"/>
  <c r="G1405" i="1"/>
  <c r="E805" i="2"/>
  <c r="H805" i="2" s="1"/>
  <c r="I805" i="2" s="1"/>
  <c r="O805" i="2" s="1"/>
  <c r="E804" i="2"/>
  <c r="H804" i="2" s="1"/>
  <c r="L806" i="2" l="1"/>
  <c r="N806" i="2"/>
  <c r="Q1409" i="1"/>
  <c r="O1409" i="1"/>
  <c r="M1409" i="1"/>
  <c r="Q1407" i="1"/>
  <c r="O1407" i="1"/>
  <c r="M1407" i="1"/>
  <c r="Q1408" i="1"/>
  <c r="M1408" i="1"/>
  <c r="Q1406" i="1"/>
  <c r="O1406" i="1"/>
  <c r="N808" i="2"/>
  <c r="Q808" i="2"/>
  <c r="Q1405" i="1"/>
  <c r="M1405" i="1"/>
  <c r="N805" i="2"/>
  <c r="Q805" i="2"/>
  <c r="I804" i="2"/>
  <c r="Q804" i="2" s="1"/>
  <c r="E802" i="2"/>
  <c r="H802" i="2" s="1"/>
  <c r="E803" i="2"/>
  <c r="H803" i="2" s="1"/>
  <c r="I803" i="2" s="1"/>
  <c r="L804" i="2" l="1"/>
  <c r="N804" i="2"/>
  <c r="I802" i="2"/>
  <c r="N803" i="2"/>
  <c r="Q803" i="2"/>
  <c r="L803" i="2"/>
  <c r="F1404" i="1"/>
  <c r="H1404" i="1" s="1"/>
  <c r="K1404" i="1" s="1"/>
  <c r="L1404" i="1" s="1"/>
  <c r="G1404" i="1"/>
  <c r="K802" i="2" l="1"/>
  <c r="N802" i="2"/>
  <c r="Q802" i="2"/>
  <c r="Q1404" i="1"/>
  <c r="M1404" i="1"/>
  <c r="E800" i="2"/>
  <c r="H800" i="2" s="1"/>
  <c r="I800" i="2" s="1"/>
  <c r="E801" i="2"/>
  <c r="H801" i="2" s="1"/>
  <c r="I801" i="2" s="1"/>
  <c r="L800" i="2" l="1"/>
  <c r="N800" i="2"/>
  <c r="Q800" i="2"/>
  <c r="N801" i="2"/>
  <c r="L801" i="2"/>
  <c r="Q801" i="2"/>
  <c r="E799" i="2"/>
  <c r="H799" i="2" l="1"/>
  <c r="E798" i="2"/>
  <c r="H798" i="2" s="1"/>
  <c r="F1403" i="1"/>
  <c r="H1403" i="1" s="1"/>
  <c r="G1403" i="1"/>
  <c r="I799" i="2" l="1"/>
  <c r="I798" i="2"/>
  <c r="K1403" i="1"/>
  <c r="L1403" i="1" s="1"/>
  <c r="G1402" i="1"/>
  <c r="F1402" i="1"/>
  <c r="H1402" i="1" s="1"/>
  <c r="P799" i="2" l="1"/>
  <c r="O799" i="2"/>
  <c r="N799" i="2"/>
  <c r="Q799" i="2"/>
  <c r="N798" i="2"/>
  <c r="M798" i="2"/>
  <c r="Q798" i="2"/>
  <c r="M1403" i="1"/>
  <c r="Q1403" i="1"/>
  <c r="K1402" i="1"/>
  <c r="L1402" i="1" s="1"/>
  <c r="G1401" i="1"/>
  <c r="F1401" i="1"/>
  <c r="H1401" i="1" s="1"/>
  <c r="F1400" i="1"/>
  <c r="H1400" i="1" s="1"/>
  <c r="K1400" i="1" s="1"/>
  <c r="G1400" i="1"/>
  <c r="F1399" i="1"/>
  <c r="H1399" i="1" s="1"/>
  <c r="G1399" i="1"/>
  <c r="M1402" i="1" l="1"/>
  <c r="Q1402" i="1"/>
  <c r="K1401" i="1"/>
  <c r="L1401" i="1" s="1"/>
  <c r="L1400" i="1"/>
  <c r="K1399" i="1"/>
  <c r="L1399" i="1" s="1"/>
  <c r="O1401" i="1" l="1"/>
  <c r="M1401" i="1"/>
  <c r="Q1401" i="1"/>
  <c r="Q1400" i="1"/>
  <c r="O1400" i="1"/>
  <c r="M1400" i="1"/>
  <c r="Q1399" i="1"/>
  <c r="O1399" i="1"/>
  <c r="M1399" i="1"/>
  <c r="F1398" i="1"/>
  <c r="H1398" i="1" s="1"/>
  <c r="K1398" i="1" s="1"/>
  <c r="G1398" i="1"/>
  <c r="L1398" i="1" l="1"/>
  <c r="O1398" i="1" s="1"/>
  <c r="G1397" i="1"/>
  <c r="F1397" i="1"/>
  <c r="H1397" i="1" s="1"/>
  <c r="E797" i="2"/>
  <c r="H797" i="2" s="1"/>
  <c r="Q1398" i="1" l="1"/>
  <c r="M1398" i="1"/>
  <c r="K1397" i="1"/>
  <c r="L1397" i="1" s="1"/>
  <c r="I797" i="2"/>
  <c r="E795" i="2"/>
  <c r="H795" i="2" s="1"/>
  <c r="I795" i="2" s="1"/>
  <c r="E796" i="2"/>
  <c r="H796" i="2" s="1"/>
  <c r="I796" i="2" s="1"/>
  <c r="G1396" i="1"/>
  <c r="F1396" i="1"/>
  <c r="H1396" i="1" s="1"/>
  <c r="F1395" i="1"/>
  <c r="H1395" i="1" s="1"/>
  <c r="G1395" i="1"/>
  <c r="G1394" i="1"/>
  <c r="F1394" i="1"/>
  <c r="H1394" i="1" s="1"/>
  <c r="G1393" i="1"/>
  <c r="F1393" i="1"/>
  <c r="H1393" i="1" s="1"/>
  <c r="E794" i="2"/>
  <c r="H794" i="2" s="1"/>
  <c r="E793" i="2"/>
  <c r="H793" i="2" s="1"/>
  <c r="I793" i="2" s="1"/>
  <c r="E792" i="2"/>
  <c r="H792" i="2" s="1"/>
  <c r="F1392" i="1"/>
  <c r="H1392" i="1" s="1"/>
  <c r="K1392" i="1" s="1"/>
  <c r="L1392" i="1" s="1"/>
  <c r="M1392" i="1" s="1"/>
  <c r="G1392" i="1"/>
  <c r="F1391" i="1"/>
  <c r="H1391" i="1" s="1"/>
  <c r="G1391" i="1"/>
  <c r="F1390" i="1"/>
  <c r="H1390" i="1" s="1"/>
  <c r="G1390" i="1"/>
  <c r="G1389" i="1"/>
  <c r="F1389" i="1"/>
  <c r="H1389" i="1" s="1"/>
  <c r="F1388" i="1"/>
  <c r="H1388" i="1" s="1"/>
  <c r="G1388" i="1"/>
  <c r="F1387" i="1"/>
  <c r="H1387" i="1" s="1"/>
  <c r="G1387" i="1"/>
  <c r="G1386" i="1"/>
  <c r="F1386" i="1"/>
  <c r="H1386" i="1" s="1"/>
  <c r="G1375" i="1"/>
  <c r="F1375" i="1"/>
  <c r="H1375" i="1" s="1"/>
  <c r="G1374" i="1"/>
  <c r="F1374" i="1"/>
  <c r="H1374" i="1" s="1"/>
  <c r="G1373" i="1"/>
  <c r="F1373" i="1"/>
  <c r="H1373" i="1" s="1"/>
  <c r="G1372" i="1"/>
  <c r="F1372" i="1"/>
  <c r="H1372" i="1" s="1"/>
  <c r="E787" i="2"/>
  <c r="H787" i="2" s="1"/>
  <c r="G1371" i="1"/>
  <c r="F1371" i="1"/>
  <c r="H1371" i="1" s="1"/>
  <c r="G1370" i="1"/>
  <c r="F1370" i="1"/>
  <c r="H1370" i="1" s="1"/>
  <c r="G1369" i="1"/>
  <c r="F1369" i="1"/>
  <c r="H1369" i="1" s="1"/>
  <c r="G1368" i="1"/>
  <c r="F1368" i="1"/>
  <c r="H1368" i="1" s="1"/>
  <c r="G1365" i="1"/>
  <c r="F1365" i="1"/>
  <c r="H1365" i="1" s="1"/>
  <c r="G1364" i="1"/>
  <c r="F1364" i="1"/>
  <c r="H1364" i="1" s="1"/>
  <c r="G1367" i="1"/>
  <c r="F1367" i="1"/>
  <c r="H1367" i="1" s="1"/>
  <c r="G1366" i="1"/>
  <c r="F1366" i="1"/>
  <c r="H1366" i="1" s="1"/>
  <c r="G1363" i="1"/>
  <c r="F1363" i="1"/>
  <c r="H1363" i="1" s="1"/>
  <c r="L797" i="2" l="1"/>
  <c r="M797" i="2"/>
  <c r="M1397" i="1"/>
  <c r="Q1397" i="1"/>
  <c r="N797" i="2"/>
  <c r="Q797" i="2"/>
  <c r="N795" i="2"/>
  <c r="M795" i="2"/>
  <c r="Q795" i="2"/>
  <c r="N796" i="2"/>
  <c r="Q796" i="2"/>
  <c r="L796" i="2"/>
  <c r="K1396" i="1"/>
  <c r="L1396" i="1" s="1"/>
  <c r="K1395" i="1"/>
  <c r="L1395" i="1" s="1"/>
  <c r="K1393" i="1"/>
  <c r="L1393" i="1" s="1"/>
  <c r="K1394" i="1"/>
  <c r="L1394" i="1" s="1"/>
  <c r="M1394" i="1" s="1"/>
  <c r="I794" i="2"/>
  <c r="Q794" i="2" s="1"/>
  <c r="K793" i="2"/>
  <c r="N793" i="2"/>
  <c r="Q793" i="2"/>
  <c r="I792" i="2"/>
  <c r="N792" i="2" s="1"/>
  <c r="K1391" i="1"/>
  <c r="L1391" i="1" s="1"/>
  <c r="O1391" i="1" s="1"/>
  <c r="K1390" i="1"/>
  <c r="L1390" i="1" s="1"/>
  <c r="M1390" i="1" s="1"/>
  <c r="K1389" i="1"/>
  <c r="L1389" i="1" s="1"/>
  <c r="K1388" i="1"/>
  <c r="L1388" i="1" s="1"/>
  <c r="K1387" i="1"/>
  <c r="L1387" i="1" s="1"/>
  <c r="K1386" i="1"/>
  <c r="L1386" i="1" s="1"/>
  <c r="O1386" i="1" s="1"/>
  <c r="K1375" i="1"/>
  <c r="L1375" i="1" s="1"/>
  <c r="O1375" i="1" s="1"/>
  <c r="K1374" i="1"/>
  <c r="L1374" i="1" s="1"/>
  <c r="O1374" i="1" s="1"/>
  <c r="K1373" i="1"/>
  <c r="L1373" i="1" s="1"/>
  <c r="K1372" i="1"/>
  <c r="L1372" i="1" s="1"/>
  <c r="O1372" i="1" s="1"/>
  <c r="I787" i="2"/>
  <c r="K1371" i="1"/>
  <c r="L1371" i="1" s="1"/>
  <c r="K1370" i="1"/>
  <c r="L1370" i="1" s="1"/>
  <c r="K1369" i="1"/>
  <c r="L1369" i="1" s="1"/>
  <c r="O1369" i="1" s="1"/>
  <c r="K1368" i="1"/>
  <c r="L1368" i="1" s="1"/>
  <c r="O1368" i="1" s="1"/>
  <c r="K1365" i="1"/>
  <c r="L1365" i="1" s="1"/>
  <c r="K1364" i="1"/>
  <c r="L1364" i="1" s="1"/>
  <c r="K1367" i="1"/>
  <c r="L1367" i="1" s="1"/>
  <c r="K1366" i="1"/>
  <c r="F1385" i="1"/>
  <c r="H1385" i="1" s="1"/>
  <c r="K1385" i="1" s="1"/>
  <c r="L1385" i="1" s="1"/>
  <c r="M1385" i="1" s="1"/>
  <c r="G1385" i="1"/>
  <c r="G1384" i="1"/>
  <c r="F1384" i="1"/>
  <c r="H1384" i="1" s="1"/>
  <c r="E16" i="11"/>
  <c r="H16" i="11"/>
  <c r="I16" i="11" s="1"/>
  <c r="N16" i="11" s="1"/>
  <c r="E15" i="11"/>
  <c r="E790" i="2"/>
  <c r="H790" i="2" s="1"/>
  <c r="I790" i="2" s="1"/>
  <c r="M790" i="2" s="1"/>
  <c r="E791" i="2"/>
  <c r="H791" i="2" s="1"/>
  <c r="G1383" i="1"/>
  <c r="F1383" i="1"/>
  <c r="H1383" i="1" s="1"/>
  <c r="G1382" i="1"/>
  <c r="F1382" i="1"/>
  <c r="H1382" i="1" s="1"/>
  <c r="G1381" i="1"/>
  <c r="F1381" i="1"/>
  <c r="H1381" i="1" s="1"/>
  <c r="G1380" i="1"/>
  <c r="F1380" i="1"/>
  <c r="H1380" i="1" s="1"/>
  <c r="K1380" i="1" s="1"/>
  <c r="L1380" i="1" s="1"/>
  <c r="E788" i="2"/>
  <c r="H788" i="2" s="1"/>
  <c r="I788" i="2" s="1"/>
  <c r="F1379" i="1"/>
  <c r="H1379" i="1" s="1"/>
  <c r="K1379" i="1" s="1"/>
  <c r="L1379" i="1" s="1"/>
  <c r="M1379" i="1" s="1"/>
  <c r="G1379" i="1"/>
  <c r="G1378" i="1"/>
  <c r="F1378" i="1"/>
  <c r="H1378" i="1" s="1"/>
  <c r="F1377" i="1"/>
  <c r="H1377" i="1" s="1"/>
  <c r="G1377" i="1"/>
  <c r="E789" i="2"/>
  <c r="F1376" i="1"/>
  <c r="H1376" i="1" s="1"/>
  <c r="G1376" i="1"/>
  <c r="F1362" i="1"/>
  <c r="H1362" i="1" s="1"/>
  <c r="G1362" i="1"/>
  <c r="E785" i="2"/>
  <c r="H785" i="2" s="1"/>
  <c r="I785" i="2" s="1"/>
  <c r="N785" i="2" s="1"/>
  <c r="E786" i="2"/>
  <c r="G1360" i="1"/>
  <c r="F1360" i="1"/>
  <c r="H1360" i="1" s="1"/>
  <c r="F1361" i="1"/>
  <c r="H1361" i="1" s="1"/>
  <c r="G1361" i="1"/>
  <c r="G1359" i="1"/>
  <c r="F1359" i="1"/>
  <c r="H1359" i="1" s="1"/>
  <c r="F1358" i="1"/>
  <c r="H1358" i="1" s="1"/>
  <c r="K1358" i="1" s="1"/>
  <c r="L1358" i="1" s="1"/>
  <c r="O1358" i="1" s="1"/>
  <c r="G1358" i="1"/>
  <c r="F1357" i="1"/>
  <c r="H1357" i="1" s="1"/>
  <c r="G1357" i="1"/>
  <c r="F1356" i="1"/>
  <c r="H1356" i="1" s="1"/>
  <c r="G1356" i="1"/>
  <c r="G1355" i="1"/>
  <c r="F1355" i="1"/>
  <c r="H1355" i="1" s="1"/>
  <c r="G1354" i="1"/>
  <c r="F1354" i="1"/>
  <c r="H1354" i="1" s="1"/>
  <c r="E773" i="2"/>
  <c r="F1353" i="1"/>
  <c r="H1353" i="1" s="1"/>
  <c r="K1353" i="1" s="1"/>
  <c r="L1353" i="1" s="1"/>
  <c r="O1353" i="1" s="1"/>
  <c r="G1353" i="1"/>
  <c r="F1352" i="1"/>
  <c r="H1352" i="1" s="1"/>
  <c r="G1352" i="1"/>
  <c r="F1351" i="1"/>
  <c r="H1351" i="1" s="1"/>
  <c r="K1351" i="1" s="1"/>
  <c r="L1351" i="1" s="1"/>
  <c r="O1351" i="1" s="1"/>
  <c r="F1350" i="1"/>
  <c r="H1350" i="1" s="1"/>
  <c r="K1350" i="1" s="1"/>
  <c r="L1350" i="1" s="1"/>
  <c r="O1350" i="1" s="1"/>
  <c r="G1351" i="1"/>
  <c r="G1350" i="1"/>
  <c r="G1347" i="1"/>
  <c r="F1347" i="1"/>
  <c r="H1347" i="1" s="1"/>
  <c r="G1346" i="1"/>
  <c r="F1346" i="1"/>
  <c r="H1346" i="1" s="1"/>
  <c r="G1349" i="1"/>
  <c r="F1349" i="1"/>
  <c r="H1349" i="1" s="1"/>
  <c r="G1348" i="1"/>
  <c r="F1348" i="1"/>
  <c r="H1348" i="1" s="1"/>
  <c r="F1345" i="1"/>
  <c r="H1345" i="1" s="1"/>
  <c r="G1345" i="1"/>
  <c r="E14" i="11"/>
  <c r="H14" i="11" s="1"/>
  <c r="I14" i="11" s="1"/>
  <c r="G1344" i="1"/>
  <c r="F1344" i="1"/>
  <c r="H1344" i="1" s="1"/>
  <c r="G1343" i="1"/>
  <c r="F1343" i="1"/>
  <c r="H1343" i="1" s="1"/>
  <c r="G1342" i="1"/>
  <c r="G1341" i="1"/>
  <c r="F1342" i="1"/>
  <c r="H1342" i="1" s="1"/>
  <c r="K1342" i="1" s="1"/>
  <c r="L1342" i="1" s="1"/>
  <c r="O1342" i="1" s="1"/>
  <c r="F1341" i="1"/>
  <c r="H1341" i="1" s="1"/>
  <c r="K1341" i="1" s="1"/>
  <c r="E782" i="2"/>
  <c r="H782" i="2" s="1"/>
  <c r="I782" i="2" s="1"/>
  <c r="N782" i="2" s="1"/>
  <c r="G1340" i="1"/>
  <c r="F1340" i="1"/>
  <c r="H1340" i="1" s="1"/>
  <c r="G1339" i="1"/>
  <c r="F1339" i="1"/>
  <c r="H1339" i="1" s="1"/>
  <c r="E784" i="2"/>
  <c r="H784" i="2" s="1"/>
  <c r="I784" i="2" s="1"/>
  <c r="E783" i="2"/>
  <c r="H783" i="2" s="1"/>
  <c r="G1335" i="1"/>
  <c r="F1335" i="1"/>
  <c r="H1335" i="1" s="1"/>
  <c r="G1338" i="1"/>
  <c r="F1338" i="1"/>
  <c r="H1338" i="1" s="1"/>
  <c r="F1337" i="1"/>
  <c r="H1337" i="1" s="1"/>
  <c r="K1337" i="1" s="1"/>
  <c r="L1337" i="1" s="1"/>
  <c r="O1337" i="1" s="1"/>
  <c r="G1337" i="1"/>
  <c r="F1336" i="1"/>
  <c r="H1336" i="1" s="1"/>
  <c r="G1336" i="1"/>
  <c r="G1334" i="1"/>
  <c r="F1334" i="1"/>
  <c r="H1334" i="1" s="1"/>
  <c r="G1333" i="1"/>
  <c r="F1333" i="1"/>
  <c r="H1333" i="1" s="1"/>
  <c r="K1333" i="1" s="1"/>
  <c r="G1332" i="1"/>
  <c r="F1332" i="1"/>
  <c r="H1332" i="1" s="1"/>
  <c r="E781" i="2"/>
  <c r="G1331" i="1"/>
  <c r="F1331" i="1"/>
  <c r="H1331" i="1" s="1"/>
  <c r="G1330" i="1"/>
  <c r="F1330" i="1"/>
  <c r="H1330" i="1" s="1"/>
  <c r="K1330" i="1" s="1"/>
  <c r="L1330" i="1" s="1"/>
  <c r="O1330" i="1" s="1"/>
  <c r="G1322" i="1"/>
  <c r="F1322" i="1"/>
  <c r="H1322" i="1" s="1"/>
  <c r="G1329" i="1"/>
  <c r="F1329" i="1"/>
  <c r="H1329" i="1" s="1"/>
  <c r="G1328" i="1"/>
  <c r="F1328" i="1"/>
  <c r="H1328" i="1" s="1"/>
  <c r="G1327" i="1"/>
  <c r="F1327" i="1"/>
  <c r="H1327" i="1" s="1"/>
  <c r="G1326" i="1"/>
  <c r="F1326" i="1"/>
  <c r="H1326" i="1" s="1"/>
  <c r="G1325" i="1"/>
  <c r="F1325" i="1"/>
  <c r="H1325" i="1" s="1"/>
  <c r="G1324" i="1"/>
  <c r="F1324" i="1"/>
  <c r="H1324" i="1" s="1"/>
  <c r="G1323" i="1"/>
  <c r="F1323" i="1"/>
  <c r="H1323" i="1" s="1"/>
  <c r="G1321" i="1"/>
  <c r="F1321" i="1"/>
  <c r="H1321" i="1" s="1"/>
  <c r="E13" i="11"/>
  <c r="H13" i="11" s="1"/>
  <c r="I13" i="11" s="1"/>
  <c r="L13" i="11" s="1"/>
  <c r="E12" i="11"/>
  <c r="H12" i="11" s="1"/>
  <c r="I12" i="11" s="1"/>
  <c r="J12" i="11" s="1"/>
  <c r="E11" i="11"/>
  <c r="H11" i="11" s="1"/>
  <c r="I11" i="11" s="1"/>
  <c r="L11" i="11" s="1"/>
  <c r="E780" i="2"/>
  <c r="H780" i="2" s="1"/>
  <c r="G1320" i="1"/>
  <c r="F1320" i="1"/>
  <c r="H1320" i="1" s="1"/>
  <c r="E779" i="2"/>
  <c r="E776" i="2"/>
  <c r="E777" i="2"/>
  <c r="H777" i="2" s="1"/>
  <c r="I777" i="2" s="1"/>
  <c r="N777" i="2" s="1"/>
  <c r="E778" i="2"/>
  <c r="H778" i="2" s="1"/>
  <c r="I778" i="2" s="1"/>
  <c r="E770" i="2"/>
  <c r="E774" i="2"/>
  <c r="E772" i="2"/>
  <c r="E771" i="2"/>
  <c r="E775" i="2"/>
  <c r="H775" i="2" s="1"/>
  <c r="F1316" i="1"/>
  <c r="H1316" i="1" s="1"/>
  <c r="K1316" i="1" s="1"/>
  <c r="L1316" i="1" s="1"/>
  <c r="G1316" i="1"/>
  <c r="G1319" i="1"/>
  <c r="F1319" i="1"/>
  <c r="H1319" i="1" s="1"/>
  <c r="G1315" i="1"/>
  <c r="F1315" i="1"/>
  <c r="H1315" i="1" s="1"/>
  <c r="K1315" i="1" s="1"/>
  <c r="L1315" i="1" s="1"/>
  <c r="O1315" i="1" s="1"/>
  <c r="F1314" i="1"/>
  <c r="H1314" i="1" s="1"/>
  <c r="K1314" i="1" s="1"/>
  <c r="L1314" i="1" s="1"/>
  <c r="O1314" i="1" s="1"/>
  <c r="G1314" i="1"/>
  <c r="F1313" i="1"/>
  <c r="H1313" i="1" s="1"/>
  <c r="K1313" i="1" s="1"/>
  <c r="L1313" i="1" s="1"/>
  <c r="O1313" i="1" s="1"/>
  <c r="G1313" i="1"/>
  <c r="G1312" i="1"/>
  <c r="F1312" i="1"/>
  <c r="H1312" i="1" s="1"/>
  <c r="G1311" i="1"/>
  <c r="F1311" i="1"/>
  <c r="H1311" i="1" s="1"/>
  <c r="K1311" i="1" s="1"/>
  <c r="L1311" i="1" s="1"/>
  <c r="O1311" i="1" s="1"/>
  <c r="G1310" i="1"/>
  <c r="F1310" i="1"/>
  <c r="H1310" i="1" s="1"/>
  <c r="E766" i="2"/>
  <c r="H766" i="2" s="1"/>
  <c r="E767" i="2"/>
  <c r="H767" i="2" s="1"/>
  <c r="E768" i="2"/>
  <c r="H768" i="2" s="1"/>
  <c r="E769" i="2"/>
  <c r="H769" i="2" s="1"/>
  <c r="E765" i="2"/>
  <c r="H765" i="2" s="1"/>
  <c r="E764" i="2"/>
  <c r="F1309" i="1"/>
  <c r="H1309" i="1" s="1"/>
  <c r="K1309" i="1" s="1"/>
  <c r="L1309" i="1" s="1"/>
  <c r="O1309" i="1" s="1"/>
  <c r="G1309" i="1"/>
  <c r="G1308" i="1"/>
  <c r="F1308" i="1"/>
  <c r="H1308" i="1" s="1"/>
  <c r="K1308" i="1" s="1"/>
  <c r="L1308" i="1" s="1"/>
  <c r="O1308" i="1" s="1"/>
  <c r="F1307" i="1"/>
  <c r="H1307" i="1" s="1"/>
  <c r="K1307" i="1" s="1"/>
  <c r="L1307" i="1" s="1"/>
  <c r="O1307" i="1" s="1"/>
  <c r="G1307" i="1"/>
  <c r="G1306" i="1"/>
  <c r="F1306" i="1"/>
  <c r="H1306" i="1" s="1"/>
  <c r="F1305" i="1"/>
  <c r="H1305" i="1" s="1"/>
  <c r="G1305" i="1"/>
  <c r="G1304" i="1"/>
  <c r="F1304" i="1"/>
  <c r="H1304" i="1" s="1"/>
  <c r="K1304" i="1" s="1"/>
  <c r="L1304" i="1" s="1"/>
  <c r="M1304" i="1" s="1"/>
  <c r="F1303" i="1"/>
  <c r="H1303" i="1" s="1"/>
  <c r="K1303" i="1" s="1"/>
  <c r="L1303" i="1" s="1"/>
  <c r="O1303" i="1" s="1"/>
  <c r="G1303" i="1"/>
  <c r="F1302" i="1"/>
  <c r="H1302" i="1" s="1"/>
  <c r="K1302" i="1" s="1"/>
  <c r="L1302" i="1" s="1"/>
  <c r="M1302" i="1" s="1"/>
  <c r="G1302" i="1"/>
  <c r="G1301" i="1"/>
  <c r="F1301" i="1"/>
  <c r="H1301" i="1" s="1"/>
  <c r="F1300" i="1"/>
  <c r="H1300" i="1" s="1"/>
  <c r="K1300" i="1" s="1"/>
  <c r="L1300" i="1" s="1"/>
  <c r="G1300" i="1"/>
  <c r="F1299" i="1"/>
  <c r="H1299" i="1" s="1"/>
  <c r="K1299" i="1" s="1"/>
  <c r="L1299" i="1" s="1"/>
  <c r="M1299" i="1" s="1"/>
  <c r="G1299" i="1"/>
  <c r="F1298" i="1"/>
  <c r="H1298" i="1" s="1"/>
  <c r="G1298" i="1"/>
  <c r="Q1396" i="1" l="1"/>
  <c r="M1396" i="1"/>
  <c r="Q1395" i="1"/>
  <c r="M1395" i="1"/>
  <c r="O1394" i="1"/>
  <c r="Q1394" i="1"/>
  <c r="O1393" i="1"/>
  <c r="M1393" i="1"/>
  <c r="Q1393" i="1"/>
  <c r="N794" i="2"/>
  <c r="M794" i="2"/>
  <c r="Q792" i="2"/>
  <c r="K792" i="2"/>
  <c r="Q1390" i="1"/>
  <c r="O1390" i="1"/>
  <c r="Q1389" i="1"/>
  <c r="O1389" i="1"/>
  <c r="M1389" i="1"/>
  <c r="Q1388" i="1"/>
  <c r="M1388" i="1"/>
  <c r="Q1387" i="1"/>
  <c r="M1387" i="1"/>
  <c r="M1386" i="1"/>
  <c r="Q1386" i="1"/>
  <c r="N14" i="11"/>
  <c r="L14" i="11"/>
  <c r="J14" i="11"/>
  <c r="Q14" i="11"/>
  <c r="H15" i="11"/>
  <c r="I15" i="11" s="1"/>
  <c r="Q1373" i="1"/>
  <c r="O1373" i="1"/>
  <c r="M787" i="2"/>
  <c r="L787" i="2"/>
  <c r="N787" i="2"/>
  <c r="Q787" i="2"/>
  <c r="Q1371" i="1"/>
  <c r="M1371" i="1"/>
  <c r="Q1370" i="1"/>
  <c r="M1370" i="1"/>
  <c r="Q1365" i="1"/>
  <c r="O1365" i="1"/>
  <c r="M1364" i="1"/>
  <c r="Q1364" i="1"/>
  <c r="Q1367" i="1"/>
  <c r="M1367" i="1"/>
  <c r="L1366" i="1"/>
  <c r="M1366" i="1" s="1"/>
  <c r="K1384" i="1"/>
  <c r="L1384" i="1" s="1"/>
  <c r="Q1385" i="1"/>
  <c r="J16" i="11"/>
  <c r="Q16" i="11"/>
  <c r="I791" i="2"/>
  <c r="N790" i="2"/>
  <c r="Q790" i="2"/>
  <c r="K1383" i="1"/>
  <c r="L1383" i="1" s="1"/>
  <c r="M1383" i="1" s="1"/>
  <c r="K1381" i="1"/>
  <c r="L1381" i="1" s="1"/>
  <c r="Q1380" i="1"/>
  <c r="M1380" i="1"/>
  <c r="K1382" i="1"/>
  <c r="L1382" i="1" s="1"/>
  <c r="K1378" i="1"/>
  <c r="L1378" i="1" s="1"/>
  <c r="N788" i="2"/>
  <c r="L788" i="2"/>
  <c r="Q788" i="2"/>
  <c r="Q1379" i="1"/>
  <c r="K1377" i="1"/>
  <c r="L1377" i="1" s="1"/>
  <c r="H789" i="2"/>
  <c r="I789" i="2" s="1"/>
  <c r="J789" i="2" s="1"/>
  <c r="Q784" i="2"/>
  <c r="K1376" i="1"/>
  <c r="L1376" i="1" s="1"/>
  <c r="K1362" i="1"/>
  <c r="L1362" i="1" s="1"/>
  <c r="H786" i="2"/>
  <c r="M785" i="2"/>
  <c r="Q785" i="2"/>
  <c r="K1360" i="1"/>
  <c r="L1360" i="1" s="1"/>
  <c r="K1361" i="1"/>
  <c r="L1361" i="1" s="1"/>
  <c r="K1359" i="1"/>
  <c r="L1359" i="1" s="1"/>
  <c r="K1357" i="1"/>
  <c r="L1357" i="1" s="1"/>
  <c r="Q1358" i="1"/>
  <c r="K1356" i="1"/>
  <c r="L1356" i="1" s="1"/>
  <c r="K1355" i="1"/>
  <c r="L1355" i="1" s="1"/>
  <c r="O1355" i="1" s="1"/>
  <c r="K1354" i="1"/>
  <c r="L1354" i="1" s="1"/>
  <c r="O1354" i="1" s="1"/>
  <c r="H773" i="2"/>
  <c r="I773" i="2" s="1"/>
  <c r="K1352" i="1"/>
  <c r="L1352" i="1" s="1"/>
  <c r="M1352" i="1" s="1"/>
  <c r="Q1353" i="1"/>
  <c r="K1347" i="1"/>
  <c r="L1347" i="1" s="1"/>
  <c r="O1347" i="1" s="1"/>
  <c r="K1346" i="1"/>
  <c r="L1346" i="1" s="1"/>
  <c r="O1346" i="1" s="1"/>
  <c r="K1349" i="1"/>
  <c r="L1349" i="1" s="1"/>
  <c r="K1348" i="1"/>
  <c r="L1348" i="1" s="1"/>
  <c r="K1345" i="1"/>
  <c r="L1345" i="1" s="1"/>
  <c r="K1344" i="1"/>
  <c r="L1344" i="1" s="1"/>
  <c r="O1344" i="1" s="1"/>
  <c r="K1343" i="1"/>
  <c r="L1343" i="1" s="1"/>
  <c r="L1341" i="1"/>
  <c r="O1341" i="1" s="1"/>
  <c r="L782" i="2"/>
  <c r="I780" i="2"/>
  <c r="Q780" i="2" s="1"/>
  <c r="K1340" i="1"/>
  <c r="L1340" i="1" s="1"/>
  <c r="O1340" i="1" s="1"/>
  <c r="K1339" i="1"/>
  <c r="L1339" i="1" s="1"/>
  <c r="O1339" i="1" s="1"/>
  <c r="K784" i="2"/>
  <c r="N784" i="2"/>
  <c r="I783" i="2"/>
  <c r="K1335" i="1"/>
  <c r="L1335" i="1" s="1"/>
  <c r="K1338" i="1"/>
  <c r="L1338" i="1" s="1"/>
  <c r="K1336" i="1"/>
  <c r="L1336" i="1" s="1"/>
  <c r="O1336" i="1" s="1"/>
  <c r="K1334" i="1"/>
  <c r="L1334" i="1" s="1"/>
  <c r="L1333" i="1"/>
  <c r="O1333" i="1" s="1"/>
  <c r="K1332" i="1"/>
  <c r="L1332" i="1" s="1"/>
  <c r="O1332" i="1" s="1"/>
  <c r="H781" i="2"/>
  <c r="K1331" i="1"/>
  <c r="L1331" i="1" s="1"/>
  <c r="O1331" i="1" s="1"/>
  <c r="K1322" i="1"/>
  <c r="L1322" i="1" s="1"/>
  <c r="O1322" i="1" s="1"/>
  <c r="K1329" i="1"/>
  <c r="L1329" i="1" s="1"/>
  <c r="O1329" i="1" s="1"/>
  <c r="K1328" i="1"/>
  <c r="L1328" i="1" s="1"/>
  <c r="O1328" i="1" s="1"/>
  <c r="K1327" i="1"/>
  <c r="L1327" i="1" s="1"/>
  <c r="K1326" i="1"/>
  <c r="L1326" i="1" s="1"/>
  <c r="K1323" i="1"/>
  <c r="L1323" i="1" s="1"/>
  <c r="K1324" i="1"/>
  <c r="L1324" i="1" s="1"/>
  <c r="K1325" i="1"/>
  <c r="L1325" i="1" s="1"/>
  <c r="K1321" i="1"/>
  <c r="L1321" i="1" s="1"/>
  <c r="O1321" i="1" s="1"/>
  <c r="Q13" i="11"/>
  <c r="J11" i="11"/>
  <c r="Q11" i="11"/>
  <c r="N11" i="11"/>
  <c r="N13" i="11"/>
  <c r="J13" i="11"/>
  <c r="Q12" i="11"/>
  <c r="L12" i="11"/>
  <c r="N12" i="11"/>
  <c r="K1320" i="1"/>
  <c r="L1320" i="1" s="1"/>
  <c r="O1320" i="1" s="1"/>
  <c r="H779" i="2"/>
  <c r="I779" i="2" s="1"/>
  <c r="P779" i="2" s="1"/>
  <c r="H776" i="2"/>
  <c r="Q777" i="2"/>
  <c r="M777" i="2"/>
  <c r="Q778" i="2"/>
  <c r="N778" i="2"/>
  <c r="I775" i="2"/>
  <c r="K775" i="2" s="1"/>
  <c r="H770" i="2"/>
  <c r="I770" i="2" s="1"/>
  <c r="H774" i="2"/>
  <c r="I774" i="2" s="1"/>
  <c r="O774" i="2" s="1"/>
  <c r="H772" i="2"/>
  <c r="I772" i="2" s="1"/>
  <c r="H771" i="2"/>
  <c r="K1319" i="1"/>
  <c r="L1319" i="1" s="1"/>
  <c r="O1319" i="1" s="1"/>
  <c r="K1312" i="1"/>
  <c r="L1312" i="1" s="1"/>
  <c r="O1312" i="1" s="1"/>
  <c r="K1305" i="1"/>
  <c r="L1305" i="1" s="1"/>
  <c r="O1305" i="1" s="1"/>
  <c r="Q1302" i="1"/>
  <c r="K1310" i="1"/>
  <c r="L1310" i="1" s="1"/>
  <c r="I766" i="2"/>
  <c r="I767" i="2"/>
  <c r="Q767" i="2" s="1"/>
  <c r="I768" i="2"/>
  <c r="I769" i="2"/>
  <c r="Q769" i="2" s="1"/>
  <c r="H764" i="2"/>
  <c r="I764" i="2" s="1"/>
  <c r="N764" i="2" s="1"/>
  <c r="I765" i="2"/>
  <c r="M765" i="2" s="1"/>
  <c r="K1306" i="1"/>
  <c r="L1306" i="1" s="1"/>
  <c r="O1306" i="1" s="1"/>
  <c r="K1301" i="1"/>
  <c r="L1301" i="1" s="1"/>
  <c r="Q1300" i="1"/>
  <c r="M1300" i="1"/>
  <c r="K1298" i="1"/>
  <c r="L1298" i="1" s="1"/>
  <c r="F1297" i="1"/>
  <c r="H1297" i="1" s="1"/>
  <c r="K1297" i="1" s="1"/>
  <c r="L1297" i="1" s="1"/>
  <c r="O1297" i="1" s="1"/>
  <c r="G1297" i="1"/>
  <c r="G1296" i="1"/>
  <c r="F1296" i="1"/>
  <c r="H1296" i="1" s="1"/>
  <c r="K1296" i="1" s="1"/>
  <c r="L1296" i="1" s="1"/>
  <c r="M1296" i="1" s="1"/>
  <c r="F1295" i="1"/>
  <c r="H1295" i="1" s="1"/>
  <c r="K1295" i="1" s="1"/>
  <c r="L1295" i="1" s="1"/>
  <c r="M1295" i="1" s="1"/>
  <c r="G1295" i="1"/>
  <c r="G1294" i="1"/>
  <c r="F1294" i="1"/>
  <c r="H1294" i="1" s="1"/>
  <c r="K1294" i="1" s="1"/>
  <c r="L1294" i="1" s="1"/>
  <c r="G1293" i="1"/>
  <c r="F1293" i="1"/>
  <c r="H1293" i="1" s="1"/>
  <c r="G1292" i="1"/>
  <c r="F1292" i="1"/>
  <c r="H1292" i="1" s="1"/>
  <c r="E763" i="2"/>
  <c r="H763" i="2" s="1"/>
  <c r="F1291" i="1"/>
  <c r="H1291" i="1" s="1"/>
  <c r="K1291" i="1" s="1"/>
  <c r="L1291" i="1" s="1"/>
  <c r="O1291" i="1" s="1"/>
  <c r="G1291" i="1"/>
  <c r="F1290" i="1"/>
  <c r="H1290" i="1" s="1"/>
  <c r="G1290" i="1"/>
  <c r="G1289" i="1"/>
  <c r="F1289" i="1"/>
  <c r="H1289" i="1" s="1"/>
  <c r="F1288" i="1"/>
  <c r="H1288" i="1" s="1"/>
  <c r="K1288" i="1" s="1"/>
  <c r="L1288" i="1" s="1"/>
  <c r="O1288" i="1" s="1"/>
  <c r="G1288" i="1"/>
  <c r="G1287" i="1"/>
  <c r="F1287" i="1"/>
  <c r="H1287" i="1" s="1"/>
  <c r="E760" i="2"/>
  <c r="E762" i="2"/>
  <c r="H762" i="2" s="1"/>
  <c r="I762" i="2" s="1"/>
  <c r="Q762" i="2" s="1"/>
  <c r="E761" i="2"/>
  <c r="H761" i="2" s="1"/>
  <c r="E759" i="2"/>
  <c r="H759" i="2" s="1"/>
  <c r="G1286" i="1"/>
  <c r="F1286" i="1"/>
  <c r="H1286" i="1" s="1"/>
  <c r="G1285" i="1"/>
  <c r="F1285" i="1"/>
  <c r="H1285" i="1" s="1"/>
  <c r="F1284" i="1"/>
  <c r="H1284" i="1" s="1"/>
  <c r="K1284" i="1" s="1"/>
  <c r="L1284" i="1" s="1"/>
  <c r="O1284" i="1" s="1"/>
  <c r="G1284" i="1"/>
  <c r="G1283" i="1"/>
  <c r="F1283" i="1"/>
  <c r="H1283" i="1" s="1"/>
  <c r="K1283" i="1" s="1"/>
  <c r="L1283" i="1" s="1"/>
  <c r="N1283" i="1" s="1"/>
  <c r="F1282" i="1"/>
  <c r="H1282" i="1" s="1"/>
  <c r="K1282" i="1" s="1"/>
  <c r="L1282" i="1" s="1"/>
  <c r="O1282" i="1" s="1"/>
  <c r="G1282" i="1"/>
  <c r="G1281" i="1"/>
  <c r="F1281" i="1"/>
  <c r="H1281" i="1" s="1"/>
  <c r="K1281" i="1" s="1"/>
  <c r="F1243" i="1"/>
  <c r="H1243" i="1" s="1"/>
  <c r="G1243" i="1"/>
  <c r="F1242" i="1"/>
  <c r="H1242" i="1" s="1"/>
  <c r="K1242" i="1" s="1"/>
  <c r="L1242" i="1" s="1"/>
  <c r="O1242" i="1" s="1"/>
  <c r="G1242" i="1"/>
  <c r="F1280" i="1"/>
  <c r="H1280" i="1" s="1"/>
  <c r="K1280" i="1" s="1"/>
  <c r="L1280" i="1" s="1"/>
  <c r="M1280" i="1" s="1"/>
  <c r="G1280" i="1"/>
  <c r="E757" i="2"/>
  <c r="H757" i="2" s="1"/>
  <c r="I757" i="2" s="1"/>
  <c r="G1279" i="1"/>
  <c r="F1279" i="1"/>
  <c r="H1279" i="1" s="1"/>
  <c r="F1278" i="1"/>
  <c r="H1278" i="1" s="1"/>
  <c r="K1278" i="1" s="1"/>
  <c r="L1278" i="1" s="1"/>
  <c r="O1278" i="1" s="1"/>
  <c r="G1278" i="1"/>
  <c r="F1277" i="1"/>
  <c r="H1277" i="1" s="1"/>
  <c r="K1277" i="1" s="1"/>
  <c r="L1277" i="1" s="1"/>
  <c r="O1277" i="1" s="1"/>
  <c r="F1276" i="1"/>
  <c r="H1276" i="1" s="1"/>
  <c r="G1277" i="1"/>
  <c r="G1276" i="1"/>
  <c r="G1275" i="1"/>
  <c r="F1275" i="1"/>
  <c r="H1275" i="1" s="1"/>
  <c r="K1275" i="1" s="1"/>
  <c r="L1275" i="1" s="1"/>
  <c r="O1275" i="1" s="1"/>
  <c r="F1274" i="1"/>
  <c r="H1274" i="1" s="1"/>
  <c r="G1274" i="1"/>
  <c r="F1273" i="1"/>
  <c r="H1273" i="1" s="1"/>
  <c r="K1273" i="1" s="1"/>
  <c r="L1273" i="1" s="1"/>
  <c r="O1273" i="1" s="1"/>
  <c r="G1273" i="1"/>
  <c r="F1272" i="1"/>
  <c r="H1272" i="1" s="1"/>
  <c r="K1272" i="1" s="1"/>
  <c r="L1272" i="1" s="1"/>
  <c r="O1272" i="1" s="1"/>
  <c r="G1272" i="1"/>
  <c r="E756" i="2"/>
  <c r="H756" i="2" s="1"/>
  <c r="I756" i="2" s="1"/>
  <c r="Q756" i="2" s="1"/>
  <c r="E755" i="2"/>
  <c r="H755" i="2" s="1"/>
  <c r="E758" i="2"/>
  <c r="H758" i="2" s="1"/>
  <c r="F1271" i="1"/>
  <c r="H1271" i="1" s="1"/>
  <c r="K1271" i="1" s="1"/>
  <c r="L1271" i="1" s="1"/>
  <c r="M1271" i="1" s="1"/>
  <c r="G1271" i="1"/>
  <c r="G1270" i="1"/>
  <c r="F1270" i="1"/>
  <c r="H1270" i="1" s="1"/>
  <c r="F1241" i="1"/>
  <c r="H1241" i="1" s="1"/>
  <c r="K1241" i="1" s="1"/>
  <c r="L1241" i="1" s="1"/>
  <c r="M1241" i="1" s="1"/>
  <c r="G1241" i="1"/>
  <c r="F1240" i="1"/>
  <c r="H1240" i="1" s="1"/>
  <c r="K1240" i="1" s="1"/>
  <c r="G1240" i="1"/>
  <c r="E748" i="2"/>
  <c r="H748" i="2" s="1"/>
  <c r="F1239" i="1"/>
  <c r="H1239" i="1" s="1"/>
  <c r="K1239" i="1" s="1"/>
  <c r="L1239" i="1" s="1"/>
  <c r="M1239" i="1" s="1"/>
  <c r="G1239" i="1"/>
  <c r="F1238" i="1"/>
  <c r="H1238" i="1" s="1"/>
  <c r="G1238" i="1"/>
  <c r="F1237" i="1"/>
  <c r="H1237" i="1" s="1"/>
  <c r="K1237" i="1" s="1"/>
  <c r="L1237" i="1" s="1"/>
  <c r="O1237" i="1" s="1"/>
  <c r="G1237" i="1"/>
  <c r="F1236" i="1"/>
  <c r="H1236" i="1" s="1"/>
  <c r="K1236" i="1" s="1"/>
  <c r="L1236" i="1" s="1"/>
  <c r="O1236" i="1" s="1"/>
  <c r="G1236" i="1"/>
  <c r="G1234" i="1"/>
  <c r="F1234" i="1"/>
  <c r="H1234" i="1" s="1"/>
  <c r="G1233" i="1"/>
  <c r="F1233" i="1"/>
  <c r="H1233" i="1" s="1"/>
  <c r="K1233" i="1" s="1"/>
  <c r="L1233" i="1" s="1"/>
  <c r="O1233" i="1" s="1"/>
  <c r="F1232" i="1"/>
  <c r="H1232" i="1" s="1"/>
  <c r="G1232" i="1"/>
  <c r="E743" i="2"/>
  <c r="H743" i="2" s="1"/>
  <c r="I743" i="2" s="1"/>
  <c r="N743" i="2" s="1"/>
  <c r="E744" i="2"/>
  <c r="H744" i="2" s="1"/>
  <c r="I744" i="2" s="1"/>
  <c r="Q744" i="2" s="1"/>
  <c r="E745" i="2"/>
  <c r="H745" i="2" s="1"/>
  <c r="I745" i="2" s="1"/>
  <c r="L745" i="2" s="1"/>
  <c r="E747" i="2"/>
  <c r="H747" i="2" s="1"/>
  <c r="I747" i="2" s="1"/>
  <c r="Q747" i="2" s="1"/>
  <c r="E746" i="2"/>
  <c r="H746" i="2" s="1"/>
  <c r="E742" i="2"/>
  <c r="H742" i="2" s="1"/>
  <c r="F1221" i="1"/>
  <c r="H1221" i="1" s="1"/>
  <c r="K1221" i="1" s="1"/>
  <c r="L1221" i="1" s="1"/>
  <c r="O1221" i="1" s="1"/>
  <c r="G1221" i="1"/>
  <c r="F1220" i="1"/>
  <c r="H1220" i="1" s="1"/>
  <c r="K1220" i="1" s="1"/>
  <c r="L1220" i="1" s="1"/>
  <c r="O1220" i="1" s="1"/>
  <c r="G1220" i="1"/>
  <c r="F1219" i="1"/>
  <c r="H1219" i="1" s="1"/>
  <c r="K1219" i="1" s="1"/>
  <c r="L1219" i="1" s="1"/>
  <c r="O1219" i="1" s="1"/>
  <c r="G1219" i="1"/>
  <c r="F1218" i="1"/>
  <c r="H1218" i="1" s="1"/>
  <c r="K1218" i="1" s="1"/>
  <c r="L1218" i="1" s="1"/>
  <c r="M1218" i="1" s="1"/>
  <c r="G1218" i="1"/>
  <c r="G1217" i="1"/>
  <c r="F1217" i="1"/>
  <c r="H1217" i="1" s="1"/>
  <c r="K1217" i="1" s="1"/>
  <c r="L1217" i="1" s="1"/>
  <c r="M1217" i="1" s="1"/>
  <c r="F1216" i="1"/>
  <c r="H1216" i="1" s="1"/>
  <c r="G1216" i="1"/>
  <c r="M791" i="2" l="1"/>
  <c r="L791" i="2"/>
  <c r="Q15" i="11"/>
  <c r="J15" i="11"/>
  <c r="N15" i="11"/>
  <c r="N791" i="2"/>
  <c r="R1366" i="1"/>
  <c r="Q1384" i="1"/>
  <c r="M1384" i="1"/>
  <c r="Q791" i="2"/>
  <c r="O1383" i="1"/>
  <c r="Q1382" i="1"/>
  <c r="M1382" i="1"/>
  <c r="Q1381" i="1"/>
  <c r="M1381" i="1"/>
  <c r="M1378" i="1"/>
  <c r="Q1378" i="1"/>
  <c r="O1377" i="1"/>
  <c r="Q1377" i="1"/>
  <c r="N789" i="2"/>
  <c r="Q789" i="2"/>
  <c r="Q1376" i="1"/>
  <c r="O1376" i="1"/>
  <c r="M1376" i="1"/>
  <c r="N773" i="2"/>
  <c r="O773" i="2"/>
  <c r="L773" i="2"/>
  <c r="M773" i="2"/>
  <c r="Q1362" i="1"/>
  <c r="O1362" i="1"/>
  <c r="I786" i="2"/>
  <c r="Q1360" i="1"/>
  <c r="M1360" i="1"/>
  <c r="Q1361" i="1"/>
  <c r="M1361" i="1"/>
  <c r="Q1359" i="1"/>
  <c r="M1359" i="1"/>
  <c r="N1357" i="1"/>
  <c r="Q1357" i="1"/>
  <c r="Q1356" i="1"/>
  <c r="M1356" i="1"/>
  <c r="Q773" i="2"/>
  <c r="Q1352" i="1"/>
  <c r="M1349" i="1"/>
  <c r="Q1349" i="1"/>
  <c r="Q1348" i="1"/>
  <c r="O1348" i="1"/>
  <c r="Q1345" i="1"/>
  <c r="O1345" i="1"/>
  <c r="M1345" i="1"/>
  <c r="Q1343" i="1"/>
  <c r="M1343" i="1"/>
  <c r="K783" i="2"/>
  <c r="N783" i="2"/>
  <c r="N780" i="2"/>
  <c r="P780" i="2"/>
  <c r="Q783" i="2"/>
  <c r="Q1335" i="1"/>
  <c r="M1335" i="1"/>
  <c r="M1338" i="1"/>
  <c r="Q1338" i="1"/>
  <c r="Q1334" i="1"/>
  <c r="M1334" i="1"/>
  <c r="I781" i="2"/>
  <c r="M1327" i="1"/>
  <c r="Q1327" i="1"/>
  <c r="Q1326" i="1"/>
  <c r="O1326" i="1"/>
  <c r="M1326" i="1"/>
  <c r="M1325" i="1"/>
  <c r="Q1325" i="1"/>
  <c r="M1324" i="1"/>
  <c r="Q1324" i="1"/>
  <c r="O1323" i="1"/>
  <c r="Q1323" i="1"/>
  <c r="M1320" i="1"/>
  <c r="Q1320" i="1"/>
  <c r="N779" i="2"/>
  <c r="O779" i="2"/>
  <c r="Q779" i="2"/>
  <c r="I776" i="2"/>
  <c r="Q775" i="2"/>
  <c r="Q766" i="2"/>
  <c r="M766" i="2"/>
  <c r="N774" i="2"/>
  <c r="N770" i="2"/>
  <c r="M770" i="2"/>
  <c r="L770" i="2"/>
  <c r="Q770" i="2"/>
  <c r="L772" i="2"/>
  <c r="I771" i="2"/>
  <c r="Q774" i="2"/>
  <c r="Q772" i="2"/>
  <c r="O1301" i="1"/>
  <c r="Q1301" i="1"/>
  <c r="Q1310" i="1"/>
  <c r="M1310" i="1"/>
  <c r="N766" i="2"/>
  <c r="L766" i="2"/>
  <c r="N767" i="2"/>
  <c r="L767" i="2"/>
  <c r="J768" i="2"/>
  <c r="N768" i="2"/>
  <c r="Q768" i="2"/>
  <c r="N769" i="2"/>
  <c r="K769" i="2"/>
  <c r="Q764" i="2"/>
  <c r="Q765" i="2"/>
  <c r="K1293" i="1"/>
  <c r="L1293" i="1" s="1"/>
  <c r="O1293" i="1" s="1"/>
  <c r="K1292" i="1"/>
  <c r="L1292" i="1" s="1"/>
  <c r="O1292" i="1" s="1"/>
  <c r="O1298" i="1"/>
  <c r="Q1298" i="1"/>
  <c r="O1294" i="1"/>
  <c r="Q1294" i="1"/>
  <c r="Q1284" i="1"/>
  <c r="Q1283" i="1"/>
  <c r="J762" i="2"/>
  <c r="I761" i="2"/>
  <c r="Q761" i="2" s="1"/>
  <c r="I763" i="2"/>
  <c r="Q763" i="2" s="1"/>
  <c r="H760" i="2"/>
  <c r="I760" i="2" s="1"/>
  <c r="N762" i="2"/>
  <c r="K1290" i="1"/>
  <c r="L1290" i="1" s="1"/>
  <c r="O1290" i="1" s="1"/>
  <c r="K1289" i="1"/>
  <c r="L1289" i="1" s="1"/>
  <c r="K1287" i="1"/>
  <c r="L1287" i="1" s="1"/>
  <c r="O1287" i="1" s="1"/>
  <c r="I759" i="2"/>
  <c r="L759" i="2" s="1"/>
  <c r="L1281" i="1"/>
  <c r="O1281" i="1" s="1"/>
  <c r="K1286" i="1"/>
  <c r="L1286" i="1" s="1"/>
  <c r="M1286" i="1" s="1"/>
  <c r="K1285" i="1"/>
  <c r="L1285" i="1" s="1"/>
  <c r="K1243" i="1"/>
  <c r="L1243" i="1" s="1"/>
  <c r="Q1280" i="1"/>
  <c r="Q757" i="2"/>
  <c r="L757" i="2"/>
  <c r="K1274" i="1"/>
  <c r="L1274" i="1" s="1"/>
  <c r="O1274" i="1" s="1"/>
  <c r="K1279" i="1"/>
  <c r="L1279" i="1" s="1"/>
  <c r="M1279" i="1" s="1"/>
  <c r="K1276" i="1"/>
  <c r="L1276" i="1" s="1"/>
  <c r="O1276" i="1" s="1"/>
  <c r="I755" i="2"/>
  <c r="N755" i="2" s="1"/>
  <c r="M756" i="2"/>
  <c r="I758" i="2"/>
  <c r="K758" i="2" s="1"/>
  <c r="Q1271" i="1"/>
  <c r="K1270" i="1"/>
  <c r="L1270" i="1" s="1"/>
  <c r="L1240" i="1"/>
  <c r="O1240" i="1" s="1"/>
  <c r="I748" i="2"/>
  <c r="K748" i="2" s="1"/>
  <c r="K1238" i="1"/>
  <c r="L1238" i="1" s="1"/>
  <c r="O1238" i="1" s="1"/>
  <c r="K1232" i="1"/>
  <c r="L1232" i="1" s="1"/>
  <c r="O1232" i="1" s="1"/>
  <c r="K1234" i="1"/>
  <c r="L1234" i="1" s="1"/>
  <c r="O1234" i="1" s="1"/>
  <c r="M744" i="2"/>
  <c r="K747" i="2"/>
  <c r="I746" i="2"/>
  <c r="Q743" i="2"/>
  <c r="Q745" i="2"/>
  <c r="I742" i="2"/>
  <c r="L742" i="2" s="1"/>
  <c r="K1216" i="1"/>
  <c r="L1216" i="1" s="1"/>
  <c r="O1216" i="1" s="1"/>
  <c r="F1269" i="1"/>
  <c r="H1269" i="1" s="1"/>
  <c r="G1269" i="1"/>
  <c r="E752" i="2"/>
  <c r="H752" i="2" s="1"/>
  <c r="I752" i="2" s="1"/>
  <c r="Q752" i="2" s="1"/>
  <c r="E753" i="2"/>
  <c r="H753" i="2" s="1"/>
  <c r="I753" i="2" s="1"/>
  <c r="Q753" i="2" s="1"/>
  <c r="E754" i="2"/>
  <c r="H754" i="2" s="1"/>
  <c r="I754" i="2" s="1"/>
  <c r="K754" i="2" s="1"/>
  <c r="F1268" i="1"/>
  <c r="H1268" i="1" s="1"/>
  <c r="K1268" i="1" s="1"/>
  <c r="L1268" i="1" s="1"/>
  <c r="O1268" i="1" s="1"/>
  <c r="G1268" i="1"/>
  <c r="F1267" i="1"/>
  <c r="H1267" i="1" s="1"/>
  <c r="K1267" i="1" s="1"/>
  <c r="L1267" i="1" s="1"/>
  <c r="O1267" i="1" s="1"/>
  <c r="G1267" i="1"/>
  <c r="G1266" i="1"/>
  <c r="F1266" i="1"/>
  <c r="H1266" i="1" s="1"/>
  <c r="K1266" i="1" s="1"/>
  <c r="L1266" i="1" s="1"/>
  <c r="O1266" i="1" s="1"/>
  <c r="F1265" i="1"/>
  <c r="H1265" i="1" s="1"/>
  <c r="G1265" i="1"/>
  <c r="F1264" i="1"/>
  <c r="H1264" i="1" s="1"/>
  <c r="K1264" i="1" s="1"/>
  <c r="L1264" i="1" s="1"/>
  <c r="M1264" i="1" s="1"/>
  <c r="G1264" i="1"/>
  <c r="G1263" i="1"/>
  <c r="F1263" i="1"/>
  <c r="H1263" i="1" s="1"/>
  <c r="G1262" i="1"/>
  <c r="F1262" i="1"/>
  <c r="H1262" i="1" s="1"/>
  <c r="F1261" i="1"/>
  <c r="H1261" i="1" s="1"/>
  <c r="K1261" i="1" s="1"/>
  <c r="L1261" i="1" s="1"/>
  <c r="O1261" i="1" s="1"/>
  <c r="G1261" i="1"/>
  <c r="F1260" i="1"/>
  <c r="H1260" i="1" s="1"/>
  <c r="K1260" i="1" s="1"/>
  <c r="L1260" i="1" s="1"/>
  <c r="O1260" i="1" s="1"/>
  <c r="G1260" i="1"/>
  <c r="F1259" i="1"/>
  <c r="H1259" i="1" s="1"/>
  <c r="K1259" i="1" s="1"/>
  <c r="L1259" i="1" s="1"/>
  <c r="M1259" i="1" s="1"/>
  <c r="G1259" i="1"/>
  <c r="G1258" i="1"/>
  <c r="F1258" i="1"/>
  <c r="H1258" i="1" s="1"/>
  <c r="K1258" i="1" s="1"/>
  <c r="E751" i="2"/>
  <c r="H751" i="2" s="1"/>
  <c r="F1257" i="1"/>
  <c r="H1257" i="1" s="1"/>
  <c r="K1257" i="1" s="1"/>
  <c r="L1257" i="1" s="1"/>
  <c r="O1257" i="1" s="1"/>
  <c r="G1257" i="1"/>
  <c r="G1256" i="1"/>
  <c r="F1256" i="1"/>
  <c r="H1256" i="1" s="1"/>
  <c r="G1255" i="1"/>
  <c r="F1255" i="1"/>
  <c r="H1255" i="1" s="1"/>
  <c r="E8" i="11"/>
  <c r="H8" i="11" s="1"/>
  <c r="I8" i="11" s="1"/>
  <c r="J8" i="11" s="1"/>
  <c r="E749" i="2"/>
  <c r="H749" i="2" s="1"/>
  <c r="I749" i="2" s="1"/>
  <c r="Q749" i="2" s="1"/>
  <c r="E750" i="2"/>
  <c r="F1254" i="1"/>
  <c r="H1254" i="1" s="1"/>
  <c r="K1254" i="1" s="1"/>
  <c r="L1254" i="1" s="1"/>
  <c r="O1254" i="1" s="1"/>
  <c r="F1253" i="1"/>
  <c r="H1253" i="1" s="1"/>
  <c r="K1253" i="1" s="1"/>
  <c r="L1253" i="1" s="1"/>
  <c r="O1253" i="1" s="1"/>
  <c r="G1254" i="1"/>
  <c r="G1253" i="1"/>
  <c r="F1252" i="1"/>
  <c r="H1252" i="1" s="1"/>
  <c r="K1252" i="1" s="1"/>
  <c r="L1252" i="1" s="1"/>
  <c r="O1252" i="1" s="1"/>
  <c r="G1252" i="1"/>
  <c r="G1251" i="1"/>
  <c r="F1251" i="1"/>
  <c r="H1251" i="1" s="1"/>
  <c r="K1251" i="1" s="1"/>
  <c r="L1251" i="1" s="1"/>
  <c r="M1251" i="1" s="1"/>
  <c r="G1250" i="1"/>
  <c r="F1250" i="1"/>
  <c r="H1250" i="1" s="1"/>
  <c r="K1250" i="1" s="1"/>
  <c r="L1250" i="1" s="1"/>
  <c r="O1250" i="1" s="1"/>
  <c r="F1215" i="1"/>
  <c r="H1215" i="1" s="1"/>
  <c r="K1215" i="1" s="1"/>
  <c r="L1215" i="1" s="1"/>
  <c r="M1215" i="1" s="1"/>
  <c r="G1215" i="1"/>
  <c r="G1214" i="1"/>
  <c r="F1214" i="1"/>
  <c r="H1214" i="1" s="1"/>
  <c r="G1249" i="1"/>
  <c r="F1249" i="1"/>
  <c r="H1249" i="1" s="1"/>
  <c r="F1248" i="1"/>
  <c r="H1248" i="1" s="1"/>
  <c r="K1248" i="1" s="1"/>
  <c r="G1248" i="1"/>
  <c r="F1247" i="1"/>
  <c r="H1247" i="1" s="1"/>
  <c r="K1247" i="1" s="1"/>
  <c r="L1247" i="1" s="1"/>
  <c r="O1247" i="1" s="1"/>
  <c r="G1247" i="1"/>
  <c r="F1246" i="1"/>
  <c r="H1246" i="1" s="1"/>
  <c r="G1246" i="1"/>
  <c r="G1244" i="1"/>
  <c r="F1244" i="1"/>
  <c r="H1244" i="1" s="1"/>
  <c r="G1245" i="1"/>
  <c r="F1245" i="1"/>
  <c r="H1245" i="1" s="1"/>
  <c r="E10" i="11"/>
  <c r="F1213" i="1"/>
  <c r="H1213" i="1" s="1"/>
  <c r="K1213" i="1" s="1"/>
  <c r="L1213" i="1" s="1"/>
  <c r="N1213" i="1" s="1"/>
  <c r="G1213" i="1"/>
  <c r="G1212" i="1"/>
  <c r="F1212" i="1"/>
  <c r="H1212" i="1" s="1"/>
  <c r="G1211" i="1"/>
  <c r="F1211" i="1"/>
  <c r="H1211" i="1" s="1"/>
  <c r="K1211" i="1" s="1"/>
  <c r="G1235" i="1"/>
  <c r="F1235" i="1"/>
  <c r="H1235" i="1" s="1"/>
  <c r="G1210" i="1"/>
  <c r="F1210" i="1"/>
  <c r="H1210" i="1" s="1"/>
  <c r="G1231" i="1"/>
  <c r="F1231" i="1"/>
  <c r="H1231" i="1" s="1"/>
  <c r="F1230" i="1"/>
  <c r="H1230" i="1" s="1"/>
  <c r="K1230" i="1" s="1"/>
  <c r="L1230" i="1" s="1"/>
  <c r="O1230" i="1" s="1"/>
  <c r="G1230" i="1"/>
  <c r="G1229" i="1"/>
  <c r="F1229" i="1"/>
  <c r="H1229" i="1" s="1"/>
  <c r="K1229" i="1" s="1"/>
  <c r="F1228" i="1"/>
  <c r="H1228" i="1" s="1"/>
  <c r="K1228" i="1" s="1"/>
  <c r="L1228" i="1" s="1"/>
  <c r="O1228" i="1" s="1"/>
  <c r="G1228" i="1"/>
  <c r="G1227" i="1"/>
  <c r="F1227" i="1"/>
  <c r="H1227" i="1" s="1"/>
  <c r="F1226" i="1"/>
  <c r="H1226" i="1" s="1"/>
  <c r="K1226" i="1" s="1"/>
  <c r="L1226" i="1" s="1"/>
  <c r="O1226" i="1" s="1"/>
  <c r="G1226" i="1"/>
  <c r="G1225" i="1"/>
  <c r="F1225" i="1"/>
  <c r="H1225" i="1" s="1"/>
  <c r="K1225" i="1" s="1"/>
  <c r="G1224" i="1"/>
  <c r="F1224" i="1"/>
  <c r="H1224" i="1" s="1"/>
  <c r="G1209" i="1"/>
  <c r="F1209" i="1"/>
  <c r="H1209" i="1" s="1"/>
  <c r="G1223" i="1"/>
  <c r="F1223" i="1"/>
  <c r="H1223" i="1" s="1"/>
  <c r="K1223" i="1" s="1"/>
  <c r="L1223" i="1" s="1"/>
  <c r="M1223" i="1" s="1"/>
  <c r="G1222" i="1"/>
  <c r="F1222" i="1"/>
  <c r="H1222" i="1" s="1"/>
  <c r="K1222" i="1" s="1"/>
  <c r="L1222" i="1" s="1"/>
  <c r="O1222" i="1" s="1"/>
  <c r="E739" i="2"/>
  <c r="E737" i="2"/>
  <c r="H737" i="2" s="1"/>
  <c r="I737" i="2" s="1"/>
  <c r="Q737" i="2" s="1"/>
  <c r="E738" i="2"/>
  <c r="H738" i="2" s="1"/>
  <c r="I738" i="2" s="1"/>
  <c r="L738" i="2" s="1"/>
  <c r="E741" i="2"/>
  <c r="H741" i="2" s="1"/>
  <c r="E740" i="2"/>
  <c r="H740" i="2" s="1"/>
  <c r="E735" i="2"/>
  <c r="E736" i="2"/>
  <c r="F1201" i="1"/>
  <c r="H1201" i="1" s="1"/>
  <c r="K1201" i="1" s="1"/>
  <c r="L1201" i="1" s="1"/>
  <c r="O1201" i="1" s="1"/>
  <c r="G1201" i="1"/>
  <c r="G1200" i="1"/>
  <c r="F1200" i="1"/>
  <c r="H1200" i="1" s="1"/>
  <c r="G1199" i="1"/>
  <c r="G1198" i="1"/>
  <c r="G1197" i="1"/>
  <c r="F1199" i="1"/>
  <c r="H1199" i="1" s="1"/>
  <c r="F1198" i="1"/>
  <c r="H1198" i="1" s="1"/>
  <c r="K1198" i="1" s="1"/>
  <c r="L1198" i="1" s="1"/>
  <c r="O1198" i="1" s="1"/>
  <c r="F1197" i="1"/>
  <c r="H1197" i="1" s="1"/>
  <c r="K1197" i="1" s="1"/>
  <c r="L1197" i="1" s="1"/>
  <c r="M1197" i="1" s="1"/>
  <c r="G1196" i="1"/>
  <c r="F1196" i="1"/>
  <c r="H1196" i="1" s="1"/>
  <c r="K1196" i="1" s="1"/>
  <c r="L1196" i="1" s="1"/>
  <c r="M1196" i="1" s="1"/>
  <c r="F1195" i="1"/>
  <c r="H1195" i="1" s="1"/>
  <c r="K1195" i="1" s="1"/>
  <c r="L1195" i="1" s="1"/>
  <c r="O1195" i="1" s="1"/>
  <c r="G1195" i="1"/>
  <c r="G1194" i="1"/>
  <c r="F1194" i="1"/>
  <c r="H1194" i="1" s="1"/>
  <c r="F1193" i="1"/>
  <c r="H1193" i="1" s="1"/>
  <c r="K1193" i="1" s="1"/>
  <c r="L1193" i="1" s="1"/>
  <c r="O1193" i="1" s="1"/>
  <c r="G1193" i="1"/>
  <c r="G1192" i="1"/>
  <c r="F1192" i="1"/>
  <c r="H1192" i="1" s="1"/>
  <c r="F1191" i="1"/>
  <c r="H1191" i="1" s="1"/>
  <c r="K1191" i="1" s="1"/>
  <c r="L1191" i="1" s="1"/>
  <c r="M1191" i="1" s="1"/>
  <c r="G1191" i="1"/>
  <c r="F1190" i="1"/>
  <c r="H1190" i="1" s="1"/>
  <c r="G1190" i="1"/>
  <c r="E730" i="2"/>
  <c r="H730" i="2" s="1"/>
  <c r="I730" i="2" s="1"/>
  <c r="L730" i="2" s="1"/>
  <c r="E729" i="2"/>
  <c r="H729" i="2" s="1"/>
  <c r="I729" i="2" s="1"/>
  <c r="E733" i="2"/>
  <c r="E734" i="2"/>
  <c r="H734" i="2" s="1"/>
  <c r="F1189" i="1"/>
  <c r="H1189" i="1" s="1"/>
  <c r="G1189" i="1"/>
  <c r="G1208" i="1"/>
  <c r="F1208" i="1"/>
  <c r="H1208" i="1" s="1"/>
  <c r="N786" i="2" l="1"/>
  <c r="L786" i="2"/>
  <c r="Q786" i="2"/>
  <c r="L781" i="2"/>
  <c r="N781" i="2"/>
  <c r="Q781" i="2"/>
  <c r="L776" i="2"/>
  <c r="N776" i="2"/>
  <c r="Q776" i="2"/>
  <c r="N771" i="2"/>
  <c r="Q771" i="2"/>
  <c r="M1285" i="1"/>
  <c r="Q1285" i="1"/>
  <c r="O1289" i="1"/>
  <c r="K761" i="2"/>
  <c r="N761" i="2"/>
  <c r="L763" i="2"/>
  <c r="N763" i="2"/>
  <c r="N760" i="2"/>
  <c r="M760" i="2"/>
  <c r="Q760" i="2"/>
  <c r="Q759" i="2"/>
  <c r="O1243" i="1"/>
  <c r="Q755" i="2"/>
  <c r="Q758" i="2"/>
  <c r="O1270" i="1"/>
  <c r="Q1270" i="1"/>
  <c r="Q748" i="2"/>
  <c r="L746" i="2"/>
  <c r="N746" i="2"/>
  <c r="Q746" i="2"/>
  <c r="Q742" i="2"/>
  <c r="N749" i="2"/>
  <c r="K1269" i="1"/>
  <c r="L1269" i="1" s="1"/>
  <c r="M1269" i="1" s="1"/>
  <c r="Q1259" i="1"/>
  <c r="Q1260" i="1"/>
  <c r="L752" i="2"/>
  <c r="Q754" i="2"/>
  <c r="K1262" i="1"/>
  <c r="L1262" i="1" s="1"/>
  <c r="M1262" i="1" s="1"/>
  <c r="K1263" i="1"/>
  <c r="L1263" i="1" s="1"/>
  <c r="N1263" i="1" s="1"/>
  <c r="K753" i="2"/>
  <c r="K1265" i="1"/>
  <c r="L1265" i="1" s="1"/>
  <c r="O1265" i="1" s="1"/>
  <c r="L1258" i="1"/>
  <c r="I751" i="2"/>
  <c r="Q1257" i="1"/>
  <c r="K1256" i="1"/>
  <c r="L1256" i="1" s="1"/>
  <c r="K1255" i="1"/>
  <c r="L1255" i="1" s="1"/>
  <c r="M1255" i="1" s="1"/>
  <c r="L8" i="11"/>
  <c r="N8" i="11"/>
  <c r="Q8" i="11"/>
  <c r="H750" i="2"/>
  <c r="I750" i="2" s="1"/>
  <c r="K749" i="2"/>
  <c r="Q1250" i="1"/>
  <c r="K1214" i="1"/>
  <c r="L1214" i="1" s="1"/>
  <c r="O1214" i="1" s="1"/>
  <c r="K1249" i="1"/>
  <c r="L1249" i="1" s="1"/>
  <c r="M1249" i="1" s="1"/>
  <c r="L1248" i="1"/>
  <c r="M1248" i="1" s="1"/>
  <c r="K1246" i="1"/>
  <c r="L1246" i="1" s="1"/>
  <c r="N1246" i="1" s="1"/>
  <c r="K1244" i="1"/>
  <c r="L1244" i="1" s="1"/>
  <c r="K1212" i="1"/>
  <c r="L1212" i="1" s="1"/>
  <c r="O1212" i="1" s="1"/>
  <c r="K1245" i="1"/>
  <c r="L1245" i="1" s="1"/>
  <c r="H10" i="11"/>
  <c r="L1211" i="1"/>
  <c r="O1211" i="1" s="1"/>
  <c r="Q738" i="2"/>
  <c r="I740" i="2"/>
  <c r="K740" i="2" s="1"/>
  <c r="H739" i="2"/>
  <c r="H735" i="2"/>
  <c r="I735" i="2" s="1"/>
  <c r="N735" i="2" s="1"/>
  <c r="K1235" i="1"/>
  <c r="L1235" i="1" s="1"/>
  <c r="K1210" i="1"/>
  <c r="L1210" i="1" s="1"/>
  <c r="M1210" i="1" s="1"/>
  <c r="K1224" i="1"/>
  <c r="L1224" i="1" s="1"/>
  <c r="M1224" i="1" s="1"/>
  <c r="K1227" i="1"/>
  <c r="L1227" i="1" s="1"/>
  <c r="O1227" i="1" s="1"/>
  <c r="K1231" i="1"/>
  <c r="L1231" i="1" s="1"/>
  <c r="O1231" i="1" s="1"/>
  <c r="L1225" i="1"/>
  <c r="O1225" i="1" s="1"/>
  <c r="L1229" i="1"/>
  <c r="O1229" i="1" s="1"/>
  <c r="K1209" i="1"/>
  <c r="L1209" i="1" s="1"/>
  <c r="O1209" i="1" s="1"/>
  <c r="M737" i="2"/>
  <c r="I741" i="2"/>
  <c r="K741" i="2" s="1"/>
  <c r="H736" i="2"/>
  <c r="I736" i="2" s="1"/>
  <c r="K736" i="2" s="1"/>
  <c r="K1199" i="1"/>
  <c r="L1199" i="1" s="1"/>
  <c r="O1199" i="1" s="1"/>
  <c r="K1200" i="1"/>
  <c r="L1200" i="1" s="1"/>
  <c r="M1200" i="1" s="1"/>
  <c r="K1194" i="1"/>
  <c r="L1194" i="1" s="1"/>
  <c r="O1194" i="1" s="1"/>
  <c r="K1192" i="1"/>
  <c r="L1192" i="1" s="1"/>
  <c r="O1192" i="1" s="1"/>
  <c r="K1190" i="1"/>
  <c r="L1190" i="1" s="1"/>
  <c r="O1190" i="1" s="1"/>
  <c r="Q729" i="2"/>
  <c r="M729" i="2"/>
  <c r="Q730" i="2"/>
  <c r="H733" i="2"/>
  <c r="I733" i="2" s="1"/>
  <c r="I734" i="2"/>
  <c r="K734" i="2" s="1"/>
  <c r="K1189" i="1"/>
  <c r="L1189" i="1" s="1"/>
  <c r="M1189" i="1" s="1"/>
  <c r="K1208" i="1"/>
  <c r="L1208" i="1" s="1"/>
  <c r="M1208" i="1" s="1"/>
  <c r="G1207" i="1"/>
  <c r="F1207" i="1"/>
  <c r="H1207" i="1" s="1"/>
  <c r="K1207" i="1" s="1"/>
  <c r="L1207" i="1" s="1"/>
  <c r="O1207" i="1" s="1"/>
  <c r="F1206" i="1"/>
  <c r="H1206" i="1" s="1"/>
  <c r="K1206" i="1" s="1"/>
  <c r="L1206" i="1" s="1"/>
  <c r="O1206" i="1" s="1"/>
  <c r="G1206" i="1"/>
  <c r="G1205" i="1"/>
  <c r="F1205" i="1"/>
  <c r="H1205" i="1" s="1"/>
  <c r="F1188" i="1"/>
  <c r="H1188" i="1" s="1"/>
  <c r="K1188" i="1" s="1"/>
  <c r="L1188" i="1" s="1"/>
  <c r="O1188" i="1" s="1"/>
  <c r="G1188" i="1"/>
  <c r="F1187" i="1"/>
  <c r="H1187" i="1" s="1"/>
  <c r="G1187" i="1"/>
  <c r="G1186" i="1"/>
  <c r="F1186" i="1"/>
  <c r="H1186" i="1" s="1"/>
  <c r="K1186" i="1" s="1"/>
  <c r="L1186" i="1" s="1"/>
  <c r="O1186" i="1" s="1"/>
  <c r="G1185" i="1"/>
  <c r="F1185" i="1"/>
  <c r="H1185" i="1" s="1"/>
  <c r="F1184" i="1"/>
  <c r="H1184" i="1" s="1"/>
  <c r="G1184" i="1"/>
  <c r="F1183" i="1"/>
  <c r="H1183" i="1" s="1"/>
  <c r="K1183" i="1" s="1"/>
  <c r="L1183" i="1" s="1"/>
  <c r="M1183" i="1" s="1"/>
  <c r="G1183" i="1"/>
  <c r="F1182" i="1"/>
  <c r="H1182" i="1" s="1"/>
  <c r="K1182" i="1" s="1"/>
  <c r="L1182" i="1" s="1"/>
  <c r="O1182" i="1" s="1"/>
  <c r="G1182" i="1"/>
  <c r="F1181" i="1"/>
  <c r="H1181" i="1" s="1"/>
  <c r="G1181" i="1"/>
  <c r="F1180" i="1"/>
  <c r="H1180" i="1" s="1"/>
  <c r="K1180" i="1" s="1"/>
  <c r="L1180" i="1" s="1"/>
  <c r="M1180" i="1" s="1"/>
  <c r="G1180" i="1"/>
  <c r="F1179" i="1"/>
  <c r="H1179" i="1" s="1"/>
  <c r="G1179" i="1"/>
  <c r="F1178" i="1"/>
  <c r="H1178" i="1" s="1"/>
  <c r="K1178" i="1" s="1"/>
  <c r="L1178" i="1" s="1"/>
  <c r="O1178" i="1" s="1"/>
  <c r="G1178" i="1"/>
  <c r="F1177" i="1"/>
  <c r="H1177" i="1" s="1"/>
  <c r="K1177" i="1" s="1"/>
  <c r="L1177" i="1" s="1"/>
  <c r="O1177" i="1" s="1"/>
  <c r="G1177" i="1"/>
  <c r="F1176" i="1"/>
  <c r="H1176" i="1" s="1"/>
  <c r="K1176" i="1" s="1"/>
  <c r="L1176" i="1" s="1"/>
  <c r="M1176" i="1" s="1"/>
  <c r="F1175" i="1"/>
  <c r="H1175" i="1" s="1"/>
  <c r="G1176" i="1"/>
  <c r="G1175" i="1"/>
  <c r="E725" i="2"/>
  <c r="H725" i="2" s="1"/>
  <c r="E726" i="2"/>
  <c r="H726" i="2" s="1"/>
  <c r="E727" i="2"/>
  <c r="H727" i="2" s="1"/>
  <c r="E728" i="2"/>
  <c r="H728" i="2" s="1"/>
  <c r="G1204" i="1"/>
  <c r="F1204" i="1"/>
  <c r="H1204" i="1" s="1"/>
  <c r="F1203" i="1"/>
  <c r="H1203" i="1" s="1"/>
  <c r="K1203" i="1" s="1"/>
  <c r="L1203" i="1" s="1"/>
  <c r="M1203" i="1" s="1"/>
  <c r="G1203" i="1"/>
  <c r="G1202" i="1"/>
  <c r="F1202" i="1"/>
  <c r="H1202" i="1" s="1"/>
  <c r="F1174" i="1"/>
  <c r="H1174" i="1" s="1"/>
  <c r="K1174" i="1" s="1"/>
  <c r="L1174" i="1" s="1"/>
  <c r="O1174" i="1" s="1"/>
  <c r="G1174" i="1"/>
  <c r="E732" i="2"/>
  <c r="H732" i="2" s="1"/>
  <c r="E731" i="2"/>
  <c r="H731" i="2" s="1"/>
  <c r="I731" i="2" s="1"/>
  <c r="L731" i="2" s="1"/>
  <c r="E723" i="2"/>
  <c r="H723" i="2" s="1"/>
  <c r="G1173" i="1"/>
  <c r="F1173" i="1"/>
  <c r="H1173" i="1" s="1"/>
  <c r="K1173" i="1" s="1"/>
  <c r="L1173" i="1" s="1"/>
  <c r="O1173" i="1" s="1"/>
  <c r="F1172" i="1"/>
  <c r="H1172" i="1" s="1"/>
  <c r="K1172" i="1" s="1"/>
  <c r="L1172" i="1" s="1"/>
  <c r="O1172" i="1" s="1"/>
  <c r="G1172" i="1"/>
  <c r="G1171" i="1"/>
  <c r="F1171" i="1"/>
  <c r="H1171" i="1" s="1"/>
  <c r="K1171" i="1" s="1"/>
  <c r="L1171" i="1" s="1"/>
  <c r="M1171" i="1" s="1"/>
  <c r="G1170" i="1"/>
  <c r="F1170" i="1"/>
  <c r="H1170" i="1" s="1"/>
  <c r="K1170" i="1" s="1"/>
  <c r="L1170" i="1" s="1"/>
  <c r="O1170" i="1" s="1"/>
  <c r="G1169" i="1"/>
  <c r="F1169" i="1"/>
  <c r="H1169" i="1" s="1"/>
  <c r="K1169" i="1" s="1"/>
  <c r="L1169" i="1" s="1"/>
  <c r="O1169" i="1" s="1"/>
  <c r="F1168" i="1"/>
  <c r="H1168" i="1" s="1"/>
  <c r="G1168" i="1"/>
  <c r="G1167" i="1"/>
  <c r="F1167" i="1"/>
  <c r="H1167" i="1" s="1"/>
  <c r="E724" i="2"/>
  <c r="H724" i="2" s="1"/>
  <c r="E721" i="2"/>
  <c r="H721" i="2" s="1"/>
  <c r="I721" i="2" s="1"/>
  <c r="J721" i="2" s="1"/>
  <c r="E722" i="2"/>
  <c r="H722" i="2" s="1"/>
  <c r="F1166" i="1"/>
  <c r="H1166" i="1" s="1"/>
  <c r="K1166" i="1" s="1"/>
  <c r="L1166" i="1" s="1"/>
  <c r="O1166" i="1" s="1"/>
  <c r="G1166" i="1"/>
  <c r="G1165" i="1"/>
  <c r="F1165" i="1"/>
  <c r="H1165" i="1" s="1"/>
  <c r="F1164" i="1"/>
  <c r="H1164" i="1" s="1"/>
  <c r="K1164" i="1" s="1"/>
  <c r="L1164" i="1" s="1"/>
  <c r="O1164" i="1" s="1"/>
  <c r="G1164" i="1"/>
  <c r="F1163" i="1"/>
  <c r="H1163" i="1" s="1"/>
  <c r="G1163" i="1"/>
  <c r="E708" i="2"/>
  <c r="F1162" i="1"/>
  <c r="H1162" i="1" s="1"/>
  <c r="K1162" i="1" s="1"/>
  <c r="L1162" i="1" s="1"/>
  <c r="O1162" i="1" s="1"/>
  <c r="G1162" i="1"/>
  <c r="F1161" i="1"/>
  <c r="H1161" i="1" s="1"/>
  <c r="G1161" i="1"/>
  <c r="F1160" i="1"/>
  <c r="H1160" i="1" s="1"/>
  <c r="K1160" i="1" s="1"/>
  <c r="L1160" i="1" s="1"/>
  <c r="O1160" i="1" s="1"/>
  <c r="G1160" i="1"/>
  <c r="F1159" i="1"/>
  <c r="H1159" i="1" s="1"/>
  <c r="K1159" i="1" s="1"/>
  <c r="L1159" i="1" s="1"/>
  <c r="O1159" i="1" s="1"/>
  <c r="G1159" i="1"/>
  <c r="E717" i="2"/>
  <c r="H717" i="2" s="1"/>
  <c r="E715" i="2"/>
  <c r="E714" i="2"/>
  <c r="E716" i="2"/>
  <c r="H716" i="2" s="1"/>
  <c r="E712" i="2"/>
  <c r="H712" i="2" s="1"/>
  <c r="E718" i="2"/>
  <c r="H718" i="2" s="1"/>
  <c r="F1158" i="1"/>
  <c r="H1158" i="1" s="1"/>
  <c r="K1158" i="1" s="1"/>
  <c r="L1158" i="1" s="1"/>
  <c r="O1158" i="1" s="1"/>
  <c r="G1158" i="1"/>
  <c r="F1157" i="1"/>
  <c r="H1157" i="1" s="1"/>
  <c r="K1157" i="1" s="1"/>
  <c r="L1157" i="1" s="1"/>
  <c r="O1157" i="1" s="1"/>
  <c r="G1157" i="1"/>
  <c r="E720" i="2"/>
  <c r="H720" i="2" s="1"/>
  <c r="I720" i="2" s="1"/>
  <c r="Q720" i="2" s="1"/>
  <c r="G1156" i="1"/>
  <c r="F1156" i="1"/>
  <c r="H1156" i="1" s="1"/>
  <c r="F1150" i="1"/>
  <c r="H1150" i="1" s="1"/>
  <c r="K1150" i="1" s="1"/>
  <c r="L1150" i="1" s="1"/>
  <c r="O1150" i="1" s="1"/>
  <c r="G1150" i="1"/>
  <c r="G1149" i="1"/>
  <c r="F1149" i="1"/>
  <c r="H1149" i="1" s="1"/>
  <c r="E719" i="2"/>
  <c r="G1155" i="1"/>
  <c r="F1155" i="1"/>
  <c r="H1155" i="1" s="1"/>
  <c r="G1154" i="1"/>
  <c r="F1154" i="1"/>
  <c r="H1154" i="1" s="1"/>
  <c r="F1153" i="1"/>
  <c r="H1153" i="1" s="1"/>
  <c r="K1153" i="1" s="1"/>
  <c r="L1153" i="1" s="1"/>
  <c r="O1153" i="1" s="1"/>
  <c r="G1153" i="1"/>
  <c r="G1152" i="1"/>
  <c r="F1152" i="1"/>
  <c r="H1152" i="1" s="1"/>
  <c r="G1151" i="1"/>
  <c r="F1151" i="1"/>
  <c r="H1151" i="1" s="1"/>
  <c r="E713" i="2"/>
  <c r="G1148" i="1"/>
  <c r="F1148" i="1"/>
  <c r="H1148" i="1" s="1"/>
  <c r="G1147" i="1"/>
  <c r="F1147" i="1"/>
  <c r="H1147" i="1" s="1"/>
  <c r="G1146" i="1"/>
  <c r="F1146" i="1"/>
  <c r="H1146" i="1" s="1"/>
  <c r="G1145" i="1"/>
  <c r="F1145" i="1"/>
  <c r="H1145" i="1" s="1"/>
  <c r="G1144" i="1"/>
  <c r="F1144" i="1"/>
  <c r="H1144" i="1" s="1"/>
  <c r="G1143" i="1"/>
  <c r="F1143" i="1"/>
  <c r="H1143" i="1" s="1"/>
  <c r="G1142" i="1"/>
  <c r="F1142" i="1"/>
  <c r="H1142" i="1" s="1"/>
  <c r="G1141" i="1"/>
  <c r="F1141" i="1"/>
  <c r="H1141" i="1" s="1"/>
  <c r="K1141" i="1" s="1"/>
  <c r="E710" i="2"/>
  <c r="E711" i="2"/>
  <c r="E707" i="2"/>
  <c r="H707" i="2" s="1"/>
  <c r="E706" i="2"/>
  <c r="H706" i="2" s="1"/>
  <c r="I706" i="2" s="1"/>
  <c r="M706" i="2" s="1"/>
  <c r="E705" i="2"/>
  <c r="E709" i="2"/>
  <c r="G1140" i="1"/>
  <c r="F1140" i="1"/>
  <c r="H1140" i="1" s="1"/>
  <c r="G1139" i="1"/>
  <c r="F1139" i="1"/>
  <c r="H1139" i="1" s="1"/>
  <c r="G1138" i="1"/>
  <c r="F1138" i="1"/>
  <c r="H1138" i="1" s="1"/>
  <c r="G1137" i="1"/>
  <c r="F1137" i="1"/>
  <c r="H1137" i="1" s="1"/>
  <c r="E703" i="2"/>
  <c r="E704" i="2"/>
  <c r="G1136" i="1"/>
  <c r="F1136" i="1"/>
  <c r="H1136" i="1" s="1"/>
  <c r="G1135" i="1"/>
  <c r="F1135" i="1"/>
  <c r="H1135" i="1" s="1"/>
  <c r="G1134" i="1"/>
  <c r="F1134" i="1"/>
  <c r="H1134" i="1" s="1"/>
  <c r="G1133" i="1"/>
  <c r="F1133" i="1"/>
  <c r="H1133" i="1" s="1"/>
  <c r="G1132" i="1"/>
  <c r="F1132" i="1"/>
  <c r="H1132" i="1" s="1"/>
  <c r="G1131" i="1"/>
  <c r="F1131" i="1"/>
  <c r="H1131" i="1" s="1"/>
  <c r="G1130" i="1"/>
  <c r="F1130" i="1"/>
  <c r="H1130" i="1" s="1"/>
  <c r="G1129" i="1"/>
  <c r="F1129" i="1"/>
  <c r="H1129" i="1" s="1"/>
  <c r="G1128" i="1"/>
  <c r="F1128" i="1"/>
  <c r="H1128" i="1" s="1"/>
  <c r="E621" i="2"/>
  <c r="H621" i="2" s="1"/>
  <c r="F1089" i="1"/>
  <c r="H1089" i="1" s="1"/>
  <c r="G1089" i="1"/>
  <c r="G1082" i="1"/>
  <c r="F1082" i="1"/>
  <c r="H1082" i="1" s="1"/>
  <c r="K1082" i="1" s="1"/>
  <c r="L1082" i="1" s="1"/>
  <c r="O1082" i="1" s="1"/>
  <c r="G1127" i="1"/>
  <c r="F1127" i="1"/>
  <c r="H1127" i="1" s="1"/>
  <c r="G1126" i="1"/>
  <c r="F1126" i="1"/>
  <c r="H1126" i="1" s="1"/>
  <c r="G1125" i="1"/>
  <c r="F1125" i="1"/>
  <c r="H1125" i="1" s="1"/>
  <c r="K1125" i="1" s="1"/>
  <c r="G1124" i="1"/>
  <c r="F1124" i="1"/>
  <c r="H1124" i="1" s="1"/>
  <c r="G1123" i="1"/>
  <c r="F1123" i="1"/>
  <c r="H1123" i="1" s="1"/>
  <c r="G1122" i="1"/>
  <c r="F1122" i="1"/>
  <c r="H1122" i="1" s="1"/>
  <c r="G1121" i="1"/>
  <c r="F1121" i="1"/>
  <c r="H1121" i="1" s="1"/>
  <c r="E699" i="2"/>
  <c r="H699" i="2" s="1"/>
  <c r="E700" i="2"/>
  <c r="E695" i="2"/>
  <c r="H695" i="2" s="1"/>
  <c r="E692" i="2"/>
  <c r="H692" i="2" s="1"/>
  <c r="I692" i="2" s="1"/>
  <c r="N692" i="2" s="1"/>
  <c r="E694" i="2"/>
  <c r="E693" i="2"/>
  <c r="G1120" i="1"/>
  <c r="F1120" i="1"/>
  <c r="H1120" i="1" s="1"/>
  <c r="E696" i="2"/>
  <c r="E697" i="2"/>
  <c r="E698" i="2"/>
  <c r="E702" i="2"/>
  <c r="E701" i="2"/>
  <c r="G1119" i="1"/>
  <c r="F1119" i="1"/>
  <c r="H1119" i="1" s="1"/>
  <c r="G1118" i="1"/>
  <c r="F1118" i="1"/>
  <c r="H1118" i="1" s="1"/>
  <c r="K1118" i="1" s="1"/>
  <c r="G1117" i="1"/>
  <c r="F1117" i="1"/>
  <c r="H1117" i="1" s="1"/>
  <c r="G1116" i="1"/>
  <c r="F1116" i="1"/>
  <c r="H1116" i="1" s="1"/>
  <c r="G1115" i="1"/>
  <c r="F1115" i="1"/>
  <c r="H1115" i="1" s="1"/>
  <c r="E691" i="2"/>
  <c r="H691" i="2" s="1"/>
  <c r="I691" i="2" s="1"/>
  <c r="N691" i="2" s="1"/>
  <c r="G1114" i="1"/>
  <c r="F1114" i="1"/>
  <c r="H1114" i="1" s="1"/>
  <c r="G1113" i="1"/>
  <c r="F1113" i="1"/>
  <c r="H1113" i="1" s="1"/>
  <c r="E690" i="2"/>
  <c r="G1112" i="1"/>
  <c r="F1112" i="1"/>
  <c r="H1112" i="1" s="1"/>
  <c r="G1111" i="1"/>
  <c r="F1111" i="1"/>
  <c r="H1111" i="1" s="1"/>
  <c r="G1110" i="1"/>
  <c r="F1110" i="1"/>
  <c r="H1110" i="1" s="1"/>
  <c r="G1109" i="1"/>
  <c r="F1109" i="1"/>
  <c r="H1109" i="1" s="1"/>
  <c r="G1108" i="1"/>
  <c r="F1108" i="1"/>
  <c r="H1108" i="1" s="1"/>
  <c r="E687" i="2"/>
  <c r="E688" i="2"/>
  <c r="E666" i="2"/>
  <c r="E674" i="2"/>
  <c r="H674" i="2" s="1"/>
  <c r="G1075" i="1"/>
  <c r="F1075" i="1"/>
  <c r="H1075" i="1" s="1"/>
  <c r="G1074" i="1"/>
  <c r="F1074" i="1"/>
  <c r="H1074" i="1" s="1"/>
  <c r="K1074" i="1" s="1"/>
  <c r="L1074" i="1" s="1"/>
  <c r="G1100" i="1"/>
  <c r="F1100" i="1"/>
  <c r="H1100" i="1" s="1"/>
  <c r="G1073" i="1"/>
  <c r="F1073" i="1"/>
  <c r="H1073" i="1" s="1"/>
  <c r="G1072" i="1"/>
  <c r="F1072" i="1"/>
  <c r="H1072" i="1" s="1"/>
  <c r="G1071" i="1"/>
  <c r="F1071" i="1"/>
  <c r="H1071" i="1" s="1"/>
  <c r="G1070" i="1"/>
  <c r="F1070" i="1"/>
  <c r="H1070" i="1" s="1"/>
  <c r="E664" i="2"/>
  <c r="E665" i="2"/>
  <c r="H665" i="2" s="1"/>
  <c r="E661" i="2"/>
  <c r="E660" i="2"/>
  <c r="E663" i="2"/>
  <c r="K750" i="2" l="1"/>
  <c r="N750" i="2"/>
  <c r="O1258" i="1"/>
  <c r="Q1258" i="1"/>
  <c r="N751" i="2"/>
  <c r="L751" i="2"/>
  <c r="Q751" i="2"/>
  <c r="O1256" i="1"/>
  <c r="Q1256" i="1"/>
  <c r="Q750" i="2"/>
  <c r="O1244" i="1"/>
  <c r="M1244" i="1"/>
  <c r="O1245" i="1"/>
  <c r="M1245" i="1"/>
  <c r="I10" i="11"/>
  <c r="Q735" i="2"/>
  <c r="I739" i="2"/>
  <c r="L739" i="2" s="1"/>
  <c r="Q740" i="2"/>
  <c r="O1235" i="1"/>
  <c r="Q741" i="2"/>
  <c r="I723" i="2"/>
  <c r="M723" i="2" s="1"/>
  <c r="I728" i="2"/>
  <c r="K728" i="2" s="1"/>
  <c r="I726" i="2"/>
  <c r="K726" i="2" s="1"/>
  <c r="Q736" i="2"/>
  <c r="I725" i="2"/>
  <c r="K725" i="2" s="1"/>
  <c r="J733" i="2"/>
  <c r="Q733" i="2"/>
  <c r="Q734" i="2"/>
  <c r="K1187" i="1"/>
  <c r="L1187" i="1" s="1"/>
  <c r="O1187" i="1" s="1"/>
  <c r="K1205" i="1"/>
  <c r="L1205" i="1" s="1"/>
  <c r="O1205" i="1" s="1"/>
  <c r="K1185" i="1"/>
  <c r="L1185" i="1" s="1"/>
  <c r="O1185" i="1" s="1"/>
  <c r="K1184" i="1"/>
  <c r="L1184" i="1" s="1"/>
  <c r="O1184" i="1" s="1"/>
  <c r="K1181" i="1"/>
  <c r="L1181" i="1" s="1"/>
  <c r="M1181" i="1" s="1"/>
  <c r="K1179" i="1"/>
  <c r="L1179" i="1" s="1"/>
  <c r="O1179" i="1" s="1"/>
  <c r="K1175" i="1"/>
  <c r="L1175" i="1" s="1"/>
  <c r="O1175" i="1" s="1"/>
  <c r="I727" i="2"/>
  <c r="O727" i="2" s="1"/>
  <c r="K1204" i="1"/>
  <c r="L1204" i="1" s="1"/>
  <c r="K1202" i="1"/>
  <c r="L1202" i="1" s="1"/>
  <c r="O1202" i="1" s="1"/>
  <c r="I732" i="2"/>
  <c r="Q731" i="2"/>
  <c r="K1168" i="1"/>
  <c r="L1168" i="1" s="1"/>
  <c r="O1168" i="1" s="1"/>
  <c r="K1165" i="1"/>
  <c r="L1165" i="1" s="1"/>
  <c r="O1165" i="1" s="1"/>
  <c r="K1167" i="1"/>
  <c r="L1167" i="1" s="1"/>
  <c r="M1167" i="1" s="1"/>
  <c r="I724" i="2"/>
  <c r="Q724" i="2" s="1"/>
  <c r="I722" i="2"/>
  <c r="K722" i="2" s="1"/>
  <c r="Q721" i="2"/>
  <c r="K1163" i="1"/>
  <c r="L1163" i="1" s="1"/>
  <c r="O1163" i="1" s="1"/>
  <c r="K1161" i="1"/>
  <c r="L1161" i="1" s="1"/>
  <c r="O1161" i="1" s="1"/>
  <c r="I717" i="2"/>
  <c r="M717" i="2" s="1"/>
  <c r="I716" i="2"/>
  <c r="N716" i="2" s="1"/>
  <c r="H715" i="2"/>
  <c r="I715" i="2" s="1"/>
  <c r="H714" i="2"/>
  <c r="I714" i="2" s="1"/>
  <c r="N714" i="2" s="1"/>
  <c r="I712" i="2"/>
  <c r="I718" i="2"/>
  <c r="K720" i="2"/>
  <c r="K1156" i="1"/>
  <c r="L1156" i="1" s="1"/>
  <c r="O1156" i="1" s="1"/>
  <c r="K1149" i="1"/>
  <c r="L1149" i="1" s="1"/>
  <c r="M1149" i="1" s="1"/>
  <c r="K1155" i="1"/>
  <c r="L1155" i="1" s="1"/>
  <c r="O1155" i="1" s="1"/>
  <c r="H719" i="2"/>
  <c r="K1152" i="1"/>
  <c r="L1152" i="1" s="1"/>
  <c r="O1152" i="1" s="1"/>
  <c r="K1154" i="1"/>
  <c r="L1154" i="1" s="1"/>
  <c r="K1151" i="1"/>
  <c r="L1151" i="1" s="1"/>
  <c r="H713" i="2"/>
  <c r="I713" i="2" s="1"/>
  <c r="K713" i="2" s="1"/>
  <c r="K1148" i="1"/>
  <c r="L1148" i="1" s="1"/>
  <c r="O1148" i="1" s="1"/>
  <c r="K1147" i="1"/>
  <c r="L1147" i="1" s="1"/>
  <c r="O1147" i="1" s="1"/>
  <c r="K1146" i="1"/>
  <c r="L1146" i="1" s="1"/>
  <c r="M1146" i="1" s="1"/>
  <c r="K1145" i="1"/>
  <c r="L1145" i="1" s="1"/>
  <c r="K1144" i="1"/>
  <c r="K1143" i="1"/>
  <c r="K1142" i="1"/>
  <c r="L1142" i="1" s="1"/>
  <c r="O1142" i="1" s="1"/>
  <c r="L1141" i="1"/>
  <c r="O1141" i="1" s="1"/>
  <c r="H710" i="2"/>
  <c r="H711" i="2"/>
  <c r="H705" i="2"/>
  <c r="I705" i="2" s="1"/>
  <c r="N705" i="2" s="1"/>
  <c r="Q706" i="2"/>
  <c r="I707" i="2"/>
  <c r="Q707" i="2" s="1"/>
  <c r="H709" i="2"/>
  <c r="I709" i="2" s="1"/>
  <c r="H708" i="2"/>
  <c r="I708" i="2" s="1"/>
  <c r="N708" i="2" s="1"/>
  <c r="K1139" i="1"/>
  <c r="L1139" i="1" s="1"/>
  <c r="O1139" i="1" s="1"/>
  <c r="K1140" i="1"/>
  <c r="L1140" i="1" s="1"/>
  <c r="O1140" i="1" s="1"/>
  <c r="K1138" i="1"/>
  <c r="L1138" i="1" s="1"/>
  <c r="M1138" i="1" s="1"/>
  <c r="K1137" i="1"/>
  <c r="L1137" i="1" s="1"/>
  <c r="H703" i="2"/>
  <c r="I703" i="2" s="1"/>
  <c r="H704" i="2"/>
  <c r="I704" i="2" s="1"/>
  <c r="L704" i="2" s="1"/>
  <c r="K1135" i="1"/>
  <c r="L1135" i="1" s="1"/>
  <c r="O1135" i="1" s="1"/>
  <c r="K1136" i="1"/>
  <c r="L1136" i="1" s="1"/>
  <c r="M1136" i="1" s="1"/>
  <c r="K1134" i="1"/>
  <c r="L1134" i="1" s="1"/>
  <c r="O1134" i="1" s="1"/>
  <c r="K1133" i="1"/>
  <c r="L1133" i="1" s="1"/>
  <c r="O1133" i="1" s="1"/>
  <c r="K1131" i="1"/>
  <c r="L1131" i="1" s="1"/>
  <c r="K1132" i="1"/>
  <c r="L1132" i="1" s="1"/>
  <c r="K1130" i="1"/>
  <c r="L1130" i="1" s="1"/>
  <c r="O1130" i="1" s="1"/>
  <c r="K1129" i="1"/>
  <c r="L1129" i="1" s="1"/>
  <c r="O1129" i="1" s="1"/>
  <c r="K1128" i="1"/>
  <c r="L1128" i="1" s="1"/>
  <c r="M1128" i="1" s="1"/>
  <c r="I621" i="2"/>
  <c r="Q621" i="2" s="1"/>
  <c r="K1089" i="1"/>
  <c r="L1089" i="1" s="1"/>
  <c r="O1089" i="1" s="1"/>
  <c r="K1127" i="1"/>
  <c r="L1127" i="1" s="1"/>
  <c r="K1126" i="1"/>
  <c r="L1126" i="1" s="1"/>
  <c r="M1126" i="1" s="1"/>
  <c r="L1125" i="1"/>
  <c r="K1124" i="1"/>
  <c r="L1124" i="1" s="1"/>
  <c r="O1124" i="1" s="1"/>
  <c r="K1122" i="1"/>
  <c r="L1122" i="1" s="1"/>
  <c r="O1122" i="1" s="1"/>
  <c r="K1123" i="1"/>
  <c r="L1123" i="1" s="1"/>
  <c r="O1123" i="1" s="1"/>
  <c r="K1121" i="1"/>
  <c r="L1121" i="1" s="1"/>
  <c r="O1121" i="1" s="1"/>
  <c r="I699" i="2"/>
  <c r="Q699" i="2" s="1"/>
  <c r="H700" i="2"/>
  <c r="I695" i="2"/>
  <c r="Q695" i="2" s="1"/>
  <c r="H694" i="2"/>
  <c r="H693" i="2"/>
  <c r="I693" i="2" s="1"/>
  <c r="M693" i="2" s="1"/>
  <c r="K1120" i="1"/>
  <c r="L1120" i="1" s="1"/>
  <c r="O1120" i="1" s="1"/>
  <c r="H696" i="2"/>
  <c r="H697" i="2"/>
  <c r="I697" i="2" s="1"/>
  <c r="H698" i="2"/>
  <c r="H702" i="2"/>
  <c r="I702" i="2" s="1"/>
  <c r="H701" i="2"/>
  <c r="I701" i="2" s="1"/>
  <c r="N701" i="2" s="1"/>
  <c r="K1119" i="1"/>
  <c r="L1119" i="1" s="1"/>
  <c r="O1119" i="1" s="1"/>
  <c r="L1118" i="1"/>
  <c r="O1118" i="1" s="1"/>
  <c r="K1116" i="1"/>
  <c r="L1116" i="1" s="1"/>
  <c r="O1116" i="1" s="1"/>
  <c r="K1117" i="1"/>
  <c r="L1117" i="1" s="1"/>
  <c r="O1117" i="1" s="1"/>
  <c r="K1115" i="1"/>
  <c r="L1115" i="1" s="1"/>
  <c r="O1115" i="1" s="1"/>
  <c r="K691" i="2"/>
  <c r="H687" i="2"/>
  <c r="I687" i="2" s="1"/>
  <c r="N687" i="2" s="1"/>
  <c r="K1114" i="1"/>
  <c r="L1114" i="1" s="1"/>
  <c r="O1114" i="1" s="1"/>
  <c r="K1113" i="1"/>
  <c r="L1113" i="1" s="1"/>
  <c r="O1113" i="1" s="1"/>
  <c r="H690" i="2"/>
  <c r="I690" i="2" s="1"/>
  <c r="K1112" i="1"/>
  <c r="L1112" i="1" s="1"/>
  <c r="M1112" i="1" s="1"/>
  <c r="K1110" i="1"/>
  <c r="L1110" i="1" s="1"/>
  <c r="O1110" i="1" s="1"/>
  <c r="K1111" i="1"/>
  <c r="L1111" i="1" s="1"/>
  <c r="O1111" i="1" s="1"/>
  <c r="K1108" i="1"/>
  <c r="L1108" i="1" s="1"/>
  <c r="O1108" i="1" s="1"/>
  <c r="K1109" i="1"/>
  <c r="L1109" i="1" s="1"/>
  <c r="O1109" i="1" s="1"/>
  <c r="H688" i="2"/>
  <c r="I688" i="2" s="1"/>
  <c r="L688" i="2" s="1"/>
  <c r="H666" i="2"/>
  <c r="I674" i="2"/>
  <c r="K674" i="2" s="1"/>
  <c r="K1075" i="1"/>
  <c r="L1075" i="1" s="1"/>
  <c r="O1075" i="1" s="1"/>
  <c r="M1074" i="1"/>
  <c r="K1073" i="1"/>
  <c r="L1073" i="1" s="1"/>
  <c r="M1073" i="1" s="1"/>
  <c r="K1072" i="1"/>
  <c r="L1072" i="1" s="1"/>
  <c r="M1072" i="1" s="1"/>
  <c r="K1070" i="1"/>
  <c r="L1070" i="1" s="1"/>
  <c r="O1070" i="1" s="1"/>
  <c r="K1071" i="1"/>
  <c r="L1071" i="1" s="1"/>
  <c r="O1071" i="1" s="1"/>
  <c r="H664" i="2"/>
  <c r="I665" i="2"/>
  <c r="Q665" i="2" s="1"/>
  <c r="H660" i="2"/>
  <c r="H661" i="2"/>
  <c r="I661" i="2" s="1"/>
  <c r="M661" i="2" s="1"/>
  <c r="H663" i="2"/>
  <c r="E689" i="2"/>
  <c r="E682" i="2"/>
  <c r="E680" i="2"/>
  <c r="K686" i="2"/>
  <c r="N686" i="2"/>
  <c r="G1107" i="1"/>
  <c r="G1106" i="1"/>
  <c r="F1107" i="1"/>
  <c r="H1107" i="1" s="1"/>
  <c r="K1107" i="1" s="1"/>
  <c r="L1107" i="1" s="1"/>
  <c r="O1107" i="1" s="1"/>
  <c r="F1106" i="1"/>
  <c r="H1106" i="1" s="1"/>
  <c r="G1105" i="1"/>
  <c r="F1105" i="1"/>
  <c r="H1105" i="1" s="1"/>
  <c r="G1104" i="1"/>
  <c r="F1104" i="1"/>
  <c r="H1104" i="1" s="1"/>
  <c r="G1103" i="1"/>
  <c r="F1103" i="1"/>
  <c r="H1103" i="1" s="1"/>
  <c r="E676" i="2"/>
  <c r="H676" i="2" s="1"/>
  <c r="E685" i="2"/>
  <c r="H685" i="2" s="1"/>
  <c r="E675" i="2"/>
  <c r="H675" i="2" s="1"/>
  <c r="E684" i="2"/>
  <c r="E683" i="2"/>
  <c r="H683" i="2" s="1"/>
  <c r="E679" i="2"/>
  <c r="H679" i="2" s="1"/>
  <c r="E681" i="2"/>
  <c r="H681" i="2" s="1"/>
  <c r="E677" i="2"/>
  <c r="H677" i="2" s="1"/>
  <c r="E678" i="2"/>
  <c r="H678" i="2" s="1"/>
  <c r="G1102" i="1"/>
  <c r="F1102" i="1"/>
  <c r="H1102" i="1" s="1"/>
  <c r="G1101" i="1"/>
  <c r="F1101" i="1"/>
  <c r="H1101" i="1" s="1"/>
  <c r="G1096" i="1"/>
  <c r="F1096" i="1"/>
  <c r="H1096" i="1" s="1"/>
  <c r="G1095" i="1"/>
  <c r="F1095" i="1"/>
  <c r="H1095" i="1" s="1"/>
  <c r="G1094" i="1"/>
  <c r="F1094" i="1"/>
  <c r="H1094" i="1" s="1"/>
  <c r="G1093" i="1"/>
  <c r="F1093" i="1"/>
  <c r="H1093" i="1" s="1"/>
  <c r="G1092" i="1"/>
  <c r="F1092" i="1"/>
  <c r="H1092" i="1" s="1"/>
  <c r="G1091" i="1"/>
  <c r="F1091" i="1"/>
  <c r="H1091" i="1" s="1"/>
  <c r="G1090" i="1"/>
  <c r="F1090" i="1"/>
  <c r="H1090" i="1" s="1"/>
  <c r="E672" i="2"/>
  <c r="H672" i="2" s="1"/>
  <c r="E673" i="2"/>
  <c r="G1099" i="1"/>
  <c r="F1099" i="1"/>
  <c r="H1099" i="1" s="1"/>
  <c r="G1098" i="1"/>
  <c r="F1098" i="1"/>
  <c r="H1098" i="1" s="1"/>
  <c r="G1097" i="1"/>
  <c r="F1097" i="1"/>
  <c r="H1097" i="1" s="1"/>
  <c r="G1088" i="1"/>
  <c r="F1088" i="1"/>
  <c r="H1088" i="1" s="1"/>
  <c r="F1087" i="1"/>
  <c r="H1087" i="1" s="1"/>
  <c r="G1087" i="1"/>
  <c r="G1086" i="1"/>
  <c r="F1086" i="1"/>
  <c r="H1086" i="1" s="1"/>
  <c r="K1086" i="1" s="1"/>
  <c r="G1085" i="1"/>
  <c r="F1085" i="1"/>
  <c r="H1085" i="1" s="1"/>
  <c r="G1084" i="1"/>
  <c r="F1084" i="1"/>
  <c r="H1084" i="1" s="1"/>
  <c r="G1083" i="1"/>
  <c r="F1083" i="1"/>
  <c r="H1083" i="1" s="1"/>
  <c r="J10" i="11" l="1"/>
  <c r="L10" i="11"/>
  <c r="N10" i="11"/>
  <c r="Q10" i="11"/>
  <c r="Q726" i="2"/>
  <c r="Q728" i="2"/>
  <c r="Q739" i="2"/>
  <c r="Q722" i="2"/>
  <c r="Q727" i="2"/>
  <c r="Q725" i="2"/>
  <c r="Q723" i="2"/>
  <c r="M1204" i="1"/>
  <c r="M732" i="2"/>
  <c r="N732" i="2"/>
  <c r="Q732" i="2"/>
  <c r="N717" i="2"/>
  <c r="N724" i="2"/>
  <c r="L724" i="2"/>
  <c r="L708" i="2"/>
  <c r="Q708" i="2"/>
  <c r="N703" i="2"/>
  <c r="L703" i="2"/>
  <c r="Q703" i="2"/>
  <c r="Q717" i="2"/>
  <c r="M712" i="2"/>
  <c r="N712" i="2"/>
  <c r="Q716" i="2"/>
  <c r="O716" i="2"/>
  <c r="N715" i="2"/>
  <c r="M715" i="2"/>
  <c r="Q715" i="2"/>
  <c r="Q714" i="2"/>
  <c r="Q712" i="2"/>
  <c r="L718" i="2"/>
  <c r="N718" i="2"/>
  <c r="Q718" i="2"/>
  <c r="O1154" i="1"/>
  <c r="M1154" i="1"/>
  <c r="I719" i="2"/>
  <c r="O1151" i="1"/>
  <c r="M1151" i="1"/>
  <c r="L713" i="2"/>
  <c r="N713" i="2"/>
  <c r="Q713" i="2"/>
  <c r="O1145" i="1"/>
  <c r="L1144" i="1"/>
  <c r="L1143" i="1"/>
  <c r="I710" i="2"/>
  <c r="I711" i="2"/>
  <c r="L707" i="2"/>
  <c r="N707" i="2"/>
  <c r="Q705" i="2"/>
  <c r="N709" i="2"/>
  <c r="M709" i="2"/>
  <c r="Q709" i="2"/>
  <c r="Q1137" i="1"/>
  <c r="O1137" i="1"/>
  <c r="Q704" i="2"/>
  <c r="O1132" i="1"/>
  <c r="Q1132" i="1"/>
  <c r="M1131" i="1"/>
  <c r="O1131" i="1"/>
  <c r="Q1131" i="1"/>
  <c r="M621" i="2"/>
  <c r="N621" i="2"/>
  <c r="M1125" i="1"/>
  <c r="O1125" i="1"/>
  <c r="Q1082" i="1"/>
  <c r="Q1127" i="1"/>
  <c r="O1127" i="1"/>
  <c r="N699" i="2"/>
  <c r="M699" i="2"/>
  <c r="L699" i="2"/>
  <c r="I700" i="2"/>
  <c r="N700" i="2" s="1"/>
  <c r="N695" i="2"/>
  <c r="M695" i="2"/>
  <c r="I694" i="2"/>
  <c r="Q693" i="2"/>
  <c r="Q692" i="2"/>
  <c r="I696" i="2"/>
  <c r="N697" i="2"/>
  <c r="L697" i="2"/>
  <c r="I698" i="2"/>
  <c r="L698" i="2" s="1"/>
  <c r="Q697" i="2"/>
  <c r="N702" i="2"/>
  <c r="K702" i="2"/>
  <c r="Q702" i="2"/>
  <c r="Q701" i="2"/>
  <c r="L687" i="2"/>
  <c r="Q687" i="2"/>
  <c r="Q688" i="2"/>
  <c r="N690" i="2"/>
  <c r="M690" i="2"/>
  <c r="Q690" i="2"/>
  <c r="I666" i="2"/>
  <c r="Q674" i="2"/>
  <c r="N674" i="2"/>
  <c r="I664" i="2"/>
  <c r="N665" i="2"/>
  <c r="J665" i="2"/>
  <c r="Q661" i="2"/>
  <c r="I660" i="2"/>
  <c r="N660" i="2" s="1"/>
  <c r="I663" i="2"/>
  <c r="N663" i="2" s="1"/>
  <c r="K1106" i="1"/>
  <c r="L1106" i="1" s="1"/>
  <c r="O1106" i="1" s="1"/>
  <c r="H689" i="2"/>
  <c r="H682" i="2"/>
  <c r="I682" i="2" s="1"/>
  <c r="H680" i="2"/>
  <c r="I680" i="2" s="1"/>
  <c r="N680" i="2" s="1"/>
  <c r="K1105" i="1"/>
  <c r="L1105" i="1" s="1"/>
  <c r="M1105" i="1" s="1"/>
  <c r="I675" i="2"/>
  <c r="N675" i="2" s="1"/>
  <c r="K1104" i="1"/>
  <c r="L1104" i="1" s="1"/>
  <c r="O1104" i="1" s="1"/>
  <c r="K1103" i="1"/>
  <c r="L1103" i="1" s="1"/>
  <c r="I676" i="2"/>
  <c r="I685" i="2"/>
  <c r="H684" i="2"/>
  <c r="I683" i="2"/>
  <c r="M683" i="2" s="1"/>
  <c r="I679" i="2"/>
  <c r="N679" i="2" s="1"/>
  <c r="I681" i="2"/>
  <c r="N681" i="2" s="1"/>
  <c r="K1100" i="1"/>
  <c r="L1100" i="1" s="1"/>
  <c r="M1100" i="1" s="1"/>
  <c r="I677" i="2"/>
  <c r="I678" i="2"/>
  <c r="L678" i="2" s="1"/>
  <c r="K1101" i="1"/>
  <c r="L1101" i="1" s="1"/>
  <c r="O1101" i="1" s="1"/>
  <c r="K1102" i="1"/>
  <c r="L1102" i="1" s="1"/>
  <c r="O1102" i="1" s="1"/>
  <c r="K1096" i="1"/>
  <c r="L1096" i="1" s="1"/>
  <c r="O1096" i="1" s="1"/>
  <c r="K1095" i="1"/>
  <c r="L1095" i="1" s="1"/>
  <c r="O1095" i="1" s="1"/>
  <c r="K1094" i="1"/>
  <c r="L1094" i="1" s="1"/>
  <c r="M1094" i="1" s="1"/>
  <c r="K1092" i="1"/>
  <c r="L1092" i="1" s="1"/>
  <c r="K1093" i="1"/>
  <c r="L1093" i="1" s="1"/>
  <c r="K1091" i="1"/>
  <c r="L1091" i="1" s="1"/>
  <c r="M1091" i="1" s="1"/>
  <c r="K1090" i="1"/>
  <c r="L1090" i="1" s="1"/>
  <c r="O1090" i="1" s="1"/>
  <c r="I672" i="2"/>
  <c r="H673" i="2"/>
  <c r="K1099" i="1"/>
  <c r="L1099" i="1" s="1"/>
  <c r="M1099" i="1" s="1"/>
  <c r="K1097" i="1"/>
  <c r="L1097" i="1" s="1"/>
  <c r="O1097" i="1" s="1"/>
  <c r="K1098" i="1"/>
  <c r="L1098" i="1" s="1"/>
  <c r="O1098" i="1" s="1"/>
  <c r="K1088" i="1"/>
  <c r="L1088" i="1" s="1"/>
  <c r="O1088" i="1" s="1"/>
  <c r="K1087" i="1"/>
  <c r="L1087" i="1" s="1"/>
  <c r="O1087" i="1" s="1"/>
  <c r="L1086" i="1"/>
  <c r="O1086" i="1" s="1"/>
  <c r="K1085" i="1"/>
  <c r="L1085" i="1" s="1"/>
  <c r="M1085" i="1" s="1"/>
  <c r="K1084" i="1"/>
  <c r="L1084" i="1" s="1"/>
  <c r="M1084" i="1" s="1"/>
  <c r="K1083" i="1"/>
  <c r="L1083" i="1" s="1"/>
  <c r="O1083" i="1" s="1"/>
  <c r="E669" i="2"/>
  <c r="H669" i="2" s="1"/>
  <c r="I669" i="2" s="1"/>
  <c r="F1081" i="1"/>
  <c r="H1081" i="1" s="1"/>
  <c r="G1081" i="1"/>
  <c r="E667" i="2"/>
  <c r="H667" i="2" s="1"/>
  <c r="I667" i="2" s="1"/>
  <c r="E668" i="2"/>
  <c r="H668" i="2" s="1"/>
  <c r="E671" i="2"/>
  <c r="H671" i="2" s="1"/>
  <c r="E670" i="2"/>
  <c r="H670" i="2" s="1"/>
  <c r="I670" i="2" s="1"/>
  <c r="F1080" i="1"/>
  <c r="H1080" i="1" s="1"/>
  <c r="G1080" i="1"/>
  <c r="F1079" i="1"/>
  <c r="H1079" i="1" s="1"/>
  <c r="G1079" i="1"/>
  <c r="G1078" i="1"/>
  <c r="F1078" i="1"/>
  <c r="H1078" i="1" s="1"/>
  <c r="K1078" i="1" s="1"/>
  <c r="L1078" i="1" s="1"/>
  <c r="G1077" i="1"/>
  <c r="F1077" i="1"/>
  <c r="H1077" i="1" s="1"/>
  <c r="G1076" i="1"/>
  <c r="F1076" i="1"/>
  <c r="H1076" i="1" s="1"/>
  <c r="E662" i="2"/>
  <c r="G1069" i="1"/>
  <c r="F1069" i="1"/>
  <c r="H1069" i="1" s="1"/>
  <c r="G1068" i="1"/>
  <c r="F1068" i="1"/>
  <c r="H1068" i="1" s="1"/>
  <c r="G1067" i="1"/>
  <c r="F1067" i="1"/>
  <c r="H1067" i="1" s="1"/>
  <c r="G1066" i="1"/>
  <c r="F1066" i="1"/>
  <c r="H1066" i="1" s="1"/>
  <c r="E657" i="2"/>
  <c r="H657" i="2" s="1"/>
  <c r="E656" i="2"/>
  <c r="E655" i="2"/>
  <c r="H655" i="2" s="1"/>
  <c r="G1064" i="1"/>
  <c r="F1064" i="1"/>
  <c r="H1064" i="1" s="1"/>
  <c r="G1063" i="1"/>
  <c r="F1063" i="1"/>
  <c r="H1063" i="1" s="1"/>
  <c r="G1062" i="1"/>
  <c r="F1062" i="1"/>
  <c r="H1062" i="1" s="1"/>
  <c r="E653" i="2"/>
  <c r="E652" i="2"/>
  <c r="E654" i="2"/>
  <c r="H654" i="2" s="1"/>
  <c r="G1061" i="1"/>
  <c r="F1061" i="1"/>
  <c r="H1061" i="1" s="1"/>
  <c r="G1060" i="1"/>
  <c r="F1060" i="1"/>
  <c r="H1060" i="1" s="1"/>
  <c r="G1059" i="1"/>
  <c r="F1059" i="1"/>
  <c r="H1059" i="1" s="1"/>
  <c r="G1058" i="1"/>
  <c r="F1058" i="1"/>
  <c r="H1058" i="1" s="1"/>
  <c r="G1056" i="1"/>
  <c r="F1056" i="1"/>
  <c r="H1056" i="1" s="1"/>
  <c r="G1057" i="1"/>
  <c r="F1057" i="1"/>
  <c r="H1057" i="1" s="1"/>
  <c r="E658" i="2"/>
  <c r="G1045" i="1"/>
  <c r="F1045" i="1"/>
  <c r="H1045" i="1" s="1"/>
  <c r="G1044" i="1"/>
  <c r="F1044" i="1"/>
  <c r="H1044" i="1" s="1"/>
  <c r="K1044" i="1" s="1"/>
  <c r="G1043" i="1"/>
  <c r="F1043" i="1"/>
  <c r="H1043" i="1" s="1"/>
  <c r="G1042" i="1"/>
  <c r="F1042" i="1"/>
  <c r="H1042" i="1" s="1"/>
  <c r="G1041" i="1"/>
  <c r="F1041" i="1"/>
  <c r="H1041" i="1" s="1"/>
  <c r="G1040" i="1"/>
  <c r="F1040" i="1"/>
  <c r="H1040" i="1" s="1"/>
  <c r="G1039" i="1"/>
  <c r="F1039" i="1"/>
  <c r="H1039" i="1" s="1"/>
  <c r="G1038" i="1"/>
  <c r="F1038" i="1"/>
  <c r="H1038" i="1" s="1"/>
  <c r="G1037" i="1"/>
  <c r="F1037" i="1"/>
  <c r="H1037" i="1" s="1"/>
  <c r="E641" i="2"/>
  <c r="E639" i="2"/>
  <c r="E642" i="2"/>
  <c r="E640" i="2"/>
  <c r="E643" i="2"/>
  <c r="H643" i="2" s="1"/>
  <c r="E637" i="2"/>
  <c r="G1036" i="1"/>
  <c r="F1036" i="1"/>
  <c r="H1036" i="1" s="1"/>
  <c r="G1035" i="1"/>
  <c r="F1035" i="1"/>
  <c r="H1035" i="1" s="1"/>
  <c r="G1034" i="1"/>
  <c r="F1034" i="1"/>
  <c r="H1034" i="1" s="1"/>
  <c r="G1033" i="1"/>
  <c r="F1033" i="1"/>
  <c r="H1033" i="1" s="1"/>
  <c r="K1033" i="1" s="1"/>
  <c r="G1065" i="1"/>
  <c r="F1065" i="1"/>
  <c r="H1065" i="1" s="1"/>
  <c r="G1032" i="1"/>
  <c r="F1032" i="1"/>
  <c r="H1032" i="1" s="1"/>
  <c r="G1031" i="1"/>
  <c r="F1031" i="1"/>
  <c r="H1031" i="1" s="1"/>
  <c r="E638" i="2"/>
  <c r="E633" i="2"/>
  <c r="E634" i="2"/>
  <c r="E635" i="2"/>
  <c r="G1030" i="1"/>
  <c r="F1030" i="1"/>
  <c r="H1030" i="1" s="1"/>
  <c r="G1029" i="1"/>
  <c r="F1029" i="1"/>
  <c r="H1029" i="1" s="1"/>
  <c r="G1027" i="1"/>
  <c r="G1028" i="1"/>
  <c r="F1028" i="1"/>
  <c r="H1028" i="1" s="1"/>
  <c r="F1027" i="1"/>
  <c r="H1027" i="1" s="1"/>
  <c r="G1026" i="1"/>
  <c r="F1026" i="1"/>
  <c r="H1026" i="1" s="1"/>
  <c r="G1025" i="1"/>
  <c r="F1025" i="1"/>
  <c r="H1025" i="1" s="1"/>
  <c r="G1024" i="1"/>
  <c r="F1024" i="1"/>
  <c r="H1024" i="1" s="1"/>
  <c r="G1023" i="1"/>
  <c r="F1023" i="1"/>
  <c r="H1023" i="1" s="1"/>
  <c r="G1022" i="1"/>
  <c r="F1022" i="1"/>
  <c r="H1022" i="1" s="1"/>
  <c r="G1055" i="1"/>
  <c r="F1055" i="1"/>
  <c r="H1055" i="1" s="1"/>
  <c r="G1054" i="1"/>
  <c r="F1054" i="1"/>
  <c r="H1054" i="1" s="1"/>
  <c r="G1053" i="1"/>
  <c r="F1053" i="1"/>
  <c r="H1053" i="1" s="1"/>
  <c r="G1052" i="1"/>
  <c r="F1052" i="1"/>
  <c r="H1052" i="1" s="1"/>
  <c r="G1051" i="1"/>
  <c r="F1051" i="1"/>
  <c r="H1051" i="1" s="1"/>
  <c r="G1050" i="1"/>
  <c r="F1050" i="1"/>
  <c r="H1050" i="1" s="1"/>
  <c r="E646" i="2"/>
  <c r="H646" i="2" s="1"/>
  <c r="E645" i="2"/>
  <c r="H645" i="2" s="1"/>
  <c r="E648" i="2"/>
  <c r="E647" i="2"/>
  <c r="H647" i="2" s="1"/>
  <c r="E649" i="2"/>
  <c r="H649" i="2" s="1"/>
  <c r="E650" i="2"/>
  <c r="G1049" i="1"/>
  <c r="F1049" i="1"/>
  <c r="H1049" i="1" s="1"/>
  <c r="G1048" i="1"/>
  <c r="F1048" i="1"/>
  <c r="H1048" i="1" s="1"/>
  <c r="N676" i="2" l="1"/>
  <c r="O676" i="2"/>
  <c r="K719" i="2"/>
  <c r="N719" i="2"/>
  <c r="Q719" i="2"/>
  <c r="M1144" i="1"/>
  <c r="Q1144" i="1"/>
  <c r="R1144" i="1"/>
  <c r="Q1143" i="1"/>
  <c r="O1143" i="1"/>
  <c r="R1143" i="1"/>
  <c r="J711" i="2"/>
  <c r="N711" i="2"/>
  <c r="N710" i="2"/>
  <c r="K710" i="2"/>
  <c r="Q710" i="2"/>
  <c r="Q711" i="2"/>
  <c r="O700" i="2"/>
  <c r="Q700" i="2"/>
  <c r="N694" i="2"/>
  <c r="L694" i="2"/>
  <c r="Q694" i="2"/>
  <c r="N696" i="2"/>
  <c r="Q696" i="2"/>
  <c r="Q698" i="2"/>
  <c r="L666" i="2"/>
  <c r="N666" i="2"/>
  <c r="Q666" i="2"/>
  <c r="K664" i="2"/>
  <c r="N664" i="2"/>
  <c r="Q664" i="2"/>
  <c r="Q660" i="2"/>
  <c r="Q663" i="2"/>
  <c r="I689" i="2"/>
  <c r="Q689" i="2" s="1"/>
  <c r="O682" i="2"/>
  <c r="Q682" i="2"/>
  <c r="Q680" i="2"/>
  <c r="L675" i="2"/>
  <c r="Q675" i="2"/>
  <c r="Q1103" i="1"/>
  <c r="O1103" i="1"/>
  <c r="Q676" i="2"/>
  <c r="N685" i="2"/>
  <c r="K685" i="2"/>
  <c r="Q685" i="2"/>
  <c r="I684" i="2"/>
  <c r="L684" i="2" s="1"/>
  <c r="Q683" i="2"/>
  <c r="Q679" i="2"/>
  <c r="O681" i="2"/>
  <c r="Q681" i="2"/>
  <c r="Q667" i="2"/>
  <c r="N677" i="2"/>
  <c r="L677" i="2"/>
  <c r="Q677" i="2"/>
  <c r="Q678" i="2"/>
  <c r="Q1092" i="1"/>
  <c r="O1092" i="1"/>
  <c r="Q1093" i="1"/>
  <c r="M1093" i="1"/>
  <c r="R1093" i="1"/>
  <c r="R1092" i="1"/>
  <c r="N672" i="2"/>
  <c r="K672" i="2"/>
  <c r="Q672" i="2"/>
  <c r="I673" i="2"/>
  <c r="Q669" i="2"/>
  <c r="N669" i="2"/>
  <c r="K1081" i="1"/>
  <c r="L1081" i="1" s="1"/>
  <c r="I668" i="2"/>
  <c r="Q668" i="2" s="1"/>
  <c r="M667" i="2"/>
  <c r="N667" i="2"/>
  <c r="I671" i="2"/>
  <c r="N670" i="2"/>
  <c r="Q670" i="2"/>
  <c r="M670" i="2"/>
  <c r="H662" i="2"/>
  <c r="K1080" i="1"/>
  <c r="L1080" i="1" s="1"/>
  <c r="K1079" i="1"/>
  <c r="L1079" i="1" s="1"/>
  <c r="Q1078" i="1"/>
  <c r="O1078" i="1"/>
  <c r="K1077" i="1"/>
  <c r="L1077" i="1" s="1"/>
  <c r="K1076" i="1"/>
  <c r="L1076" i="1" s="1"/>
  <c r="Q1076" i="1" s="1"/>
  <c r="K1069" i="1"/>
  <c r="L1069" i="1" s="1"/>
  <c r="O1069" i="1" s="1"/>
  <c r="K1067" i="1"/>
  <c r="L1067" i="1" s="1"/>
  <c r="O1067" i="1" s="1"/>
  <c r="K1068" i="1"/>
  <c r="L1068" i="1" s="1"/>
  <c r="O1068" i="1" s="1"/>
  <c r="K1066" i="1"/>
  <c r="L1066" i="1" s="1"/>
  <c r="O1066" i="1" s="1"/>
  <c r="I657" i="2"/>
  <c r="H656" i="2"/>
  <c r="I655" i="2"/>
  <c r="N655" i="2" s="1"/>
  <c r="K1064" i="1"/>
  <c r="L1064" i="1" s="1"/>
  <c r="O1064" i="1" s="1"/>
  <c r="K1063" i="1"/>
  <c r="L1063" i="1" s="1"/>
  <c r="O1063" i="1" s="1"/>
  <c r="K1062" i="1"/>
  <c r="L1062" i="1" s="1"/>
  <c r="O1062" i="1" s="1"/>
  <c r="H653" i="2"/>
  <c r="I653" i="2" s="1"/>
  <c r="H652" i="2"/>
  <c r="I652" i="2" s="1"/>
  <c r="I654" i="2"/>
  <c r="K1061" i="1"/>
  <c r="L1061" i="1" s="1"/>
  <c r="M1061" i="1" s="1"/>
  <c r="K1060" i="1"/>
  <c r="L1060" i="1" s="1"/>
  <c r="O1060" i="1" s="1"/>
  <c r="K1058" i="1"/>
  <c r="L1058" i="1" s="1"/>
  <c r="O1058" i="1" s="1"/>
  <c r="K1059" i="1"/>
  <c r="L1059" i="1" s="1"/>
  <c r="O1059" i="1" s="1"/>
  <c r="K1056" i="1"/>
  <c r="L1056" i="1" s="1"/>
  <c r="O1056" i="1" s="1"/>
  <c r="K1057" i="1"/>
  <c r="L1057" i="1" s="1"/>
  <c r="O1057" i="1" s="1"/>
  <c r="H658" i="2"/>
  <c r="K1045" i="1"/>
  <c r="L1045" i="1" s="1"/>
  <c r="O1045" i="1" s="1"/>
  <c r="L1044" i="1"/>
  <c r="O1044" i="1" s="1"/>
  <c r="K1043" i="1"/>
  <c r="L1043" i="1" s="1"/>
  <c r="M1043" i="1" s="1"/>
  <c r="K1041" i="1"/>
  <c r="L1041" i="1" s="1"/>
  <c r="O1041" i="1" s="1"/>
  <c r="K1042" i="1"/>
  <c r="L1042" i="1" s="1"/>
  <c r="O1042" i="1" s="1"/>
  <c r="K1040" i="1"/>
  <c r="L1040" i="1" s="1"/>
  <c r="O1040" i="1" s="1"/>
  <c r="K1039" i="1"/>
  <c r="L1039" i="1" s="1"/>
  <c r="O1039" i="1" s="1"/>
  <c r="K1038" i="1"/>
  <c r="L1038" i="1" s="1"/>
  <c r="O1038" i="1" s="1"/>
  <c r="K1037" i="1"/>
  <c r="L1037" i="1" s="1"/>
  <c r="M1037" i="1" s="1"/>
  <c r="H641" i="2"/>
  <c r="H639" i="2"/>
  <c r="I639" i="2" s="1"/>
  <c r="H642" i="2"/>
  <c r="H640" i="2"/>
  <c r="I640" i="2" s="1"/>
  <c r="N640" i="2" s="1"/>
  <c r="I643" i="2"/>
  <c r="Q643" i="2" s="1"/>
  <c r="H637" i="2"/>
  <c r="K1036" i="1"/>
  <c r="L1036" i="1" s="1"/>
  <c r="O1036" i="1" s="1"/>
  <c r="K1035" i="1"/>
  <c r="L1035" i="1" s="1"/>
  <c r="O1035" i="1" s="1"/>
  <c r="K1034" i="1"/>
  <c r="L1034" i="1" s="1"/>
  <c r="O1034" i="1" s="1"/>
  <c r="L1033" i="1"/>
  <c r="O1033" i="1" s="1"/>
  <c r="K1065" i="1"/>
  <c r="L1065" i="1" s="1"/>
  <c r="M1065" i="1" s="1"/>
  <c r="K1031" i="1"/>
  <c r="L1031" i="1" s="1"/>
  <c r="M1031" i="1" s="1"/>
  <c r="K1032" i="1"/>
  <c r="L1032" i="1" s="1"/>
  <c r="O1032" i="1" s="1"/>
  <c r="H638" i="2"/>
  <c r="I638" i="2" s="1"/>
  <c r="H633" i="2"/>
  <c r="I633" i="2" s="1"/>
  <c r="H634" i="2"/>
  <c r="H635" i="2"/>
  <c r="K1030" i="1"/>
  <c r="L1030" i="1" s="1"/>
  <c r="O1030" i="1" s="1"/>
  <c r="K1027" i="1"/>
  <c r="L1027" i="1" s="1"/>
  <c r="M1027" i="1" s="1"/>
  <c r="K1029" i="1"/>
  <c r="L1029" i="1" s="1"/>
  <c r="O1029" i="1" s="1"/>
  <c r="K1028" i="1"/>
  <c r="L1028" i="1" s="1"/>
  <c r="K1026" i="1"/>
  <c r="L1026" i="1" s="1"/>
  <c r="M1026" i="1" s="1"/>
  <c r="K1025" i="1"/>
  <c r="L1025" i="1" s="1"/>
  <c r="M1025" i="1" s="1"/>
  <c r="K1024" i="1"/>
  <c r="L1024" i="1" s="1"/>
  <c r="O1024" i="1" s="1"/>
  <c r="K1023" i="1"/>
  <c r="L1023" i="1" s="1"/>
  <c r="O1023" i="1" s="1"/>
  <c r="K1022" i="1"/>
  <c r="L1022" i="1" s="1"/>
  <c r="O1022" i="1" s="1"/>
  <c r="K1055" i="1"/>
  <c r="L1055" i="1" s="1"/>
  <c r="O1055" i="1" s="1"/>
  <c r="K1054" i="1"/>
  <c r="L1054" i="1" s="1"/>
  <c r="O1054" i="1" s="1"/>
  <c r="K1053" i="1"/>
  <c r="L1053" i="1" s="1"/>
  <c r="O1053" i="1" s="1"/>
  <c r="K1052" i="1"/>
  <c r="L1052" i="1" s="1"/>
  <c r="O1052" i="1" s="1"/>
  <c r="K1050" i="1"/>
  <c r="L1050" i="1" s="1"/>
  <c r="O1050" i="1" s="1"/>
  <c r="K1051" i="1"/>
  <c r="L1051" i="1" s="1"/>
  <c r="O1051" i="1" s="1"/>
  <c r="I645" i="2"/>
  <c r="N645" i="2" s="1"/>
  <c r="I646" i="2"/>
  <c r="H648" i="2"/>
  <c r="I648" i="2" s="1"/>
  <c r="I647" i="2"/>
  <c r="Q647" i="2" s="1"/>
  <c r="I649" i="2"/>
  <c r="Q649" i="2" s="1"/>
  <c r="H650" i="2"/>
  <c r="K1048" i="1"/>
  <c r="L1048" i="1" s="1"/>
  <c r="K1049" i="1"/>
  <c r="L1049" i="1" s="1"/>
  <c r="G1047" i="1"/>
  <c r="F1047" i="1"/>
  <c r="H1047" i="1" s="1"/>
  <c r="G1046" i="1"/>
  <c r="F1046" i="1"/>
  <c r="H1046" i="1" s="1"/>
  <c r="G1021" i="1"/>
  <c r="F1021" i="1"/>
  <c r="H1021" i="1" s="1"/>
  <c r="G1020" i="1"/>
  <c r="F1020" i="1"/>
  <c r="H1020" i="1" s="1"/>
  <c r="G1019" i="1"/>
  <c r="F1019" i="1"/>
  <c r="H1019" i="1" s="1"/>
  <c r="G1018" i="1"/>
  <c r="F1018" i="1"/>
  <c r="H1018" i="1" s="1"/>
  <c r="G1017" i="1"/>
  <c r="F1017" i="1"/>
  <c r="H1017" i="1" s="1"/>
  <c r="K1017" i="1" s="1"/>
  <c r="G1016" i="1"/>
  <c r="F1016" i="1"/>
  <c r="H1016" i="1" s="1"/>
  <c r="G1015" i="1"/>
  <c r="F1015" i="1"/>
  <c r="H1015" i="1" s="1"/>
  <c r="G1014" i="1"/>
  <c r="F1014" i="1"/>
  <c r="H1014" i="1" s="1"/>
  <c r="E632" i="2"/>
  <c r="E631" i="2"/>
  <c r="E630" i="2"/>
  <c r="H630" i="2" s="1"/>
  <c r="E628" i="2"/>
  <c r="H628" i="2" s="1"/>
  <c r="E625" i="2"/>
  <c r="E626" i="2"/>
  <c r="H626" i="2" s="1"/>
  <c r="E627" i="2"/>
  <c r="H627" i="2" s="1"/>
  <c r="E629" i="2"/>
  <c r="E624" i="2"/>
  <c r="E623" i="2"/>
  <c r="H623" i="2" s="1"/>
  <c r="E618" i="2"/>
  <c r="H618" i="2" s="1"/>
  <c r="E619" i="2"/>
  <c r="E620" i="2"/>
  <c r="E617" i="2"/>
  <c r="E622" i="2"/>
  <c r="H622" i="2" s="1"/>
  <c r="E612" i="2"/>
  <c r="E614" i="2"/>
  <c r="E613" i="2"/>
  <c r="E615" i="2"/>
  <c r="H615" i="2" s="1"/>
  <c r="I615" i="2" s="1"/>
  <c r="E610" i="2"/>
  <c r="E609" i="2"/>
  <c r="E605" i="2"/>
  <c r="H605" i="2" s="1"/>
  <c r="E603" i="2"/>
  <c r="E604" i="2"/>
  <c r="E606" i="2"/>
  <c r="E607" i="2"/>
  <c r="E608" i="2"/>
  <c r="H608" i="2" s="1"/>
  <c r="E602" i="2"/>
  <c r="E601" i="2"/>
  <c r="E600" i="2"/>
  <c r="E599" i="2"/>
  <c r="G1012" i="1"/>
  <c r="F1012" i="1"/>
  <c r="H1012" i="1" s="1"/>
  <c r="K1012" i="1" s="1"/>
  <c r="L1012" i="1" s="1"/>
  <c r="O1012" i="1" s="1"/>
  <c r="F1011" i="1"/>
  <c r="H1011" i="1" s="1"/>
  <c r="K1011" i="1" s="1"/>
  <c r="L1011" i="1" s="1"/>
  <c r="O1011" i="1" s="1"/>
  <c r="G1011" i="1"/>
  <c r="F1010" i="1"/>
  <c r="H1010" i="1" s="1"/>
  <c r="G1010" i="1"/>
  <c r="G1009" i="1"/>
  <c r="F1009" i="1"/>
  <c r="H1009" i="1" s="1"/>
  <c r="G1008" i="1"/>
  <c r="G1007" i="1"/>
  <c r="F1008" i="1"/>
  <c r="H1008" i="1" s="1"/>
  <c r="K1008" i="1" s="1"/>
  <c r="L1008" i="1" s="1"/>
  <c r="M1008" i="1" s="1"/>
  <c r="F1007" i="1"/>
  <c r="H1007" i="1" s="1"/>
  <c r="F1006" i="1"/>
  <c r="H1006" i="1" s="1"/>
  <c r="K1006" i="1" s="1"/>
  <c r="L1006" i="1" s="1"/>
  <c r="O1006" i="1" s="1"/>
  <c r="G1006" i="1"/>
  <c r="G1005" i="1"/>
  <c r="F1005" i="1"/>
  <c r="H1005" i="1" s="1"/>
  <c r="G1004" i="1"/>
  <c r="F1004" i="1"/>
  <c r="H1004" i="1" s="1"/>
  <c r="K1004" i="1" s="1"/>
  <c r="L1004" i="1" s="1"/>
  <c r="M1004" i="1" s="1"/>
  <c r="F1003" i="1"/>
  <c r="H1003" i="1" s="1"/>
  <c r="K1003" i="1" s="1"/>
  <c r="L1003" i="1" s="1"/>
  <c r="O1003" i="1" s="1"/>
  <c r="G1003" i="1"/>
  <c r="F1002" i="1"/>
  <c r="H1002" i="1" s="1"/>
  <c r="K1002" i="1" s="1"/>
  <c r="L1002" i="1" s="1"/>
  <c r="O1002" i="1" s="1"/>
  <c r="G1002" i="1"/>
  <c r="F1001" i="1"/>
  <c r="H1001" i="1" s="1"/>
  <c r="K1001" i="1" s="1"/>
  <c r="L1001" i="1" s="1"/>
  <c r="O1001" i="1" s="1"/>
  <c r="G1001" i="1"/>
  <c r="F1000" i="1"/>
  <c r="H1000" i="1" s="1"/>
  <c r="K1000" i="1" s="1"/>
  <c r="L1000" i="1" s="1"/>
  <c r="O1000" i="1" s="1"/>
  <c r="G1000" i="1"/>
  <c r="E636" i="2"/>
  <c r="H636" i="2" s="1"/>
  <c r="F999" i="1"/>
  <c r="H999" i="1" s="1"/>
  <c r="K999" i="1" s="1"/>
  <c r="L999" i="1" s="1"/>
  <c r="O999" i="1" s="1"/>
  <c r="G999" i="1"/>
  <c r="F998" i="1"/>
  <c r="H998" i="1" s="1"/>
  <c r="G998" i="1"/>
  <c r="G997" i="1"/>
  <c r="F997" i="1"/>
  <c r="H997" i="1" s="1"/>
  <c r="K997" i="1" s="1"/>
  <c r="L997" i="1" s="1"/>
  <c r="O997" i="1" s="1"/>
  <c r="F996" i="1"/>
  <c r="H996" i="1" s="1"/>
  <c r="K996" i="1" s="1"/>
  <c r="L996" i="1" s="1"/>
  <c r="O996" i="1" s="1"/>
  <c r="G996" i="1"/>
  <c r="E9" i="11"/>
  <c r="H9" i="11" s="1"/>
  <c r="E7" i="11"/>
  <c r="G992" i="1"/>
  <c r="F992" i="1"/>
  <c r="H992" i="1" s="1"/>
  <c r="K992" i="1" s="1"/>
  <c r="L992" i="1" s="1"/>
  <c r="O992" i="1" s="1"/>
  <c r="F991" i="1"/>
  <c r="H991" i="1" s="1"/>
  <c r="K991" i="1" s="1"/>
  <c r="L991" i="1" s="1"/>
  <c r="O991" i="1" s="1"/>
  <c r="G991" i="1"/>
  <c r="F990" i="1"/>
  <c r="H990" i="1" s="1"/>
  <c r="K990" i="1" s="1"/>
  <c r="L990" i="1" s="1"/>
  <c r="M990" i="1" s="1"/>
  <c r="G990" i="1"/>
  <c r="G989" i="1"/>
  <c r="F989" i="1"/>
  <c r="H989" i="1" s="1"/>
  <c r="K989" i="1" s="1"/>
  <c r="L989" i="1" s="1"/>
  <c r="M989" i="1" s="1"/>
  <c r="F988" i="1"/>
  <c r="H988" i="1" s="1"/>
  <c r="G988" i="1"/>
  <c r="F987" i="1"/>
  <c r="H987" i="1" s="1"/>
  <c r="K987" i="1" s="1"/>
  <c r="L987" i="1" s="1"/>
  <c r="O987" i="1" s="1"/>
  <c r="G987" i="1"/>
  <c r="G986" i="1"/>
  <c r="F986" i="1"/>
  <c r="H986" i="1" s="1"/>
  <c r="F985" i="1"/>
  <c r="H985" i="1" s="1"/>
  <c r="K985" i="1" s="1"/>
  <c r="L985" i="1" s="1"/>
  <c r="O985" i="1" s="1"/>
  <c r="G985" i="1"/>
  <c r="F984" i="1"/>
  <c r="H984" i="1" s="1"/>
  <c r="K984" i="1" s="1"/>
  <c r="L984" i="1" s="1"/>
  <c r="O984" i="1" s="1"/>
  <c r="G984" i="1"/>
  <c r="G1013" i="1"/>
  <c r="F1013" i="1"/>
  <c r="H1013" i="1" s="1"/>
  <c r="F983" i="1"/>
  <c r="H983" i="1" s="1"/>
  <c r="K983" i="1" s="1"/>
  <c r="L983" i="1" s="1"/>
  <c r="O983" i="1" s="1"/>
  <c r="G983" i="1"/>
  <c r="F982" i="1"/>
  <c r="H982" i="1" s="1"/>
  <c r="K982" i="1" s="1"/>
  <c r="L982" i="1" s="1"/>
  <c r="O982" i="1" s="1"/>
  <c r="G982" i="1"/>
  <c r="F981" i="1"/>
  <c r="H981" i="1" s="1"/>
  <c r="K981" i="1" s="1"/>
  <c r="L981" i="1" s="1"/>
  <c r="O981" i="1" s="1"/>
  <c r="G981" i="1"/>
  <c r="G980" i="1"/>
  <c r="F980" i="1"/>
  <c r="H980" i="1" s="1"/>
  <c r="K980" i="1" s="1"/>
  <c r="L980" i="1" s="1"/>
  <c r="O980" i="1" s="1"/>
  <c r="G995" i="1"/>
  <c r="F995" i="1"/>
  <c r="H995" i="1" s="1"/>
  <c r="F994" i="1"/>
  <c r="H994" i="1" s="1"/>
  <c r="K994" i="1" s="1"/>
  <c r="G994" i="1"/>
  <c r="G993" i="1"/>
  <c r="F993" i="1"/>
  <c r="H993" i="1" s="1"/>
  <c r="K993" i="1" s="1"/>
  <c r="L993" i="1" s="1"/>
  <c r="M993" i="1" s="1"/>
  <c r="G979" i="1"/>
  <c r="F979" i="1"/>
  <c r="H979" i="1" s="1"/>
  <c r="K979" i="1" s="1"/>
  <c r="L979" i="1" s="1"/>
  <c r="O979" i="1" s="1"/>
  <c r="F978" i="1"/>
  <c r="H978" i="1" s="1"/>
  <c r="G978" i="1"/>
  <c r="F977" i="1"/>
  <c r="H977" i="1" s="1"/>
  <c r="K977" i="1" s="1"/>
  <c r="L977" i="1" s="1"/>
  <c r="O977" i="1" s="1"/>
  <c r="F976" i="1"/>
  <c r="H976" i="1" s="1"/>
  <c r="G977" i="1"/>
  <c r="G976" i="1"/>
  <c r="G975" i="1"/>
  <c r="F975" i="1"/>
  <c r="H975" i="1" s="1"/>
  <c r="K975" i="1" s="1"/>
  <c r="L975" i="1" s="1"/>
  <c r="M975" i="1" s="1"/>
  <c r="G974" i="1"/>
  <c r="F974" i="1"/>
  <c r="H974" i="1" s="1"/>
  <c r="K974" i="1" s="1"/>
  <c r="L974" i="1" s="1"/>
  <c r="M974" i="1" s="1"/>
  <c r="F973" i="1"/>
  <c r="H973" i="1" s="1"/>
  <c r="G973" i="1"/>
  <c r="F972" i="1"/>
  <c r="H972" i="1" s="1"/>
  <c r="K972" i="1" s="1"/>
  <c r="L972" i="1" s="1"/>
  <c r="O972" i="1" s="1"/>
  <c r="G972" i="1"/>
  <c r="G971" i="1"/>
  <c r="F971" i="1"/>
  <c r="H971" i="1" s="1"/>
  <c r="G970" i="1"/>
  <c r="F970" i="1"/>
  <c r="H970" i="1" s="1"/>
  <c r="K970" i="1" s="1"/>
  <c r="L970" i="1" s="1"/>
  <c r="O970" i="1" s="1"/>
  <c r="G969" i="1"/>
  <c r="F969" i="1"/>
  <c r="H969" i="1" s="1"/>
  <c r="G967" i="1"/>
  <c r="F967" i="1"/>
  <c r="H967" i="1" s="1"/>
  <c r="F966" i="1"/>
  <c r="H966" i="1" s="1"/>
  <c r="G966" i="1"/>
  <c r="F965" i="1"/>
  <c r="H965" i="1" s="1"/>
  <c r="K965" i="1" s="1"/>
  <c r="L965" i="1" s="1"/>
  <c r="M965" i="1" s="1"/>
  <c r="G965" i="1"/>
  <c r="F964" i="1"/>
  <c r="H964" i="1" s="1"/>
  <c r="K964" i="1" s="1"/>
  <c r="L964" i="1" s="1"/>
  <c r="M964" i="1" s="1"/>
  <c r="G964" i="1"/>
  <c r="F961" i="1"/>
  <c r="H961" i="1" s="1"/>
  <c r="G961" i="1"/>
  <c r="F960" i="1"/>
  <c r="H960" i="1" s="1"/>
  <c r="G960" i="1"/>
  <c r="F959" i="1"/>
  <c r="H959" i="1" s="1"/>
  <c r="K959" i="1" s="1"/>
  <c r="L959" i="1" s="1"/>
  <c r="O959" i="1" s="1"/>
  <c r="G959" i="1"/>
  <c r="G958" i="1"/>
  <c r="F958" i="1"/>
  <c r="H958" i="1" s="1"/>
  <c r="K958" i="1" s="1"/>
  <c r="L958" i="1" s="1"/>
  <c r="M958" i="1" s="1"/>
  <c r="F957" i="1"/>
  <c r="H957" i="1" s="1"/>
  <c r="K957" i="1" s="1"/>
  <c r="L957" i="1" s="1"/>
  <c r="O957" i="1" s="1"/>
  <c r="G957" i="1"/>
  <c r="F956" i="1"/>
  <c r="H956" i="1" s="1"/>
  <c r="K956" i="1" s="1"/>
  <c r="G956" i="1"/>
  <c r="F955" i="1"/>
  <c r="H955" i="1" s="1"/>
  <c r="K955" i="1" s="1"/>
  <c r="L955" i="1" s="1"/>
  <c r="O955" i="1" s="1"/>
  <c r="G955" i="1"/>
  <c r="G954" i="1"/>
  <c r="F954" i="1"/>
  <c r="H954" i="1" s="1"/>
  <c r="K954" i="1" s="1"/>
  <c r="L954" i="1" s="1"/>
  <c r="O954" i="1" s="1"/>
  <c r="G953" i="1"/>
  <c r="F953" i="1"/>
  <c r="H953" i="1" s="1"/>
  <c r="K953" i="1" s="1"/>
  <c r="L953" i="1" s="1"/>
  <c r="O953" i="1" s="1"/>
  <c r="G952" i="1"/>
  <c r="F952" i="1"/>
  <c r="H952" i="1" s="1"/>
  <c r="K952" i="1" s="1"/>
  <c r="L952" i="1" s="1"/>
  <c r="M952" i="1" s="1"/>
  <c r="F951" i="1"/>
  <c r="H951" i="1" s="1"/>
  <c r="K951" i="1" s="1"/>
  <c r="L951" i="1" s="1"/>
  <c r="M951" i="1" s="1"/>
  <c r="G951" i="1"/>
  <c r="G950" i="1"/>
  <c r="F950" i="1"/>
  <c r="H950" i="1" s="1"/>
  <c r="F949" i="1"/>
  <c r="H949" i="1" s="1"/>
  <c r="K949" i="1" s="1"/>
  <c r="L949" i="1" s="1"/>
  <c r="O949" i="1" s="1"/>
  <c r="G949" i="1"/>
  <c r="F948" i="1"/>
  <c r="H948" i="1" s="1"/>
  <c r="K948" i="1" s="1"/>
  <c r="L948" i="1" s="1"/>
  <c r="O948" i="1" s="1"/>
  <c r="G948" i="1"/>
  <c r="F947" i="1"/>
  <c r="H947" i="1" s="1"/>
  <c r="K947" i="1" s="1"/>
  <c r="L947" i="1" s="1"/>
  <c r="O947" i="1" s="1"/>
  <c r="F946" i="1"/>
  <c r="H946" i="1" s="1"/>
  <c r="K946" i="1" s="1"/>
  <c r="G947" i="1"/>
  <c r="G946" i="1"/>
  <c r="F936" i="1"/>
  <c r="H936" i="1" s="1"/>
  <c r="K936" i="1" s="1"/>
  <c r="L936" i="1" s="1"/>
  <c r="O936" i="1" s="1"/>
  <c r="G936" i="1"/>
  <c r="F935" i="1"/>
  <c r="H935" i="1" s="1"/>
  <c r="K935" i="1" s="1"/>
  <c r="G935" i="1"/>
  <c r="F934" i="1"/>
  <c r="H934" i="1" s="1"/>
  <c r="G934" i="1"/>
  <c r="F933" i="1"/>
  <c r="H933" i="1" s="1"/>
  <c r="G933" i="1"/>
  <c r="F932" i="1"/>
  <c r="H932" i="1" s="1"/>
  <c r="G932" i="1"/>
  <c r="F931" i="1"/>
  <c r="H931" i="1" s="1"/>
  <c r="K931" i="1" s="1"/>
  <c r="L931" i="1" s="1"/>
  <c r="O931" i="1" s="1"/>
  <c r="G931" i="1"/>
  <c r="G930" i="1"/>
  <c r="F930" i="1"/>
  <c r="H930" i="1" s="1"/>
  <c r="K930" i="1" s="1"/>
  <c r="L930" i="1" s="1"/>
  <c r="O930" i="1" s="1"/>
  <c r="F929" i="1"/>
  <c r="H929" i="1" s="1"/>
  <c r="K929" i="1" s="1"/>
  <c r="L929" i="1" s="1"/>
  <c r="O929" i="1" s="1"/>
  <c r="G929" i="1"/>
  <c r="G928" i="1"/>
  <c r="F928" i="1"/>
  <c r="H928" i="1" s="1"/>
  <c r="K928" i="1" s="1"/>
  <c r="L928" i="1" s="1"/>
  <c r="M928" i="1" s="1"/>
  <c r="F927" i="1"/>
  <c r="H927" i="1" s="1"/>
  <c r="G927" i="1"/>
  <c r="G926" i="1"/>
  <c r="F926" i="1"/>
  <c r="H926" i="1" s="1"/>
  <c r="K926" i="1" s="1"/>
  <c r="L926" i="1" s="1"/>
  <c r="O926" i="1" s="1"/>
  <c r="F925" i="1"/>
  <c r="H925" i="1" s="1"/>
  <c r="G925" i="1"/>
  <c r="G968" i="1"/>
  <c r="F968" i="1"/>
  <c r="H968" i="1" s="1"/>
  <c r="F924" i="1"/>
  <c r="H924" i="1" s="1"/>
  <c r="K924" i="1" s="1"/>
  <c r="L924" i="1" s="1"/>
  <c r="O924" i="1" s="1"/>
  <c r="G924" i="1"/>
  <c r="F923" i="1"/>
  <c r="H923" i="1" s="1"/>
  <c r="G923" i="1"/>
  <c r="F918" i="1"/>
  <c r="H918" i="1" s="1"/>
  <c r="G918" i="1"/>
  <c r="E585" i="2"/>
  <c r="H585" i="2" s="1"/>
  <c r="I585" i="2" s="1"/>
  <c r="Q585" i="2" s="1"/>
  <c r="E590" i="2"/>
  <c r="H590" i="2" s="1"/>
  <c r="I590" i="2" s="1"/>
  <c r="M590" i="2" s="1"/>
  <c r="E589" i="2"/>
  <c r="H589" i="2" s="1"/>
  <c r="I589" i="2" s="1"/>
  <c r="Q589" i="2" s="1"/>
  <c r="E591" i="2"/>
  <c r="H591" i="2" s="1"/>
  <c r="I591" i="2" s="1"/>
  <c r="L591" i="2" s="1"/>
  <c r="E586" i="2"/>
  <c r="H586" i="2" s="1"/>
  <c r="I586" i="2" s="1"/>
  <c r="L586" i="2" s="1"/>
  <c r="E588" i="2"/>
  <c r="H588" i="2" s="1"/>
  <c r="I588" i="2" s="1"/>
  <c r="F963" i="1"/>
  <c r="H963" i="1" s="1"/>
  <c r="K963" i="1" s="1"/>
  <c r="L963" i="1" s="1"/>
  <c r="O963" i="1" s="1"/>
  <c r="G963" i="1"/>
  <c r="F962" i="1"/>
  <c r="H962" i="1" s="1"/>
  <c r="G962" i="1"/>
  <c r="E582" i="2"/>
  <c r="H582" i="2" s="1"/>
  <c r="E578" i="2"/>
  <c r="H578" i="2" s="1"/>
  <c r="E579" i="2"/>
  <c r="H579" i="2" s="1"/>
  <c r="E580" i="2"/>
  <c r="H580" i="2" s="1"/>
  <c r="I580" i="2" s="1"/>
  <c r="N580" i="2" s="1"/>
  <c r="E581" i="2"/>
  <c r="H581" i="2" s="1"/>
  <c r="I581" i="2" s="1"/>
  <c r="E583" i="2"/>
  <c r="H583" i="2" s="1"/>
  <c r="E584" i="2"/>
  <c r="H584" i="2" s="1"/>
  <c r="G908" i="1"/>
  <c r="F908" i="1"/>
  <c r="H908" i="1" s="1"/>
  <c r="K908" i="1" s="1"/>
  <c r="L908" i="1" s="1"/>
  <c r="M908" i="1" s="1"/>
  <c r="F907" i="1"/>
  <c r="H907" i="1" s="1"/>
  <c r="G907" i="1"/>
  <c r="F906" i="1"/>
  <c r="H906" i="1" s="1"/>
  <c r="F905" i="1"/>
  <c r="H905" i="1" s="1"/>
  <c r="G906" i="1"/>
  <c r="G905" i="1"/>
  <c r="E567" i="2"/>
  <c r="H567" i="2" s="1"/>
  <c r="F904" i="1"/>
  <c r="H904" i="1" s="1"/>
  <c r="K904" i="1" s="1"/>
  <c r="L904" i="1" s="1"/>
  <c r="O904" i="1" s="1"/>
  <c r="G904" i="1"/>
  <c r="F903" i="1"/>
  <c r="H903" i="1" s="1"/>
  <c r="G903" i="1"/>
  <c r="G902" i="1"/>
  <c r="G901" i="1"/>
  <c r="F902" i="1"/>
  <c r="H902" i="1" s="1"/>
  <c r="K902" i="1" s="1"/>
  <c r="L902" i="1" s="1"/>
  <c r="O902" i="1" s="1"/>
  <c r="F901" i="1"/>
  <c r="H901" i="1" s="1"/>
  <c r="K901" i="1" s="1"/>
  <c r="L901" i="1" s="1"/>
  <c r="O901" i="1" s="1"/>
  <c r="F900" i="1"/>
  <c r="H900" i="1" s="1"/>
  <c r="G900" i="1"/>
  <c r="N689" i="2" l="1"/>
  <c r="M689" i="2"/>
  <c r="Q684" i="2"/>
  <c r="J673" i="2"/>
  <c r="N673" i="2"/>
  <c r="Q673" i="2"/>
  <c r="O1081" i="1"/>
  <c r="Q1081" i="1"/>
  <c r="N668" i="2"/>
  <c r="L668" i="2"/>
  <c r="N671" i="2"/>
  <c r="L671" i="2"/>
  <c r="Q671" i="2"/>
  <c r="I662" i="2"/>
  <c r="N662" i="2" s="1"/>
  <c r="Q1080" i="1"/>
  <c r="M1080" i="1"/>
  <c r="Q1079" i="1"/>
  <c r="M1079" i="1"/>
  <c r="O1077" i="1"/>
  <c r="Q1077" i="1"/>
  <c r="M1077" i="1"/>
  <c r="M1076" i="1"/>
  <c r="O1076" i="1"/>
  <c r="O657" i="2"/>
  <c r="N657" i="2"/>
  <c r="Q657" i="2"/>
  <c r="I656" i="2"/>
  <c r="Q655" i="2"/>
  <c r="M653" i="2"/>
  <c r="Q653" i="2"/>
  <c r="N652" i="2"/>
  <c r="Q652" i="2"/>
  <c r="N654" i="2"/>
  <c r="M654" i="2"/>
  <c r="Q654" i="2"/>
  <c r="I658" i="2"/>
  <c r="Q658" i="2" s="1"/>
  <c r="I642" i="2"/>
  <c r="N642" i="2" s="1"/>
  <c r="I641" i="2"/>
  <c r="N641" i="2" s="1"/>
  <c r="M639" i="2"/>
  <c r="N639" i="2"/>
  <c r="Q640" i="2"/>
  <c r="N643" i="2"/>
  <c r="J643" i="2"/>
  <c r="I637" i="2"/>
  <c r="L637" i="2" s="1"/>
  <c r="N638" i="2"/>
  <c r="K638" i="2"/>
  <c r="Q638" i="2"/>
  <c r="M633" i="2"/>
  <c r="N633" i="2"/>
  <c r="I634" i="2"/>
  <c r="N634" i="2" s="1"/>
  <c r="I635" i="2"/>
  <c r="O1028" i="1"/>
  <c r="M1028" i="1"/>
  <c r="Q645" i="2"/>
  <c r="M646" i="2"/>
  <c r="Q646" i="2"/>
  <c r="L648" i="2"/>
  <c r="N648" i="2"/>
  <c r="Q648" i="2"/>
  <c r="N647" i="2"/>
  <c r="L647" i="2"/>
  <c r="N649" i="2"/>
  <c r="K649" i="2"/>
  <c r="I650" i="2"/>
  <c r="Q1049" i="1"/>
  <c r="M1049" i="1"/>
  <c r="Q1048" i="1"/>
  <c r="O1048" i="1"/>
  <c r="R1049" i="1"/>
  <c r="R1048" i="1"/>
  <c r="K1046" i="1"/>
  <c r="L1046" i="1" s="1"/>
  <c r="O1046" i="1" s="1"/>
  <c r="K1047" i="1"/>
  <c r="L1047" i="1" s="1"/>
  <c r="M1047" i="1" s="1"/>
  <c r="K1021" i="1"/>
  <c r="L1021" i="1" s="1"/>
  <c r="O1021" i="1" s="1"/>
  <c r="K1020" i="1"/>
  <c r="L1020" i="1" s="1"/>
  <c r="O1020" i="1" s="1"/>
  <c r="K1019" i="1"/>
  <c r="L1019" i="1" s="1"/>
  <c r="O1019" i="1" s="1"/>
  <c r="K1016" i="1"/>
  <c r="L1016" i="1" s="1"/>
  <c r="O1016" i="1" s="1"/>
  <c r="K1018" i="1"/>
  <c r="L1018" i="1" s="1"/>
  <c r="M1018" i="1" s="1"/>
  <c r="L1017" i="1"/>
  <c r="M1017" i="1" s="1"/>
  <c r="K1014" i="1"/>
  <c r="L1014" i="1" s="1"/>
  <c r="O1014" i="1" s="1"/>
  <c r="K1015" i="1"/>
  <c r="L1015" i="1" s="1"/>
  <c r="O1015" i="1" s="1"/>
  <c r="H632" i="2"/>
  <c r="I632" i="2" s="1"/>
  <c r="H631" i="2"/>
  <c r="I631" i="2" s="1"/>
  <c r="N631" i="2" s="1"/>
  <c r="I630" i="2"/>
  <c r="Q630" i="2" s="1"/>
  <c r="I628" i="2"/>
  <c r="Q628" i="2" s="1"/>
  <c r="I626" i="2"/>
  <c r="I627" i="2"/>
  <c r="Q627" i="2" s="1"/>
  <c r="H625" i="2"/>
  <c r="I625" i="2" s="1"/>
  <c r="N625" i="2" s="1"/>
  <c r="H629" i="2"/>
  <c r="H624" i="2"/>
  <c r="I623" i="2"/>
  <c r="Q623" i="2" s="1"/>
  <c r="I618" i="2"/>
  <c r="N618" i="2" s="1"/>
  <c r="H619" i="2"/>
  <c r="H620" i="2"/>
  <c r="I620" i="2" s="1"/>
  <c r="H617" i="2"/>
  <c r="I617" i="2" s="1"/>
  <c r="I622" i="2"/>
  <c r="Q622" i="2" s="1"/>
  <c r="H612" i="2"/>
  <c r="I612" i="2" s="1"/>
  <c r="H614" i="2"/>
  <c r="N615" i="2"/>
  <c r="J615" i="2"/>
  <c r="Q615" i="2"/>
  <c r="H613" i="2"/>
  <c r="I613" i="2" s="1"/>
  <c r="L613" i="2" s="1"/>
  <c r="H610" i="2"/>
  <c r="H609" i="2"/>
  <c r="I605" i="2"/>
  <c r="Q605" i="2" s="1"/>
  <c r="H603" i="2"/>
  <c r="I603" i="2" s="1"/>
  <c r="N603" i="2" s="1"/>
  <c r="H604" i="2"/>
  <c r="H606" i="2"/>
  <c r="H607" i="2"/>
  <c r="I607" i="2" s="1"/>
  <c r="I608" i="2"/>
  <c r="Q608" i="2" s="1"/>
  <c r="H602" i="2"/>
  <c r="H601" i="2"/>
  <c r="I601" i="2" s="1"/>
  <c r="H600" i="2"/>
  <c r="H599" i="2"/>
  <c r="N586" i="2"/>
  <c r="K1010" i="1"/>
  <c r="L1010" i="1" s="1"/>
  <c r="O1010" i="1" s="1"/>
  <c r="K1009" i="1"/>
  <c r="L1009" i="1" s="1"/>
  <c r="M1009" i="1" s="1"/>
  <c r="K1007" i="1"/>
  <c r="L1007" i="1" s="1"/>
  <c r="O1007" i="1" s="1"/>
  <c r="K1005" i="1"/>
  <c r="L1005" i="1" s="1"/>
  <c r="O1005" i="1" s="1"/>
  <c r="K998" i="1"/>
  <c r="L998" i="1" s="1"/>
  <c r="O998" i="1" s="1"/>
  <c r="H7" i="11"/>
  <c r="I9" i="11"/>
  <c r="K986" i="1"/>
  <c r="L986" i="1" s="1"/>
  <c r="O986" i="1" s="1"/>
  <c r="K988" i="1"/>
  <c r="L988" i="1" s="1"/>
  <c r="M988" i="1" s="1"/>
  <c r="K1013" i="1"/>
  <c r="L1013" i="1" s="1"/>
  <c r="M1013" i="1" s="1"/>
  <c r="K995" i="1"/>
  <c r="L995" i="1" s="1"/>
  <c r="O995" i="1" s="1"/>
  <c r="L994" i="1"/>
  <c r="O994" i="1" s="1"/>
  <c r="K978" i="1"/>
  <c r="L978" i="1" s="1"/>
  <c r="O978" i="1" s="1"/>
  <c r="K976" i="1"/>
  <c r="L976" i="1" s="1"/>
  <c r="O976" i="1" s="1"/>
  <c r="K973" i="1"/>
  <c r="L973" i="1" s="1"/>
  <c r="O973" i="1" s="1"/>
  <c r="K971" i="1"/>
  <c r="L971" i="1" s="1"/>
  <c r="O971" i="1" s="1"/>
  <c r="K969" i="1"/>
  <c r="L969" i="1" s="1"/>
  <c r="O969" i="1" s="1"/>
  <c r="K967" i="1"/>
  <c r="L967" i="1" s="1"/>
  <c r="O967" i="1" s="1"/>
  <c r="K966" i="1"/>
  <c r="L966" i="1" s="1"/>
  <c r="O966" i="1" s="1"/>
  <c r="K961" i="1"/>
  <c r="L961" i="1" s="1"/>
  <c r="O961" i="1" s="1"/>
  <c r="K960" i="1"/>
  <c r="L960" i="1" s="1"/>
  <c r="M960" i="1" s="1"/>
  <c r="L956" i="1"/>
  <c r="M956" i="1" s="1"/>
  <c r="L946" i="1"/>
  <c r="O946" i="1" s="1"/>
  <c r="K950" i="1"/>
  <c r="L950" i="1" s="1"/>
  <c r="O950" i="1" s="1"/>
  <c r="L935" i="1"/>
  <c r="M935" i="1" s="1"/>
  <c r="K934" i="1"/>
  <c r="L934" i="1" s="1"/>
  <c r="O934" i="1" s="1"/>
  <c r="K933" i="1"/>
  <c r="L933" i="1" s="1"/>
  <c r="O933" i="1" s="1"/>
  <c r="K932" i="1"/>
  <c r="L932" i="1" s="1"/>
  <c r="O932" i="1" s="1"/>
  <c r="K927" i="1"/>
  <c r="L927" i="1" s="1"/>
  <c r="M927" i="1" s="1"/>
  <c r="K925" i="1"/>
  <c r="L925" i="1" s="1"/>
  <c r="O925" i="1" s="1"/>
  <c r="K968" i="1"/>
  <c r="L968" i="1" s="1"/>
  <c r="M968" i="1" s="1"/>
  <c r="K923" i="1"/>
  <c r="L923" i="1" s="1"/>
  <c r="O923" i="1" s="1"/>
  <c r="K962" i="1"/>
  <c r="L962" i="1" s="1"/>
  <c r="O962" i="1" s="1"/>
  <c r="K918" i="1"/>
  <c r="L918" i="1" s="1"/>
  <c r="M918" i="1" s="1"/>
  <c r="N585" i="2"/>
  <c r="N589" i="2"/>
  <c r="N591" i="2"/>
  <c r="Q590" i="2"/>
  <c r="Q591" i="2"/>
  <c r="L588" i="2"/>
  <c r="N588" i="2"/>
  <c r="Q588" i="2"/>
  <c r="Q586" i="2"/>
  <c r="I579" i="2"/>
  <c r="M579" i="2" s="1"/>
  <c r="Q581" i="2"/>
  <c r="N581" i="2"/>
  <c r="I582" i="2"/>
  <c r="I578" i="2"/>
  <c r="Q580" i="2"/>
  <c r="I583" i="2"/>
  <c r="J583" i="2" s="1"/>
  <c r="I584" i="2"/>
  <c r="K584" i="2" s="1"/>
  <c r="I567" i="2"/>
  <c r="J567" i="2" s="1"/>
  <c r="K907" i="1"/>
  <c r="L907" i="1" s="1"/>
  <c r="M907" i="1" s="1"/>
  <c r="K906" i="1"/>
  <c r="L906" i="1" s="1"/>
  <c r="M906" i="1" s="1"/>
  <c r="K905" i="1"/>
  <c r="L905" i="1" s="1"/>
  <c r="O905" i="1" s="1"/>
  <c r="K903" i="1"/>
  <c r="L903" i="1" s="1"/>
  <c r="O903" i="1" s="1"/>
  <c r="K900" i="1"/>
  <c r="L900" i="1" s="1"/>
  <c r="O900" i="1" s="1"/>
  <c r="G899" i="1"/>
  <c r="G898" i="1"/>
  <c r="F899" i="1"/>
  <c r="H899" i="1" s="1"/>
  <c r="K899" i="1" s="1"/>
  <c r="L899" i="1" s="1"/>
  <c r="M899" i="1" s="1"/>
  <c r="F898" i="1"/>
  <c r="H898" i="1" s="1"/>
  <c r="Q662" i="2" l="1"/>
  <c r="N656" i="2"/>
  <c r="L656" i="2"/>
  <c r="Q656" i="2"/>
  <c r="N658" i="2"/>
  <c r="M658" i="2"/>
  <c r="Q642" i="2"/>
  <c r="Q641" i="2"/>
  <c r="Q637" i="2"/>
  <c r="Q634" i="2"/>
  <c r="N635" i="2"/>
  <c r="J635" i="2"/>
  <c r="Q635" i="2"/>
  <c r="N650" i="2"/>
  <c r="J650" i="2"/>
  <c r="Q650" i="2"/>
  <c r="I624" i="2"/>
  <c r="N632" i="2"/>
  <c r="K632" i="2"/>
  <c r="Q632" i="2"/>
  <c r="Q631" i="2"/>
  <c r="L630" i="2"/>
  <c r="N630" i="2"/>
  <c r="K628" i="2"/>
  <c r="N628" i="2"/>
  <c r="N626" i="2"/>
  <c r="M626" i="2"/>
  <c r="L626" i="2"/>
  <c r="Q625" i="2"/>
  <c r="N627" i="2"/>
  <c r="L627" i="2"/>
  <c r="Q626" i="2"/>
  <c r="I629" i="2"/>
  <c r="K623" i="2"/>
  <c r="N623" i="2"/>
  <c r="Q618" i="2"/>
  <c r="I619" i="2"/>
  <c r="L620" i="2"/>
  <c r="N620" i="2"/>
  <c r="Q620" i="2"/>
  <c r="N617" i="2"/>
  <c r="M617" i="2"/>
  <c r="J622" i="2"/>
  <c r="N622" i="2"/>
  <c r="N612" i="2"/>
  <c r="L612" i="2"/>
  <c r="Q612" i="2"/>
  <c r="I614" i="2"/>
  <c r="Q613" i="2"/>
  <c r="I610" i="2"/>
  <c r="Q610" i="2" s="1"/>
  <c r="I609" i="2"/>
  <c r="L605" i="2"/>
  <c r="N605" i="2"/>
  <c r="Q603" i="2"/>
  <c r="I604" i="2"/>
  <c r="I606" i="2"/>
  <c r="N607" i="2"/>
  <c r="J607" i="2"/>
  <c r="Q607" i="2"/>
  <c r="K608" i="2"/>
  <c r="N608" i="2"/>
  <c r="I602" i="2"/>
  <c r="N601" i="2"/>
  <c r="M601" i="2"/>
  <c r="Q601" i="2"/>
  <c r="I600" i="2"/>
  <c r="Q600" i="2" s="1"/>
  <c r="I599" i="2"/>
  <c r="Q599" i="2" s="1"/>
  <c r="I636" i="2"/>
  <c r="L9" i="11"/>
  <c r="N9" i="11"/>
  <c r="J9" i="11"/>
  <c r="I7" i="11"/>
  <c r="Q9" i="11"/>
  <c r="Q582" i="2"/>
  <c r="M582" i="2"/>
  <c r="N582" i="2"/>
  <c r="Q578" i="2"/>
  <c r="N578" i="2"/>
  <c r="Q579" i="2"/>
  <c r="Q583" i="2"/>
  <c r="Q584" i="2"/>
  <c r="Q567" i="2"/>
  <c r="K898" i="1"/>
  <c r="L898" i="1" s="1"/>
  <c r="O898" i="1" s="1"/>
  <c r="E611" i="2"/>
  <c r="H611" i="2" s="1"/>
  <c r="G99" i="10"/>
  <c r="F99" i="10"/>
  <c r="H99" i="10" s="1"/>
  <c r="G98" i="10"/>
  <c r="F98" i="10"/>
  <c r="H98" i="10" s="1"/>
  <c r="G97" i="10"/>
  <c r="F97" i="10"/>
  <c r="H97" i="10" s="1"/>
  <c r="G96" i="10"/>
  <c r="F96" i="10"/>
  <c r="H96" i="10" s="1"/>
  <c r="G95" i="10"/>
  <c r="F95" i="10"/>
  <c r="H95" i="10" s="1"/>
  <c r="G94" i="10"/>
  <c r="F94" i="10"/>
  <c r="H94" i="10" s="1"/>
  <c r="G93" i="10"/>
  <c r="F93" i="10"/>
  <c r="H93" i="10" s="1"/>
  <c r="G92" i="10"/>
  <c r="F92" i="10"/>
  <c r="H92" i="10" s="1"/>
  <c r="G917" i="1"/>
  <c r="F917" i="1"/>
  <c r="H917" i="1" s="1"/>
  <c r="G916" i="1"/>
  <c r="F916" i="1"/>
  <c r="H916" i="1" s="1"/>
  <c r="G915" i="1"/>
  <c r="F915" i="1"/>
  <c r="H915" i="1" s="1"/>
  <c r="G914" i="1"/>
  <c r="F914" i="1"/>
  <c r="H914" i="1" s="1"/>
  <c r="E577" i="2"/>
  <c r="H577" i="2" s="1"/>
  <c r="F919" i="1"/>
  <c r="H919" i="1" s="1"/>
  <c r="G919" i="1"/>
  <c r="E571" i="2"/>
  <c r="H571" i="2" s="1"/>
  <c r="E572" i="2"/>
  <c r="E576" i="2"/>
  <c r="H576" i="2" s="1"/>
  <c r="G913" i="1"/>
  <c r="F913" i="1"/>
  <c r="H913" i="1" s="1"/>
  <c r="G912" i="1"/>
  <c r="F912" i="1"/>
  <c r="H912" i="1" s="1"/>
  <c r="E570" i="2"/>
  <c r="E569" i="2"/>
  <c r="E575" i="2"/>
  <c r="H575" i="2" s="1"/>
  <c r="E574" i="2"/>
  <c r="H574" i="2" s="1"/>
  <c r="E573" i="2"/>
  <c r="H573" i="2" s="1"/>
  <c r="G911" i="1"/>
  <c r="F911" i="1"/>
  <c r="H911" i="1" s="1"/>
  <c r="G910" i="1"/>
  <c r="F910" i="1"/>
  <c r="H910" i="1" s="1"/>
  <c r="N624" i="2" l="1"/>
  <c r="L624" i="2"/>
  <c r="Q624" i="2"/>
  <c r="N629" i="2"/>
  <c r="K629" i="2"/>
  <c r="Q629" i="2"/>
  <c r="N619" i="2"/>
  <c r="M619" i="2"/>
  <c r="L619" i="2"/>
  <c r="Q619" i="2"/>
  <c r="N614" i="2"/>
  <c r="L614" i="2"/>
  <c r="Q614" i="2"/>
  <c r="L610" i="2"/>
  <c r="N610" i="2"/>
  <c r="N609" i="2"/>
  <c r="L609" i="2"/>
  <c r="Q609" i="2"/>
  <c r="N604" i="2"/>
  <c r="M604" i="2"/>
  <c r="L604" i="2"/>
  <c r="Q604" i="2"/>
  <c r="N606" i="2"/>
  <c r="L606" i="2"/>
  <c r="Q606" i="2"/>
  <c r="N602" i="2"/>
  <c r="L602" i="2"/>
  <c r="Q602" i="2"/>
  <c r="N600" i="2"/>
  <c r="J600" i="2"/>
  <c r="L599" i="2"/>
  <c r="N599" i="2"/>
  <c r="O636" i="2"/>
  <c r="N636" i="2"/>
  <c r="Q636" i="2"/>
  <c r="J7" i="11"/>
  <c r="L7" i="11"/>
  <c r="N7" i="11"/>
  <c r="Q7" i="11"/>
  <c r="I611" i="2"/>
  <c r="K95" i="10"/>
  <c r="L95" i="10" s="1"/>
  <c r="M95" i="10" s="1"/>
  <c r="K97" i="10"/>
  <c r="L97" i="10" s="1"/>
  <c r="N97" i="10" s="1"/>
  <c r="K99" i="10"/>
  <c r="L99" i="10" s="1"/>
  <c r="M99" i="10" s="1"/>
  <c r="K93" i="10"/>
  <c r="L93" i="10" s="1"/>
  <c r="O93" i="10" s="1"/>
  <c r="K92" i="10"/>
  <c r="L92" i="10" s="1"/>
  <c r="Q92" i="10" s="1"/>
  <c r="K94" i="10"/>
  <c r="L94" i="10" s="1"/>
  <c r="O94" i="10" s="1"/>
  <c r="K96" i="10"/>
  <c r="L96" i="10" s="1"/>
  <c r="M96" i="10" s="1"/>
  <c r="K98" i="10"/>
  <c r="L98" i="10" s="1"/>
  <c r="N98" i="10" s="1"/>
  <c r="K916" i="1"/>
  <c r="L916" i="1" s="1"/>
  <c r="M916" i="1" s="1"/>
  <c r="K917" i="1"/>
  <c r="L917" i="1" s="1"/>
  <c r="O917" i="1" s="1"/>
  <c r="K915" i="1"/>
  <c r="L915" i="1" s="1"/>
  <c r="O915" i="1" s="1"/>
  <c r="K914" i="1"/>
  <c r="L914" i="1" s="1"/>
  <c r="O914" i="1" s="1"/>
  <c r="I577" i="2"/>
  <c r="N577" i="2" s="1"/>
  <c r="K919" i="1"/>
  <c r="L919" i="1" s="1"/>
  <c r="O919" i="1" s="1"/>
  <c r="I571" i="2"/>
  <c r="N571" i="2" s="1"/>
  <c r="H572" i="2"/>
  <c r="I576" i="2"/>
  <c r="M576" i="2" s="1"/>
  <c r="K912" i="1"/>
  <c r="L912" i="1" s="1"/>
  <c r="O912" i="1" s="1"/>
  <c r="K913" i="1"/>
  <c r="L913" i="1" s="1"/>
  <c r="O913" i="1" s="1"/>
  <c r="H570" i="2"/>
  <c r="H569" i="2"/>
  <c r="I575" i="2"/>
  <c r="I574" i="2"/>
  <c r="I573" i="2"/>
  <c r="N573" i="2" s="1"/>
  <c r="K910" i="1"/>
  <c r="L910" i="1" s="1"/>
  <c r="O910" i="1" s="1"/>
  <c r="K911" i="1"/>
  <c r="L911" i="1" s="1"/>
  <c r="O911" i="1" s="1"/>
  <c r="F945" i="1"/>
  <c r="H945" i="1" s="1"/>
  <c r="K945" i="1" s="1"/>
  <c r="L945" i="1" s="1"/>
  <c r="O945" i="1" s="1"/>
  <c r="F944" i="1"/>
  <c r="H944" i="1" s="1"/>
  <c r="G945" i="1"/>
  <c r="G944" i="1"/>
  <c r="E597" i="2"/>
  <c r="H597" i="2" s="1"/>
  <c r="E598" i="2"/>
  <c r="H598" i="2" s="1"/>
  <c r="E596" i="2"/>
  <c r="H596" i="2" s="1"/>
  <c r="I596" i="2" s="1"/>
  <c r="G943" i="1"/>
  <c r="F943" i="1"/>
  <c r="H943" i="1" s="1"/>
  <c r="G942" i="1"/>
  <c r="F942" i="1"/>
  <c r="H942" i="1" s="1"/>
  <c r="K942" i="1" s="1"/>
  <c r="L942" i="1" s="1"/>
  <c r="O942" i="1" s="1"/>
  <c r="G941" i="1"/>
  <c r="F941" i="1"/>
  <c r="H941" i="1" s="1"/>
  <c r="E595" i="2"/>
  <c r="H595" i="2" s="1"/>
  <c r="I595" i="2" s="1"/>
  <c r="E594" i="2"/>
  <c r="H594" i="2" s="1"/>
  <c r="E593" i="2"/>
  <c r="H593" i="2" s="1"/>
  <c r="I593" i="2" s="1"/>
  <c r="M593" i="2" s="1"/>
  <c r="E592" i="2"/>
  <c r="H592" i="2" s="1"/>
  <c r="F940" i="1"/>
  <c r="H940" i="1" s="1"/>
  <c r="K940" i="1" s="1"/>
  <c r="L940" i="1" s="1"/>
  <c r="M940" i="1" s="1"/>
  <c r="G940" i="1"/>
  <c r="G939" i="1"/>
  <c r="F939" i="1"/>
  <c r="H939" i="1" s="1"/>
  <c r="F938" i="1"/>
  <c r="H938" i="1" s="1"/>
  <c r="K938" i="1" s="1"/>
  <c r="L938" i="1" s="1"/>
  <c r="M938" i="1" s="1"/>
  <c r="G938" i="1"/>
  <c r="G937" i="1"/>
  <c r="F937" i="1"/>
  <c r="H937" i="1" s="1"/>
  <c r="K937" i="1" s="1"/>
  <c r="E587" i="2"/>
  <c r="G922" i="1"/>
  <c r="F922" i="1"/>
  <c r="H922" i="1" s="1"/>
  <c r="E4" i="2"/>
  <c r="H4" i="2" s="1"/>
  <c r="F921" i="1"/>
  <c r="H921" i="1" s="1"/>
  <c r="K921" i="1" s="1"/>
  <c r="L921" i="1" s="1"/>
  <c r="O921" i="1" s="1"/>
  <c r="G921" i="1"/>
  <c r="G920" i="1"/>
  <c r="F920" i="1"/>
  <c r="H920" i="1" s="1"/>
  <c r="K920" i="1" s="1"/>
  <c r="L920" i="1" s="1"/>
  <c r="O920" i="1" s="1"/>
  <c r="G909" i="1"/>
  <c r="F909" i="1"/>
  <c r="H909" i="1" s="1"/>
  <c r="E561" i="2"/>
  <c r="H561" i="2" s="1"/>
  <c r="I561" i="2" s="1"/>
  <c r="N561" i="2" s="1"/>
  <c r="E562" i="2"/>
  <c r="H562" i="2" s="1"/>
  <c r="G897" i="1"/>
  <c r="F897" i="1"/>
  <c r="H897" i="1" s="1"/>
  <c r="K897" i="1" s="1"/>
  <c r="L897" i="1" s="1"/>
  <c r="O897" i="1" s="1"/>
  <c r="G896" i="1"/>
  <c r="F896" i="1"/>
  <c r="H896" i="1" s="1"/>
  <c r="K896" i="1" s="1"/>
  <c r="L896" i="1" s="1"/>
  <c r="O896" i="1" s="1"/>
  <c r="G895" i="1"/>
  <c r="G894" i="1"/>
  <c r="F895" i="1"/>
  <c r="H895" i="1" s="1"/>
  <c r="K895" i="1" s="1"/>
  <c r="L895" i="1" s="1"/>
  <c r="O895" i="1" s="1"/>
  <c r="F894" i="1"/>
  <c r="H894" i="1" s="1"/>
  <c r="K894" i="1" s="1"/>
  <c r="L894" i="1" s="1"/>
  <c r="O894" i="1" s="1"/>
  <c r="G893" i="1"/>
  <c r="F893" i="1"/>
  <c r="H893" i="1" s="1"/>
  <c r="K893" i="1" s="1"/>
  <c r="L893" i="1" s="1"/>
  <c r="O893" i="1" s="1"/>
  <c r="F892" i="1"/>
  <c r="H892" i="1" s="1"/>
  <c r="K892" i="1" s="1"/>
  <c r="L892" i="1" s="1"/>
  <c r="O892" i="1" s="1"/>
  <c r="G892" i="1"/>
  <c r="G891" i="1"/>
  <c r="F891" i="1"/>
  <c r="H891" i="1" s="1"/>
  <c r="K891" i="1" s="1"/>
  <c r="L891" i="1" s="1"/>
  <c r="M891" i="1" s="1"/>
  <c r="G890" i="1"/>
  <c r="G889" i="1"/>
  <c r="F890" i="1"/>
  <c r="H890" i="1" s="1"/>
  <c r="K890" i="1" s="1"/>
  <c r="L890" i="1" s="1"/>
  <c r="O890" i="1" s="1"/>
  <c r="F889" i="1"/>
  <c r="H889" i="1" s="1"/>
  <c r="F888" i="1"/>
  <c r="H888" i="1" s="1"/>
  <c r="K888" i="1" s="1"/>
  <c r="L888" i="1" s="1"/>
  <c r="O888" i="1" s="1"/>
  <c r="G888" i="1"/>
  <c r="F887" i="1"/>
  <c r="H887" i="1" s="1"/>
  <c r="G887" i="1"/>
  <c r="F886" i="1"/>
  <c r="H886" i="1" s="1"/>
  <c r="K886" i="1" s="1"/>
  <c r="L886" i="1" s="1"/>
  <c r="O886" i="1" s="1"/>
  <c r="G886" i="1"/>
  <c r="F885" i="1"/>
  <c r="H885" i="1" s="1"/>
  <c r="G885" i="1"/>
  <c r="F884" i="1"/>
  <c r="H884" i="1" s="1"/>
  <c r="G884" i="1"/>
  <c r="F883" i="1"/>
  <c r="H883" i="1" s="1"/>
  <c r="K883" i="1" s="1"/>
  <c r="L883" i="1" s="1"/>
  <c r="O883" i="1" s="1"/>
  <c r="G883" i="1"/>
  <c r="F882" i="1"/>
  <c r="H882" i="1" s="1"/>
  <c r="K882" i="1" s="1"/>
  <c r="L882" i="1" s="1"/>
  <c r="O882" i="1" s="1"/>
  <c r="G882" i="1"/>
  <c r="E565" i="2"/>
  <c r="H565" i="2" s="1"/>
  <c r="E564" i="2"/>
  <c r="H564" i="2" s="1"/>
  <c r="I564" i="2" s="1"/>
  <c r="M564" i="2" s="1"/>
  <c r="E563" i="2"/>
  <c r="H563" i="2" s="1"/>
  <c r="G881" i="1"/>
  <c r="F881" i="1"/>
  <c r="H881" i="1" s="1"/>
  <c r="G880" i="1"/>
  <c r="F880" i="1"/>
  <c r="H880" i="1" s="1"/>
  <c r="G879" i="1"/>
  <c r="F879" i="1"/>
  <c r="H879" i="1" s="1"/>
  <c r="G878" i="1"/>
  <c r="F878" i="1"/>
  <c r="H878" i="1" s="1"/>
  <c r="G877" i="1"/>
  <c r="F877" i="1"/>
  <c r="H877" i="1" s="1"/>
  <c r="G876" i="1"/>
  <c r="F876" i="1"/>
  <c r="H876" i="1" s="1"/>
  <c r="G875" i="1"/>
  <c r="F875" i="1"/>
  <c r="H875" i="1" s="1"/>
  <c r="G874" i="1"/>
  <c r="F874" i="1"/>
  <c r="H874" i="1" s="1"/>
  <c r="G873" i="1"/>
  <c r="F873" i="1"/>
  <c r="H873" i="1" s="1"/>
  <c r="G872" i="1"/>
  <c r="F872" i="1"/>
  <c r="H872" i="1" s="1"/>
  <c r="E566" i="2"/>
  <c r="E568" i="2"/>
  <c r="E559" i="2"/>
  <c r="H559" i="2" s="1"/>
  <c r="I559" i="2" s="1"/>
  <c r="N559" i="2" s="1"/>
  <c r="E560" i="2"/>
  <c r="H560" i="2" s="1"/>
  <c r="I560" i="2" s="1"/>
  <c r="E551" i="2"/>
  <c r="H551" i="2" s="1"/>
  <c r="F871" i="1"/>
  <c r="H871" i="1" s="1"/>
  <c r="K871" i="1" s="1"/>
  <c r="L871" i="1" s="1"/>
  <c r="O871" i="1" s="1"/>
  <c r="G871" i="1"/>
  <c r="E557" i="2"/>
  <c r="E555" i="2"/>
  <c r="H555" i="2" s="1"/>
  <c r="E556" i="2"/>
  <c r="G870" i="1"/>
  <c r="F870" i="1"/>
  <c r="H870" i="1" s="1"/>
  <c r="G869" i="1"/>
  <c r="F869" i="1"/>
  <c r="H869" i="1" s="1"/>
  <c r="G868" i="1"/>
  <c r="F868" i="1"/>
  <c r="H868" i="1" s="1"/>
  <c r="E558" i="2"/>
  <c r="H558" i="2" s="1"/>
  <c r="G867" i="1"/>
  <c r="F867" i="1"/>
  <c r="H867" i="1" s="1"/>
  <c r="G866" i="1"/>
  <c r="F866" i="1"/>
  <c r="H866" i="1" s="1"/>
  <c r="E552" i="2"/>
  <c r="E553" i="2"/>
  <c r="E549" i="2"/>
  <c r="E550" i="2"/>
  <c r="H550" i="2" s="1"/>
  <c r="E546" i="2"/>
  <c r="H546" i="2" s="1"/>
  <c r="E548" i="2"/>
  <c r="H548" i="2" s="1"/>
  <c r="E547" i="2"/>
  <c r="G865" i="1"/>
  <c r="F865" i="1"/>
  <c r="H865" i="1" s="1"/>
  <c r="G864" i="1"/>
  <c r="F864" i="1"/>
  <c r="H864" i="1" s="1"/>
  <c r="G863" i="1"/>
  <c r="F863" i="1"/>
  <c r="H863" i="1" s="1"/>
  <c r="G862" i="1"/>
  <c r="F862" i="1"/>
  <c r="H862" i="1" s="1"/>
  <c r="G861" i="1"/>
  <c r="F861" i="1"/>
  <c r="H861" i="1" s="1"/>
  <c r="K861" i="1" s="1"/>
  <c r="G860" i="1"/>
  <c r="F860" i="1"/>
  <c r="H860" i="1" s="1"/>
  <c r="E554" i="2"/>
  <c r="H554" i="2" s="1"/>
  <c r="Q595" i="2" l="1"/>
  <c r="L595" i="2"/>
  <c r="H587" i="2"/>
  <c r="I587" i="2" s="1"/>
  <c r="L587" i="2" s="1"/>
  <c r="I4" i="2"/>
  <c r="L4" i="2" s="1"/>
  <c r="N611" i="2"/>
  <c r="M611" i="2"/>
  <c r="Q611" i="2"/>
  <c r="Q577" i="2"/>
  <c r="J577" i="2"/>
  <c r="Q571" i="2"/>
  <c r="I572" i="2"/>
  <c r="Q576" i="2"/>
  <c r="I570" i="2"/>
  <c r="I569" i="2"/>
  <c r="N569" i="2" s="1"/>
  <c r="N575" i="2"/>
  <c r="L575" i="2"/>
  <c r="Q575" i="2"/>
  <c r="N574" i="2"/>
  <c r="M574" i="2"/>
  <c r="Q574" i="2"/>
  <c r="Q573" i="2"/>
  <c r="K943" i="1"/>
  <c r="L943" i="1" s="1"/>
  <c r="O943" i="1" s="1"/>
  <c r="K944" i="1"/>
  <c r="L944" i="1" s="1"/>
  <c r="O944" i="1" s="1"/>
  <c r="I598" i="2"/>
  <c r="I597" i="2"/>
  <c r="Q597" i="2" s="1"/>
  <c r="N596" i="2"/>
  <c r="Q596" i="2"/>
  <c r="M596" i="2"/>
  <c r="K941" i="1"/>
  <c r="L941" i="1" s="1"/>
  <c r="O941" i="1" s="1"/>
  <c r="I594" i="2"/>
  <c r="N594" i="2" s="1"/>
  <c r="M595" i="2"/>
  <c r="N595" i="2"/>
  <c r="Q593" i="2"/>
  <c r="I592" i="2"/>
  <c r="N592" i="2" s="1"/>
  <c r="N593" i="2"/>
  <c r="K939" i="1"/>
  <c r="L939" i="1" s="1"/>
  <c r="O939" i="1" s="1"/>
  <c r="L937" i="1"/>
  <c r="O937" i="1" s="1"/>
  <c r="K922" i="1"/>
  <c r="L922" i="1" s="1"/>
  <c r="O922" i="1" s="1"/>
  <c r="K909" i="1"/>
  <c r="L909" i="1" s="1"/>
  <c r="O909" i="1" s="1"/>
  <c r="I562" i="2"/>
  <c r="M562" i="2" s="1"/>
  <c r="Q561" i="2"/>
  <c r="K889" i="1"/>
  <c r="L889" i="1" s="1"/>
  <c r="M889" i="1" s="1"/>
  <c r="M888" i="1"/>
  <c r="K887" i="1"/>
  <c r="L887" i="1" s="1"/>
  <c r="O887" i="1" s="1"/>
  <c r="K885" i="1"/>
  <c r="L885" i="1" s="1"/>
  <c r="O885" i="1" s="1"/>
  <c r="K884" i="1"/>
  <c r="L884" i="1" s="1"/>
  <c r="O884" i="1" s="1"/>
  <c r="I563" i="2"/>
  <c r="N563" i="2" s="1"/>
  <c r="Q564" i="2"/>
  <c r="I565" i="2"/>
  <c r="K881" i="1"/>
  <c r="L881" i="1" s="1"/>
  <c r="O881" i="1" s="1"/>
  <c r="K880" i="1"/>
  <c r="L880" i="1" s="1"/>
  <c r="O880" i="1" s="1"/>
  <c r="K879" i="1"/>
  <c r="L879" i="1" s="1"/>
  <c r="O879" i="1" s="1"/>
  <c r="K878" i="1"/>
  <c r="L878" i="1" s="1"/>
  <c r="O878" i="1" s="1"/>
  <c r="K877" i="1"/>
  <c r="L877" i="1" s="1"/>
  <c r="O877" i="1" s="1"/>
  <c r="K876" i="1"/>
  <c r="L876" i="1" s="1"/>
  <c r="M876" i="1" s="1"/>
  <c r="K875" i="1"/>
  <c r="L875" i="1" s="1"/>
  <c r="M875" i="1" s="1"/>
  <c r="K874" i="1"/>
  <c r="L874" i="1" s="1"/>
  <c r="O874" i="1" s="1"/>
  <c r="K873" i="1"/>
  <c r="L873" i="1" s="1"/>
  <c r="O873" i="1" s="1"/>
  <c r="K872" i="1"/>
  <c r="L872" i="1" s="1"/>
  <c r="M872" i="1" s="1"/>
  <c r="H566" i="2"/>
  <c r="H568" i="2"/>
  <c r="I568" i="2" s="1"/>
  <c r="N568" i="2" s="1"/>
  <c r="M560" i="2"/>
  <c r="N560" i="2"/>
  <c r="Q559" i="2"/>
  <c r="Q560" i="2"/>
  <c r="I551" i="2"/>
  <c r="L551" i="2" s="1"/>
  <c r="H557" i="2"/>
  <c r="I555" i="2"/>
  <c r="Q555" i="2" s="1"/>
  <c r="H556" i="2"/>
  <c r="K870" i="1"/>
  <c r="L870" i="1" s="1"/>
  <c r="O870" i="1" s="1"/>
  <c r="K869" i="1"/>
  <c r="L869" i="1" s="1"/>
  <c r="O869" i="1" s="1"/>
  <c r="K868" i="1"/>
  <c r="L868" i="1" s="1"/>
  <c r="O868" i="1" s="1"/>
  <c r="I558" i="2"/>
  <c r="Q558" i="2" s="1"/>
  <c r="K866" i="1"/>
  <c r="L866" i="1" s="1"/>
  <c r="O866" i="1" s="1"/>
  <c r="K867" i="1"/>
  <c r="L867" i="1" s="1"/>
  <c r="O867" i="1" s="1"/>
  <c r="H552" i="2"/>
  <c r="H553" i="2"/>
  <c r="I553" i="2" s="1"/>
  <c r="H549" i="2"/>
  <c r="I549" i="2" s="1"/>
  <c r="N549" i="2" s="1"/>
  <c r="I550" i="2"/>
  <c r="I546" i="2"/>
  <c r="N546" i="2" s="1"/>
  <c r="I548" i="2"/>
  <c r="H547" i="2"/>
  <c r="I547" i="2" s="1"/>
  <c r="K864" i="1"/>
  <c r="L864" i="1" s="1"/>
  <c r="O864" i="1" s="1"/>
  <c r="K865" i="1"/>
  <c r="L865" i="1" s="1"/>
  <c r="O865" i="1" s="1"/>
  <c r="K863" i="1"/>
  <c r="L863" i="1" s="1"/>
  <c r="O863" i="1" s="1"/>
  <c r="K862" i="1"/>
  <c r="L862" i="1" s="1"/>
  <c r="M862" i="1" s="1"/>
  <c r="L861" i="1"/>
  <c r="O861" i="1" s="1"/>
  <c r="K860" i="1"/>
  <c r="L860" i="1" s="1"/>
  <c r="O860" i="1" s="1"/>
  <c r="I554" i="2"/>
  <c r="E545" i="2"/>
  <c r="H545" i="2" s="1"/>
  <c r="I545" i="2" s="1"/>
  <c r="Q545" i="2" s="1"/>
  <c r="E544" i="2"/>
  <c r="H544" i="2" s="1"/>
  <c r="G859" i="1"/>
  <c r="G858" i="1"/>
  <c r="F859" i="1"/>
  <c r="H859" i="1" s="1"/>
  <c r="F858" i="1"/>
  <c r="H858" i="1" s="1"/>
  <c r="G857" i="1"/>
  <c r="F857" i="1"/>
  <c r="H857" i="1" s="1"/>
  <c r="F856" i="1"/>
  <c r="H856" i="1" s="1"/>
  <c r="K856" i="1" s="1"/>
  <c r="L856" i="1" s="1"/>
  <c r="O856" i="1" s="1"/>
  <c r="G856" i="1"/>
  <c r="F855" i="1"/>
  <c r="H855" i="1" s="1"/>
  <c r="K855" i="1" s="1"/>
  <c r="L855" i="1" s="1"/>
  <c r="O855" i="1" s="1"/>
  <c r="G855" i="1"/>
  <c r="G854" i="1"/>
  <c r="F854" i="1"/>
  <c r="H854" i="1" s="1"/>
  <c r="K854" i="1" s="1"/>
  <c r="L854" i="1" s="1"/>
  <c r="M854" i="1" s="1"/>
  <c r="G853" i="1"/>
  <c r="F853" i="1"/>
  <c r="H853" i="1" s="1"/>
  <c r="G852" i="1"/>
  <c r="F852" i="1"/>
  <c r="H852" i="1" s="1"/>
  <c r="K852" i="1" s="1"/>
  <c r="L852" i="1" s="1"/>
  <c r="O852" i="1" s="1"/>
  <c r="E540" i="2"/>
  <c r="E541" i="2"/>
  <c r="H541" i="2" s="1"/>
  <c r="G851" i="1"/>
  <c r="F851" i="1"/>
  <c r="H851" i="1" s="1"/>
  <c r="E543" i="2"/>
  <c r="E542" i="2"/>
  <c r="G850" i="1"/>
  <c r="F850" i="1"/>
  <c r="H850" i="1" s="1"/>
  <c r="G849" i="1"/>
  <c r="F849" i="1"/>
  <c r="H849" i="1" s="1"/>
  <c r="G848" i="1"/>
  <c r="F848" i="1"/>
  <c r="H848" i="1" s="1"/>
  <c r="K848" i="1" s="1"/>
  <c r="L848" i="1" s="1"/>
  <c r="O848" i="1" s="1"/>
  <c r="F847" i="1"/>
  <c r="H847" i="1" s="1"/>
  <c r="K847" i="1" s="1"/>
  <c r="L847" i="1" s="1"/>
  <c r="M847" i="1" s="1"/>
  <c r="G847" i="1"/>
  <c r="G846" i="1"/>
  <c r="F846" i="1"/>
  <c r="H846" i="1" s="1"/>
  <c r="G845" i="1"/>
  <c r="F845" i="1"/>
  <c r="H845" i="1" s="1"/>
  <c r="F844" i="1"/>
  <c r="H844" i="1" s="1"/>
  <c r="K844" i="1" s="1"/>
  <c r="L844" i="1" s="1"/>
  <c r="M844" i="1" s="1"/>
  <c r="G844" i="1"/>
  <c r="G843" i="1"/>
  <c r="F843" i="1"/>
  <c r="H843" i="1" s="1"/>
  <c r="E539" i="2"/>
  <c r="H539" i="2" s="1"/>
  <c r="I539" i="2" s="1"/>
  <c r="E535" i="2"/>
  <c r="E534" i="2"/>
  <c r="E532" i="2"/>
  <c r="H532" i="2" s="1"/>
  <c r="I532" i="2" s="1"/>
  <c r="E533" i="2"/>
  <c r="E537" i="2"/>
  <c r="H537" i="2" s="1"/>
  <c r="I537" i="2" s="1"/>
  <c r="Q537" i="2" s="1"/>
  <c r="E536" i="2"/>
  <c r="H536" i="2" s="1"/>
  <c r="F842" i="1"/>
  <c r="H842" i="1" s="1"/>
  <c r="K842" i="1" s="1"/>
  <c r="L842" i="1" s="1"/>
  <c r="O842" i="1" s="1"/>
  <c r="G842" i="1"/>
  <c r="G841" i="1"/>
  <c r="F841" i="1"/>
  <c r="H841" i="1" s="1"/>
  <c r="F840" i="1"/>
  <c r="H840" i="1" s="1"/>
  <c r="G840" i="1"/>
  <c r="G839" i="1"/>
  <c r="F839" i="1"/>
  <c r="H839" i="1" s="1"/>
  <c r="F838" i="1"/>
  <c r="H838" i="1" s="1"/>
  <c r="K838" i="1" s="1"/>
  <c r="L838" i="1" s="1"/>
  <c r="O838" i="1" s="1"/>
  <c r="G838" i="1"/>
  <c r="G837" i="1"/>
  <c r="F837" i="1"/>
  <c r="H837" i="1" s="1"/>
  <c r="G822" i="1"/>
  <c r="F822" i="1"/>
  <c r="H822" i="1" s="1"/>
  <c r="E538" i="2"/>
  <c r="G836" i="1"/>
  <c r="F836" i="1"/>
  <c r="H836" i="1" s="1"/>
  <c r="G835" i="1"/>
  <c r="F835" i="1"/>
  <c r="H835" i="1" s="1"/>
  <c r="E525" i="2"/>
  <c r="H525" i="2" s="1"/>
  <c r="E526" i="2"/>
  <c r="G834" i="1"/>
  <c r="F834" i="1"/>
  <c r="H834" i="1" s="1"/>
  <c r="E528" i="2"/>
  <c r="E521" i="2"/>
  <c r="E522" i="2"/>
  <c r="E523" i="2"/>
  <c r="E524" i="2"/>
  <c r="H524" i="2" s="1"/>
  <c r="E527" i="2"/>
  <c r="H527" i="2" s="1"/>
  <c r="E530" i="2"/>
  <c r="E531" i="2"/>
  <c r="G833" i="1"/>
  <c r="F833" i="1"/>
  <c r="H833" i="1" s="1"/>
  <c r="G832" i="1"/>
  <c r="F832" i="1"/>
  <c r="H832" i="1" s="1"/>
  <c r="G831" i="1"/>
  <c r="F831" i="1"/>
  <c r="H831" i="1" s="1"/>
  <c r="G830" i="1"/>
  <c r="F830" i="1"/>
  <c r="H830" i="1" s="1"/>
  <c r="G829" i="1"/>
  <c r="F829" i="1"/>
  <c r="H829" i="1" s="1"/>
  <c r="K829" i="1" s="1"/>
  <c r="G828" i="1"/>
  <c r="F828" i="1"/>
  <c r="H828" i="1" s="1"/>
  <c r="K828" i="1" s="1"/>
  <c r="L828" i="1" s="1"/>
  <c r="O828" i="1" s="1"/>
  <c r="G827" i="1"/>
  <c r="F827" i="1"/>
  <c r="H827" i="1" s="1"/>
  <c r="E520" i="2"/>
  <c r="E519" i="2"/>
  <c r="E518" i="2"/>
  <c r="E517" i="2"/>
  <c r="G825" i="1"/>
  <c r="F825" i="1"/>
  <c r="H825" i="1" s="1"/>
  <c r="G824" i="1"/>
  <c r="F824" i="1"/>
  <c r="H824" i="1" s="1"/>
  <c r="G823" i="1"/>
  <c r="F823" i="1"/>
  <c r="H823" i="1" s="1"/>
  <c r="E515" i="2"/>
  <c r="E514" i="2"/>
  <c r="E512" i="2"/>
  <c r="E513" i="2"/>
  <c r="E509" i="2"/>
  <c r="E510" i="2"/>
  <c r="H510" i="2" s="1"/>
  <c r="G821" i="1"/>
  <c r="F821" i="1"/>
  <c r="H821" i="1" s="1"/>
  <c r="K821" i="1" s="1"/>
  <c r="L821" i="1" s="1"/>
  <c r="O821" i="1" s="1"/>
  <c r="G820" i="1"/>
  <c r="F820" i="1"/>
  <c r="H820" i="1" s="1"/>
  <c r="K820" i="1" s="1"/>
  <c r="G819" i="1"/>
  <c r="F819" i="1"/>
  <c r="H819" i="1" s="1"/>
  <c r="E511" i="2"/>
  <c r="H511" i="2" s="1"/>
  <c r="G818" i="1"/>
  <c r="F818" i="1"/>
  <c r="H818" i="1" s="1"/>
  <c r="G817" i="1"/>
  <c r="F817" i="1"/>
  <c r="H817" i="1" s="1"/>
  <c r="E516" i="2"/>
  <c r="E508" i="2"/>
  <c r="E529" i="2"/>
  <c r="H529" i="2" s="1"/>
  <c r="I529" i="2" s="1"/>
  <c r="G826" i="1"/>
  <c r="F826" i="1"/>
  <c r="H826" i="1" s="1"/>
  <c r="G816" i="1"/>
  <c r="F816" i="1"/>
  <c r="H816" i="1" s="1"/>
  <c r="K816" i="1" s="1"/>
  <c r="L816" i="1" s="1"/>
  <c r="O816" i="1" s="1"/>
  <c r="F815" i="1"/>
  <c r="H815" i="1" s="1"/>
  <c r="K815" i="1" s="1"/>
  <c r="L815" i="1" s="1"/>
  <c r="O815" i="1" s="1"/>
  <c r="G815" i="1"/>
  <c r="G814" i="1"/>
  <c r="F814" i="1"/>
  <c r="H814" i="1" s="1"/>
  <c r="K814" i="1" s="1"/>
  <c r="L814" i="1" s="1"/>
  <c r="O814" i="1" s="1"/>
  <c r="G813" i="1"/>
  <c r="F813" i="1"/>
  <c r="H813" i="1" s="1"/>
  <c r="F812" i="1"/>
  <c r="H812" i="1" s="1"/>
  <c r="K812" i="1" s="1"/>
  <c r="L812" i="1" s="1"/>
  <c r="O812" i="1" s="1"/>
  <c r="G812" i="1"/>
  <c r="F811" i="1"/>
  <c r="H811" i="1" s="1"/>
  <c r="G811" i="1"/>
  <c r="G810" i="1"/>
  <c r="F810" i="1"/>
  <c r="H810" i="1" s="1"/>
  <c r="G809" i="1"/>
  <c r="F809" i="1"/>
  <c r="H809" i="1" s="1"/>
  <c r="E503" i="2"/>
  <c r="H503" i="2" s="1"/>
  <c r="E505" i="2"/>
  <c r="E504" i="2"/>
  <c r="G808" i="1"/>
  <c r="F808" i="1"/>
  <c r="H808" i="1" s="1"/>
  <c r="G807" i="1"/>
  <c r="F807" i="1"/>
  <c r="H807" i="1" s="1"/>
  <c r="G806" i="1"/>
  <c r="F806" i="1"/>
  <c r="H806" i="1" s="1"/>
  <c r="E507" i="2"/>
  <c r="E506" i="2"/>
  <c r="G805" i="1"/>
  <c r="F805" i="1"/>
  <c r="H805" i="1" s="1"/>
  <c r="G804" i="1"/>
  <c r="F804" i="1"/>
  <c r="H804" i="1" s="1"/>
  <c r="E501" i="2"/>
  <c r="E502" i="2"/>
  <c r="G803" i="1"/>
  <c r="F803" i="1"/>
  <c r="H803" i="1" s="1"/>
  <c r="G802" i="1"/>
  <c r="F802" i="1"/>
  <c r="H802" i="1" s="1"/>
  <c r="G801" i="1"/>
  <c r="F801" i="1"/>
  <c r="H801" i="1" s="1"/>
  <c r="G800" i="1"/>
  <c r="F800" i="1"/>
  <c r="H800" i="1" s="1"/>
  <c r="E500" i="2"/>
  <c r="H500" i="2" s="1"/>
  <c r="F799" i="1"/>
  <c r="H799" i="1" s="1"/>
  <c r="K799" i="1" s="1"/>
  <c r="L799" i="1" s="1"/>
  <c r="O799" i="1" s="1"/>
  <c r="G799" i="1"/>
  <c r="G798" i="1"/>
  <c r="G796" i="1"/>
  <c r="G797" i="1"/>
  <c r="F798" i="1"/>
  <c r="H798" i="1" s="1"/>
  <c r="K798" i="1" s="1"/>
  <c r="L798" i="1" s="1"/>
  <c r="O798" i="1" s="1"/>
  <c r="G795" i="1"/>
  <c r="G794" i="1"/>
  <c r="G793" i="1"/>
  <c r="G792" i="1"/>
  <c r="G791" i="1"/>
  <c r="F797" i="1"/>
  <c r="H797" i="1" s="1"/>
  <c r="K797" i="1" s="1"/>
  <c r="L797" i="1" s="1"/>
  <c r="O797" i="1" s="1"/>
  <c r="F796" i="1"/>
  <c r="H796" i="1" s="1"/>
  <c r="K796" i="1" s="1"/>
  <c r="L796" i="1" s="1"/>
  <c r="O796" i="1" s="1"/>
  <c r="F795" i="1"/>
  <c r="H795" i="1" s="1"/>
  <c r="K795" i="1" s="1"/>
  <c r="L795" i="1" s="1"/>
  <c r="O795" i="1" s="1"/>
  <c r="F794" i="1"/>
  <c r="H794" i="1" s="1"/>
  <c r="K794" i="1" s="1"/>
  <c r="L794" i="1" s="1"/>
  <c r="O794" i="1" s="1"/>
  <c r="F793" i="1"/>
  <c r="H793" i="1" s="1"/>
  <c r="F792" i="1"/>
  <c r="H792" i="1" s="1"/>
  <c r="K792" i="1" s="1"/>
  <c r="L792" i="1" s="1"/>
  <c r="O792" i="1" s="1"/>
  <c r="F791" i="1"/>
  <c r="H791" i="1" s="1"/>
  <c r="K791" i="1" s="1"/>
  <c r="L791" i="1" s="1"/>
  <c r="M791" i="1" s="1"/>
  <c r="G790" i="1"/>
  <c r="F790" i="1"/>
  <c r="H790" i="1" s="1"/>
  <c r="G789" i="1"/>
  <c r="F789" i="1"/>
  <c r="H789" i="1" s="1"/>
  <c r="E499" i="2"/>
  <c r="H499" i="2" s="1"/>
  <c r="G788" i="1"/>
  <c r="G787" i="1"/>
  <c r="G786" i="1"/>
  <c r="F788" i="1"/>
  <c r="H788" i="1" s="1"/>
  <c r="F787" i="1"/>
  <c r="H787" i="1" s="1"/>
  <c r="K787" i="1" s="1"/>
  <c r="L787" i="1" s="1"/>
  <c r="O787" i="1" s="1"/>
  <c r="F786" i="1"/>
  <c r="H786" i="1" s="1"/>
  <c r="K786" i="1" s="1"/>
  <c r="L786" i="1" s="1"/>
  <c r="O786" i="1" s="1"/>
  <c r="G785" i="1"/>
  <c r="G784" i="1"/>
  <c r="F785" i="1"/>
  <c r="H785" i="1" s="1"/>
  <c r="F784" i="1"/>
  <c r="H784" i="1" s="1"/>
  <c r="K784" i="1" s="1"/>
  <c r="L784" i="1" s="1"/>
  <c r="O784" i="1" s="1"/>
  <c r="E498" i="2"/>
  <c r="H498" i="2" s="1"/>
  <c r="I498" i="2" s="1"/>
  <c r="K498" i="2" s="1"/>
  <c r="E497" i="2"/>
  <c r="H497" i="2" s="1"/>
  <c r="I497" i="2" s="1"/>
  <c r="E493" i="2"/>
  <c r="H493" i="2" s="1"/>
  <c r="I493" i="2" s="1"/>
  <c r="E494" i="2"/>
  <c r="H494" i="2" s="1"/>
  <c r="E496" i="2"/>
  <c r="E495" i="2"/>
  <c r="H495" i="2" s="1"/>
  <c r="F11" i="1"/>
  <c r="F783" i="1"/>
  <c r="H783" i="1" s="1"/>
  <c r="K783" i="1" s="1"/>
  <c r="L783" i="1" s="1"/>
  <c r="M783" i="1" s="1"/>
  <c r="G783" i="1"/>
  <c r="G782" i="1"/>
  <c r="F782" i="1"/>
  <c r="H782" i="1" s="1"/>
  <c r="K782" i="1" s="1"/>
  <c r="L782" i="1" s="1"/>
  <c r="O782" i="1" s="1"/>
  <c r="G781" i="1"/>
  <c r="F781" i="1"/>
  <c r="H781" i="1" s="1"/>
  <c r="K781" i="1" s="1"/>
  <c r="L781" i="1" s="1"/>
  <c r="O781" i="1" s="1"/>
  <c r="G780" i="1"/>
  <c r="F780" i="1"/>
  <c r="H780" i="1" s="1"/>
  <c r="K780" i="1" s="1"/>
  <c r="F779" i="1"/>
  <c r="H779" i="1" s="1"/>
  <c r="K779" i="1" s="1"/>
  <c r="L779" i="1" s="1"/>
  <c r="M779" i="1" s="1"/>
  <c r="G779" i="1"/>
  <c r="G778" i="1"/>
  <c r="F778" i="1"/>
  <c r="H778" i="1" s="1"/>
  <c r="K778" i="1" s="1"/>
  <c r="G777" i="1"/>
  <c r="F777" i="1"/>
  <c r="H777" i="1" s="1"/>
  <c r="G773" i="1"/>
  <c r="F773" i="1"/>
  <c r="H773" i="1" s="1"/>
  <c r="E491" i="2"/>
  <c r="E492" i="2"/>
  <c r="H492" i="2" s="1"/>
  <c r="G776" i="1"/>
  <c r="G775" i="1"/>
  <c r="G774" i="1"/>
  <c r="F776" i="1"/>
  <c r="H776" i="1" s="1"/>
  <c r="F775" i="1"/>
  <c r="H775" i="1" s="1"/>
  <c r="F774" i="1"/>
  <c r="H774" i="1" s="1"/>
  <c r="E490" i="2"/>
  <c r="H490" i="2" s="1"/>
  <c r="I490" i="2" s="1"/>
  <c r="G772" i="1"/>
  <c r="F772" i="1"/>
  <c r="H772" i="1" s="1"/>
  <c r="G771" i="1"/>
  <c r="F771" i="1"/>
  <c r="H771" i="1" s="1"/>
  <c r="E485" i="2"/>
  <c r="H485" i="2" s="1"/>
  <c r="I485" i="2" s="1"/>
  <c r="E486" i="2"/>
  <c r="E487" i="2"/>
  <c r="G770" i="1"/>
  <c r="F770" i="1"/>
  <c r="H770" i="1" s="1"/>
  <c r="G769" i="1"/>
  <c r="F769" i="1"/>
  <c r="H769" i="1" s="1"/>
  <c r="G768" i="1"/>
  <c r="F768" i="1"/>
  <c r="H768" i="1" s="1"/>
  <c r="G767" i="1"/>
  <c r="F767" i="1"/>
  <c r="H767" i="1" s="1"/>
  <c r="E489" i="2"/>
  <c r="H489" i="2" s="1"/>
  <c r="E488" i="2"/>
  <c r="H488" i="2" s="1"/>
  <c r="E484" i="2"/>
  <c r="H484" i="2" s="1"/>
  <c r="G765" i="1"/>
  <c r="F765" i="1"/>
  <c r="H765" i="1" s="1"/>
  <c r="K765" i="1" s="1"/>
  <c r="L765" i="1" s="1"/>
  <c r="O765" i="1" s="1"/>
  <c r="G766" i="1"/>
  <c r="F766" i="1"/>
  <c r="H766" i="1" s="1"/>
  <c r="G764" i="1"/>
  <c r="F764" i="1"/>
  <c r="H764" i="1" s="1"/>
  <c r="E483" i="2"/>
  <c r="H483" i="2" s="1"/>
  <c r="E482" i="2"/>
  <c r="F763" i="1"/>
  <c r="H763" i="1" s="1"/>
  <c r="K763" i="1" s="1"/>
  <c r="L763" i="1" s="1"/>
  <c r="O763" i="1" s="1"/>
  <c r="G763" i="1"/>
  <c r="G762" i="1"/>
  <c r="F762" i="1"/>
  <c r="H762" i="1" s="1"/>
  <c r="G761" i="1"/>
  <c r="F761" i="1"/>
  <c r="H761" i="1" s="1"/>
  <c r="K761" i="1" s="1"/>
  <c r="L761" i="1" s="1"/>
  <c r="O761" i="1" s="1"/>
  <c r="G760" i="1"/>
  <c r="F760" i="1"/>
  <c r="H760" i="1" s="1"/>
  <c r="K760" i="1" s="1"/>
  <c r="L760" i="1" s="1"/>
  <c r="M760" i="1" s="1"/>
  <c r="G759" i="1"/>
  <c r="F759" i="1"/>
  <c r="H759" i="1" s="1"/>
  <c r="G758" i="1"/>
  <c r="F758" i="1"/>
  <c r="H758" i="1" s="1"/>
  <c r="F757" i="1"/>
  <c r="H757" i="1" s="1"/>
  <c r="G757" i="1"/>
  <c r="F756" i="1"/>
  <c r="H756" i="1" s="1"/>
  <c r="K756" i="1" s="1"/>
  <c r="L756" i="1" s="1"/>
  <c r="O756" i="1" s="1"/>
  <c r="G756" i="1"/>
  <c r="G755" i="1"/>
  <c r="F755" i="1"/>
  <c r="H755" i="1" s="1"/>
  <c r="K755" i="1" s="1"/>
  <c r="L755" i="1" s="1"/>
  <c r="O755" i="1" s="1"/>
  <c r="E481" i="2"/>
  <c r="H481" i="2" s="1"/>
  <c r="G754" i="1"/>
  <c r="F754" i="1"/>
  <c r="H754" i="1" s="1"/>
  <c r="K754" i="1" s="1"/>
  <c r="L754" i="1" s="1"/>
  <c r="O754" i="1" s="1"/>
  <c r="G753" i="1"/>
  <c r="F753" i="1"/>
  <c r="H753" i="1" s="1"/>
  <c r="K753" i="1" s="1"/>
  <c r="L753" i="1" s="1"/>
  <c r="O753" i="1" s="1"/>
  <c r="F752" i="1"/>
  <c r="H752" i="1" s="1"/>
  <c r="K752" i="1" s="1"/>
  <c r="L752" i="1" s="1"/>
  <c r="O752" i="1" s="1"/>
  <c r="G752" i="1"/>
  <c r="F751" i="1"/>
  <c r="H751" i="1" s="1"/>
  <c r="G751" i="1"/>
  <c r="G750" i="1"/>
  <c r="F750" i="1"/>
  <c r="H750" i="1" s="1"/>
  <c r="F749" i="1"/>
  <c r="H749" i="1" s="1"/>
  <c r="K749" i="1" s="1"/>
  <c r="L749" i="1" s="1"/>
  <c r="M749" i="1" s="1"/>
  <c r="G749" i="1"/>
  <c r="G748" i="1"/>
  <c r="F748" i="1"/>
  <c r="H748" i="1" s="1"/>
  <c r="E479" i="2"/>
  <c r="H479" i="2" s="1"/>
  <c r="I479" i="2" s="1"/>
  <c r="J479" i="2" s="1"/>
  <c r="E480" i="2"/>
  <c r="H480" i="2" s="1"/>
  <c r="E478" i="2"/>
  <c r="F747" i="1"/>
  <c r="H747" i="1" s="1"/>
  <c r="G747" i="1"/>
  <c r="E472" i="2"/>
  <c r="H472" i="2" s="1"/>
  <c r="I472" i="2" s="1"/>
  <c r="M472" i="2" s="1"/>
  <c r="E473" i="2"/>
  <c r="H473" i="2" s="1"/>
  <c r="I473" i="2" s="1"/>
  <c r="Q473" i="2" s="1"/>
  <c r="E477" i="2"/>
  <c r="H477" i="2" s="1"/>
  <c r="I477" i="2" s="1"/>
  <c r="Q477" i="2" s="1"/>
  <c r="E476" i="2"/>
  <c r="H476" i="2" s="1"/>
  <c r="E470" i="2"/>
  <c r="H470" i="2" s="1"/>
  <c r="I470" i="2" s="1"/>
  <c r="Q470" i="2" s="1"/>
  <c r="E471" i="2"/>
  <c r="H471" i="2" s="1"/>
  <c r="E474" i="2"/>
  <c r="H474" i="2" s="1"/>
  <c r="I474" i="2" s="1"/>
  <c r="Q474" i="2" s="1"/>
  <c r="E475" i="2"/>
  <c r="H475" i="2" s="1"/>
  <c r="F746" i="1"/>
  <c r="H746" i="1" s="1"/>
  <c r="K746" i="1" s="1"/>
  <c r="L746" i="1" s="1"/>
  <c r="O746" i="1" s="1"/>
  <c r="G746" i="1"/>
  <c r="F745" i="1"/>
  <c r="H745" i="1" s="1"/>
  <c r="K745" i="1" s="1"/>
  <c r="G745" i="1"/>
  <c r="F744" i="1"/>
  <c r="H744" i="1" s="1"/>
  <c r="K744" i="1" s="1"/>
  <c r="L744" i="1" s="1"/>
  <c r="O744" i="1" s="1"/>
  <c r="G744" i="1"/>
  <c r="G743" i="1"/>
  <c r="F743" i="1"/>
  <c r="H743" i="1" s="1"/>
  <c r="F742" i="1"/>
  <c r="H742" i="1" s="1"/>
  <c r="G742" i="1"/>
  <c r="F741" i="1"/>
  <c r="H741" i="1" s="1"/>
  <c r="K741" i="1" s="1"/>
  <c r="L741" i="1" s="1"/>
  <c r="O741" i="1" s="1"/>
  <c r="G741" i="1"/>
  <c r="G740" i="1"/>
  <c r="F740" i="1"/>
  <c r="H740" i="1" s="1"/>
  <c r="G737" i="1"/>
  <c r="F737" i="1"/>
  <c r="H737" i="1" s="1"/>
  <c r="K737" i="1" s="1"/>
  <c r="L737" i="1" s="1"/>
  <c r="O737" i="1" s="1"/>
  <c r="G736" i="1"/>
  <c r="F736" i="1"/>
  <c r="H736" i="1" s="1"/>
  <c r="G739" i="1"/>
  <c r="F739" i="1"/>
  <c r="H739" i="1" s="1"/>
  <c r="K739" i="1" s="1"/>
  <c r="L739" i="1" s="1"/>
  <c r="O739" i="1" s="1"/>
  <c r="G738" i="1"/>
  <c r="F738" i="1"/>
  <c r="H738" i="1" s="1"/>
  <c r="K738" i="1" s="1"/>
  <c r="L738" i="1" s="1"/>
  <c r="O738" i="1" s="1"/>
  <c r="E462" i="2"/>
  <c r="E464" i="2"/>
  <c r="H464" i="2" s="1"/>
  <c r="E463" i="2"/>
  <c r="E466" i="2"/>
  <c r="H466" i="2" s="1"/>
  <c r="E465" i="2"/>
  <c r="H465" i="2" s="1"/>
  <c r="I465" i="2" s="1"/>
  <c r="N465" i="2" s="1"/>
  <c r="E467" i="2"/>
  <c r="H467" i="2" s="1"/>
  <c r="E468" i="2"/>
  <c r="H468" i="2" s="1"/>
  <c r="I468" i="2" s="1"/>
  <c r="J468" i="2" s="1"/>
  <c r="E469" i="2"/>
  <c r="F735" i="1"/>
  <c r="H735" i="1" s="1"/>
  <c r="G735" i="1"/>
  <c r="F734" i="1"/>
  <c r="H734" i="1" s="1"/>
  <c r="G734" i="1"/>
  <c r="E461" i="2"/>
  <c r="E441" i="2"/>
  <c r="H441" i="2" s="1"/>
  <c r="I441" i="2" s="1"/>
  <c r="N441" i="2" s="1"/>
  <c r="E442" i="2"/>
  <c r="H442" i="2" s="1"/>
  <c r="I442" i="2" s="1"/>
  <c r="M442" i="2" s="1"/>
  <c r="E443" i="2"/>
  <c r="H443" i="2" s="1"/>
  <c r="I443" i="2" s="1"/>
  <c r="L443" i="2" s="1"/>
  <c r="E447" i="2"/>
  <c r="H447" i="2" s="1"/>
  <c r="I447" i="2" s="1"/>
  <c r="K447" i="2" s="1"/>
  <c r="E446" i="2"/>
  <c r="H446" i="2" s="1"/>
  <c r="E445" i="2"/>
  <c r="H445" i="2" s="1"/>
  <c r="I445" i="2" s="1"/>
  <c r="M445" i="2" s="1"/>
  <c r="E444" i="2"/>
  <c r="G720" i="1"/>
  <c r="F720" i="1"/>
  <c r="H720" i="1" s="1"/>
  <c r="K720" i="1" s="1"/>
  <c r="L720" i="1" s="1"/>
  <c r="O720" i="1" s="1"/>
  <c r="F719" i="1"/>
  <c r="H719" i="1" s="1"/>
  <c r="K719" i="1" s="1"/>
  <c r="L719" i="1" s="1"/>
  <c r="O719" i="1" s="1"/>
  <c r="G719" i="1"/>
  <c r="F718" i="1"/>
  <c r="H718" i="1" s="1"/>
  <c r="K718" i="1" s="1"/>
  <c r="L718" i="1" s="1"/>
  <c r="O718" i="1" s="1"/>
  <c r="G718" i="1"/>
  <c r="F733" i="1"/>
  <c r="H733" i="1" s="1"/>
  <c r="K733" i="1" s="1"/>
  <c r="G733" i="1"/>
  <c r="E460" i="2"/>
  <c r="H460" i="2" s="1"/>
  <c r="G717" i="1"/>
  <c r="G716" i="1"/>
  <c r="F717" i="1"/>
  <c r="H717" i="1" s="1"/>
  <c r="F716" i="1"/>
  <c r="H716" i="1" s="1"/>
  <c r="F715" i="1"/>
  <c r="H715" i="1" s="1"/>
  <c r="G715" i="1"/>
  <c r="F732" i="1"/>
  <c r="H732" i="1" s="1"/>
  <c r="K732" i="1" s="1"/>
  <c r="L732" i="1" s="1"/>
  <c r="O732" i="1" s="1"/>
  <c r="G732" i="1"/>
  <c r="G731" i="1"/>
  <c r="F731" i="1"/>
  <c r="H731" i="1" s="1"/>
  <c r="G730" i="1"/>
  <c r="F730" i="1"/>
  <c r="H730" i="1" s="1"/>
  <c r="E454" i="2"/>
  <c r="E453" i="2"/>
  <c r="G729" i="1"/>
  <c r="F729" i="1"/>
  <c r="H729" i="1" s="1"/>
  <c r="F726" i="1"/>
  <c r="H726" i="1" s="1"/>
  <c r="G726" i="1"/>
  <c r="E457" i="2"/>
  <c r="E458" i="2"/>
  <c r="E459" i="2"/>
  <c r="H459" i="2" s="1"/>
  <c r="G728" i="1"/>
  <c r="F728" i="1"/>
  <c r="H728" i="1" s="1"/>
  <c r="G727" i="1"/>
  <c r="F727" i="1"/>
  <c r="H727" i="1" s="1"/>
  <c r="G725" i="1"/>
  <c r="F725" i="1"/>
  <c r="H725" i="1" s="1"/>
  <c r="E456" i="2"/>
  <c r="H456" i="2" s="1"/>
  <c r="E455" i="2"/>
  <c r="G724" i="1"/>
  <c r="F724" i="1"/>
  <c r="H724" i="1" s="1"/>
  <c r="K724" i="1" s="1"/>
  <c r="F723" i="1"/>
  <c r="H723" i="1" s="1"/>
  <c r="K723" i="1" s="1"/>
  <c r="L723" i="1" s="1"/>
  <c r="O723" i="1" s="1"/>
  <c r="G723" i="1"/>
  <c r="F722" i="1"/>
  <c r="H722" i="1" s="1"/>
  <c r="K722" i="1" s="1"/>
  <c r="L722" i="1" s="1"/>
  <c r="O722" i="1" s="1"/>
  <c r="G722" i="1"/>
  <c r="G721" i="1"/>
  <c r="F721" i="1"/>
  <c r="H721" i="1" s="1"/>
  <c r="E451" i="2"/>
  <c r="H451" i="2" s="1"/>
  <c r="I451" i="2" s="1"/>
  <c r="Q451" i="2" s="1"/>
  <c r="E450" i="2"/>
  <c r="H450" i="2" s="1"/>
  <c r="E448" i="2"/>
  <c r="H448" i="2" s="1"/>
  <c r="E449" i="2"/>
  <c r="E452" i="2"/>
  <c r="E440" i="2"/>
  <c r="E437" i="2"/>
  <c r="H437" i="2" s="1"/>
  <c r="I437" i="2" s="1"/>
  <c r="E436" i="2"/>
  <c r="H436" i="2" s="1"/>
  <c r="G714" i="1"/>
  <c r="F714" i="1"/>
  <c r="H714" i="1" s="1"/>
  <c r="K714" i="1" s="1"/>
  <c r="L714" i="1" s="1"/>
  <c r="O714" i="1" s="1"/>
  <c r="G713" i="1"/>
  <c r="F713" i="1"/>
  <c r="H713" i="1" s="1"/>
  <c r="K713" i="1" s="1"/>
  <c r="L713" i="1" s="1"/>
  <c r="O713" i="1" s="1"/>
  <c r="Q4" i="2" l="1"/>
  <c r="N587" i="2"/>
  <c r="Q587" i="2"/>
  <c r="L548" i="2"/>
  <c r="N548" i="2"/>
  <c r="N572" i="2"/>
  <c r="M572" i="2"/>
  <c r="Q572" i="2"/>
  <c r="P570" i="2"/>
  <c r="O570" i="2"/>
  <c r="N570" i="2"/>
  <c r="Q570" i="2"/>
  <c r="Q569" i="2"/>
  <c r="N598" i="2"/>
  <c r="K598" i="2"/>
  <c r="Q598" i="2"/>
  <c r="K597" i="2"/>
  <c r="N597" i="2"/>
  <c r="Q594" i="2"/>
  <c r="Q592" i="2"/>
  <c r="Q562" i="2"/>
  <c r="Q563" i="2"/>
  <c r="N565" i="2"/>
  <c r="P565" i="2"/>
  <c r="Q565" i="2"/>
  <c r="I566" i="2"/>
  <c r="Q568" i="2"/>
  <c r="Q551" i="2"/>
  <c r="O553" i="2"/>
  <c r="N553" i="2"/>
  <c r="I557" i="2"/>
  <c r="L557" i="2" s="1"/>
  <c r="N555" i="2"/>
  <c r="O555" i="2"/>
  <c r="I556" i="2"/>
  <c r="N556" i="2" s="1"/>
  <c r="N558" i="2"/>
  <c r="K558" i="2"/>
  <c r="Q549" i="2"/>
  <c r="I552" i="2"/>
  <c r="L552" i="2" s="1"/>
  <c r="Q553" i="2"/>
  <c r="N550" i="2"/>
  <c r="M550" i="2"/>
  <c r="Q550" i="2"/>
  <c r="Q546" i="2"/>
  <c r="Q548" i="2"/>
  <c r="N547" i="2"/>
  <c r="M547" i="2"/>
  <c r="Q547" i="2"/>
  <c r="R860" i="1"/>
  <c r="K545" i="2"/>
  <c r="M554" i="2"/>
  <c r="N554" i="2"/>
  <c r="Q554" i="2"/>
  <c r="K857" i="1"/>
  <c r="L857" i="1" s="1"/>
  <c r="O857" i="1" s="1"/>
  <c r="K859" i="1"/>
  <c r="L859" i="1" s="1"/>
  <c r="O859" i="1" s="1"/>
  <c r="I544" i="2"/>
  <c r="K858" i="1"/>
  <c r="L858" i="1" s="1"/>
  <c r="O858" i="1" s="1"/>
  <c r="I541" i="2"/>
  <c r="L541" i="2" s="1"/>
  <c r="K853" i="1"/>
  <c r="L853" i="1" s="1"/>
  <c r="O853" i="1" s="1"/>
  <c r="H540" i="2"/>
  <c r="I540" i="2" s="1"/>
  <c r="L540" i="2" s="1"/>
  <c r="K851" i="1"/>
  <c r="H543" i="2"/>
  <c r="I543" i="2" s="1"/>
  <c r="H542" i="2"/>
  <c r="I542" i="2" s="1"/>
  <c r="K850" i="1"/>
  <c r="L850" i="1" s="1"/>
  <c r="M850" i="1" s="1"/>
  <c r="K849" i="1"/>
  <c r="L849" i="1" s="1"/>
  <c r="O849" i="1" s="1"/>
  <c r="K846" i="1"/>
  <c r="L846" i="1" s="1"/>
  <c r="O846" i="1" s="1"/>
  <c r="K845" i="1"/>
  <c r="L845" i="1" s="1"/>
  <c r="O845" i="1" s="1"/>
  <c r="K843" i="1"/>
  <c r="L843" i="1" s="1"/>
  <c r="O843" i="1" s="1"/>
  <c r="N539" i="2"/>
  <c r="Q539" i="2"/>
  <c r="P539" i="2"/>
  <c r="I536" i="2"/>
  <c r="K536" i="2" s="1"/>
  <c r="H535" i="2"/>
  <c r="I535" i="2" s="1"/>
  <c r="L535" i="2" s="1"/>
  <c r="K537" i="2"/>
  <c r="H534" i="2"/>
  <c r="H533" i="2"/>
  <c r="K840" i="1"/>
  <c r="L840" i="1" s="1"/>
  <c r="O840" i="1" s="1"/>
  <c r="N532" i="2"/>
  <c r="M532" i="2"/>
  <c r="Q532" i="2"/>
  <c r="K841" i="1"/>
  <c r="L841" i="1" s="1"/>
  <c r="O841" i="1" s="1"/>
  <c r="K839" i="1"/>
  <c r="L839" i="1" s="1"/>
  <c r="O839" i="1" s="1"/>
  <c r="K837" i="1"/>
  <c r="L837" i="1" s="1"/>
  <c r="O837" i="1" s="1"/>
  <c r="K822" i="1"/>
  <c r="L822" i="1" s="1"/>
  <c r="O822" i="1" s="1"/>
  <c r="H538" i="2"/>
  <c r="I538" i="2" s="1"/>
  <c r="H526" i="2"/>
  <c r="I526" i="2" s="1"/>
  <c r="L526" i="2" s="1"/>
  <c r="K835" i="1"/>
  <c r="L835" i="1" s="1"/>
  <c r="O835" i="1" s="1"/>
  <c r="K836" i="1"/>
  <c r="L836" i="1" s="1"/>
  <c r="O836" i="1" s="1"/>
  <c r="I525" i="2"/>
  <c r="L525" i="2" s="1"/>
  <c r="K834" i="1"/>
  <c r="L834" i="1" s="1"/>
  <c r="O834" i="1" s="1"/>
  <c r="H528" i="2"/>
  <c r="I528" i="2" s="1"/>
  <c r="N528" i="2" s="1"/>
  <c r="H521" i="2"/>
  <c r="H522" i="2"/>
  <c r="I522" i="2" s="1"/>
  <c r="L522" i="2" s="1"/>
  <c r="H523" i="2"/>
  <c r="I524" i="2"/>
  <c r="I527" i="2"/>
  <c r="N527" i="2" s="1"/>
  <c r="H530" i="2"/>
  <c r="I530" i="2" s="1"/>
  <c r="H531" i="2"/>
  <c r="I531" i="2" s="1"/>
  <c r="K531" i="2" s="1"/>
  <c r="K833" i="1"/>
  <c r="L833" i="1" s="1"/>
  <c r="O833" i="1" s="1"/>
  <c r="K832" i="1"/>
  <c r="L832" i="1" s="1"/>
  <c r="O832" i="1" s="1"/>
  <c r="K831" i="1"/>
  <c r="L831" i="1" s="1"/>
  <c r="O831" i="1" s="1"/>
  <c r="K830" i="1"/>
  <c r="L830" i="1" s="1"/>
  <c r="O830" i="1" s="1"/>
  <c r="L829" i="1"/>
  <c r="O829" i="1" s="1"/>
  <c r="K827" i="1"/>
  <c r="L827" i="1" s="1"/>
  <c r="O827" i="1" s="1"/>
  <c r="H520" i="2"/>
  <c r="I520" i="2" s="1"/>
  <c r="H519" i="2"/>
  <c r="H518" i="2"/>
  <c r="I518" i="2" s="1"/>
  <c r="L518" i="2" s="1"/>
  <c r="H517" i="2"/>
  <c r="K825" i="1"/>
  <c r="L825" i="1" s="1"/>
  <c r="M825" i="1" s="1"/>
  <c r="K823" i="1"/>
  <c r="L823" i="1" s="1"/>
  <c r="O823" i="1" s="1"/>
  <c r="K824" i="1"/>
  <c r="L824" i="1" s="1"/>
  <c r="M824" i="1" s="1"/>
  <c r="H515" i="2"/>
  <c r="H514" i="2"/>
  <c r="H512" i="2"/>
  <c r="H513" i="2"/>
  <c r="H509" i="2"/>
  <c r="I509" i="2" s="1"/>
  <c r="N509" i="2" s="1"/>
  <c r="I510" i="2"/>
  <c r="N510" i="2" s="1"/>
  <c r="L820" i="1"/>
  <c r="O820" i="1" s="1"/>
  <c r="K819" i="1"/>
  <c r="L819" i="1" s="1"/>
  <c r="O819" i="1" s="1"/>
  <c r="I511" i="2"/>
  <c r="L511" i="2" s="1"/>
  <c r="K817" i="1"/>
  <c r="L817" i="1" s="1"/>
  <c r="O817" i="1" s="1"/>
  <c r="K818" i="1"/>
  <c r="L818" i="1" s="1"/>
  <c r="O818" i="1" s="1"/>
  <c r="H516" i="2"/>
  <c r="I516" i="2" s="1"/>
  <c r="K516" i="2" s="1"/>
  <c r="H508" i="2"/>
  <c r="I508" i="2" s="1"/>
  <c r="K529" i="2"/>
  <c r="Q529" i="2"/>
  <c r="N529" i="2"/>
  <c r="K826" i="1"/>
  <c r="L826" i="1" s="1"/>
  <c r="O826" i="1" s="1"/>
  <c r="K813" i="1"/>
  <c r="L813" i="1" s="1"/>
  <c r="M813" i="1" s="1"/>
  <c r="K811" i="1"/>
  <c r="L811" i="1" s="1"/>
  <c r="O811" i="1" s="1"/>
  <c r="K810" i="1"/>
  <c r="L810" i="1" s="1"/>
  <c r="O810" i="1" s="1"/>
  <c r="K809" i="1"/>
  <c r="L809" i="1" s="1"/>
  <c r="O809" i="1" s="1"/>
  <c r="I503" i="2"/>
  <c r="H505" i="2"/>
  <c r="H504" i="2"/>
  <c r="I504" i="2" s="1"/>
  <c r="N504" i="2" s="1"/>
  <c r="K808" i="1"/>
  <c r="L808" i="1" s="1"/>
  <c r="O808" i="1" s="1"/>
  <c r="K807" i="1"/>
  <c r="L807" i="1" s="1"/>
  <c r="O807" i="1" s="1"/>
  <c r="K806" i="1"/>
  <c r="L806" i="1" s="1"/>
  <c r="O806" i="1" s="1"/>
  <c r="H507" i="2"/>
  <c r="H506" i="2"/>
  <c r="K805" i="1"/>
  <c r="K804" i="1"/>
  <c r="H501" i="2"/>
  <c r="I501" i="2" s="1"/>
  <c r="J501" i="2" s="1"/>
  <c r="H502" i="2"/>
  <c r="K803" i="1"/>
  <c r="L803" i="1" s="1"/>
  <c r="O803" i="1" s="1"/>
  <c r="K802" i="1"/>
  <c r="L802" i="1" s="1"/>
  <c r="M802" i="1" s="1"/>
  <c r="K801" i="1"/>
  <c r="L801" i="1" s="1"/>
  <c r="M801" i="1" s="1"/>
  <c r="K800" i="1"/>
  <c r="L800" i="1" s="1"/>
  <c r="O800" i="1" s="1"/>
  <c r="I499" i="2"/>
  <c r="L499" i="2" s="1"/>
  <c r="I500" i="2"/>
  <c r="K789" i="1"/>
  <c r="L789" i="1" s="1"/>
  <c r="O789" i="1" s="1"/>
  <c r="K790" i="1"/>
  <c r="L790" i="1" s="1"/>
  <c r="O790" i="1" s="1"/>
  <c r="K793" i="1"/>
  <c r="L793" i="1" s="1"/>
  <c r="O793" i="1" s="1"/>
  <c r="K785" i="1"/>
  <c r="L785" i="1" s="1"/>
  <c r="O785" i="1" s="1"/>
  <c r="K788" i="1"/>
  <c r="L788" i="1" s="1"/>
  <c r="O788" i="1" s="1"/>
  <c r="Q498" i="2"/>
  <c r="Q497" i="2"/>
  <c r="J497" i="2"/>
  <c r="Q493" i="2"/>
  <c r="M493" i="2"/>
  <c r="I494" i="2"/>
  <c r="L494" i="2" s="1"/>
  <c r="H496" i="2"/>
  <c r="I495" i="2"/>
  <c r="N495" i="2" s="1"/>
  <c r="K777" i="1"/>
  <c r="L777" i="1" s="1"/>
  <c r="O777" i="1" s="1"/>
  <c r="L778" i="1"/>
  <c r="N778" i="1" s="1"/>
  <c r="L780" i="1"/>
  <c r="M780" i="1" s="1"/>
  <c r="H491" i="2"/>
  <c r="I491" i="2" s="1"/>
  <c r="N491" i="2" s="1"/>
  <c r="K773" i="1"/>
  <c r="L773" i="1" s="1"/>
  <c r="O773" i="1" s="1"/>
  <c r="K774" i="1"/>
  <c r="L774" i="1" s="1"/>
  <c r="O774" i="1" s="1"/>
  <c r="K775" i="1"/>
  <c r="L775" i="1" s="1"/>
  <c r="K776" i="1"/>
  <c r="L776" i="1" s="1"/>
  <c r="O776" i="1" s="1"/>
  <c r="I492" i="2"/>
  <c r="L490" i="2"/>
  <c r="Q490" i="2"/>
  <c r="K772" i="1"/>
  <c r="L772" i="1" s="1"/>
  <c r="O772" i="1" s="1"/>
  <c r="K771" i="1"/>
  <c r="L771" i="1" s="1"/>
  <c r="O771" i="1" s="1"/>
  <c r="M485" i="2"/>
  <c r="N485" i="2"/>
  <c r="Q485" i="2"/>
  <c r="H486" i="2"/>
  <c r="I486" i="2" s="1"/>
  <c r="L486" i="2" s="1"/>
  <c r="H487" i="2"/>
  <c r="K770" i="1"/>
  <c r="L770" i="1" s="1"/>
  <c r="O770" i="1" s="1"/>
  <c r="K769" i="1"/>
  <c r="L769" i="1" s="1"/>
  <c r="O769" i="1" s="1"/>
  <c r="K768" i="1"/>
  <c r="L768" i="1" s="1"/>
  <c r="K767" i="1"/>
  <c r="I489" i="2"/>
  <c r="L489" i="2" s="1"/>
  <c r="I488" i="2"/>
  <c r="K488" i="2" s="1"/>
  <c r="I484" i="2"/>
  <c r="N484" i="2" s="1"/>
  <c r="K764" i="1"/>
  <c r="L764" i="1" s="1"/>
  <c r="O764" i="1" s="1"/>
  <c r="K762" i="1"/>
  <c r="L762" i="1" s="1"/>
  <c r="M762" i="1" s="1"/>
  <c r="K766" i="1"/>
  <c r="L766" i="1" s="1"/>
  <c r="O766" i="1" s="1"/>
  <c r="H482" i="2"/>
  <c r="I482" i="2" s="1"/>
  <c r="I483" i="2"/>
  <c r="K483" i="2" s="1"/>
  <c r="I481" i="2"/>
  <c r="K759" i="1"/>
  <c r="L759" i="1" s="1"/>
  <c r="M759" i="1" s="1"/>
  <c r="K758" i="1"/>
  <c r="L758" i="1" s="1"/>
  <c r="O758" i="1" s="1"/>
  <c r="K757" i="1"/>
  <c r="L757" i="1" s="1"/>
  <c r="O757" i="1" s="1"/>
  <c r="K751" i="1"/>
  <c r="L751" i="1" s="1"/>
  <c r="O751" i="1" s="1"/>
  <c r="K750" i="1"/>
  <c r="L750" i="1" s="1"/>
  <c r="M750" i="1" s="1"/>
  <c r="K748" i="1"/>
  <c r="L748" i="1" s="1"/>
  <c r="O748" i="1" s="1"/>
  <c r="I480" i="2"/>
  <c r="Q480" i="2" s="1"/>
  <c r="Q479" i="2"/>
  <c r="N479" i="2"/>
  <c r="H478" i="2"/>
  <c r="K747" i="1"/>
  <c r="L747" i="1" s="1"/>
  <c r="O747" i="1" s="1"/>
  <c r="N473" i="2"/>
  <c r="L473" i="2"/>
  <c r="N472" i="2"/>
  <c r="O477" i="2"/>
  <c r="N470" i="2"/>
  <c r="M470" i="2"/>
  <c r="L474" i="2"/>
  <c r="I475" i="2"/>
  <c r="Q472" i="2"/>
  <c r="I476" i="2"/>
  <c r="I471" i="2"/>
  <c r="N471" i="2" s="1"/>
  <c r="L745" i="1"/>
  <c r="O745" i="1" s="1"/>
  <c r="K743" i="1"/>
  <c r="L743" i="1" s="1"/>
  <c r="O743" i="1" s="1"/>
  <c r="K742" i="1"/>
  <c r="L742" i="1" s="1"/>
  <c r="O742" i="1" s="1"/>
  <c r="K740" i="1"/>
  <c r="L740" i="1" s="1"/>
  <c r="O740" i="1" s="1"/>
  <c r="K736" i="1"/>
  <c r="L736" i="1" s="1"/>
  <c r="H462" i="2"/>
  <c r="I462" i="2" s="1"/>
  <c r="N462" i="2" s="1"/>
  <c r="H463" i="2"/>
  <c r="I464" i="2"/>
  <c r="O464" i="2" s="1"/>
  <c r="I466" i="2"/>
  <c r="Q465" i="2"/>
  <c r="I467" i="2"/>
  <c r="Q468" i="2"/>
  <c r="H469" i="2"/>
  <c r="K735" i="1"/>
  <c r="L735" i="1" s="1"/>
  <c r="O735" i="1" s="1"/>
  <c r="K734" i="1"/>
  <c r="L734" i="1" s="1"/>
  <c r="O734" i="1" s="1"/>
  <c r="H461" i="2"/>
  <c r="Q441" i="2"/>
  <c r="Q442" i="2"/>
  <c r="Q443" i="2"/>
  <c r="Q447" i="2"/>
  <c r="I446" i="2"/>
  <c r="J446" i="2" s="1"/>
  <c r="Q445" i="2"/>
  <c r="H444" i="2"/>
  <c r="I444" i="2" s="1"/>
  <c r="L444" i="2" s="1"/>
  <c r="L733" i="1"/>
  <c r="O733" i="1" s="1"/>
  <c r="I460" i="2"/>
  <c r="N460" i="2" s="1"/>
  <c r="K717" i="1"/>
  <c r="L717" i="1" s="1"/>
  <c r="M717" i="1" s="1"/>
  <c r="K716" i="1"/>
  <c r="L716" i="1" s="1"/>
  <c r="O716" i="1" s="1"/>
  <c r="K715" i="1"/>
  <c r="L715" i="1" s="1"/>
  <c r="M715" i="1" s="1"/>
  <c r="K731" i="1"/>
  <c r="L731" i="1" s="1"/>
  <c r="O731" i="1" s="1"/>
  <c r="K730" i="1"/>
  <c r="L730" i="1" s="1"/>
  <c r="O730" i="1" s="1"/>
  <c r="H454" i="2"/>
  <c r="I454" i="2" s="1"/>
  <c r="L454" i="2" s="1"/>
  <c r="H453" i="2"/>
  <c r="K729" i="1"/>
  <c r="K726" i="1"/>
  <c r="L726" i="1" s="1"/>
  <c r="H457" i="2"/>
  <c r="I457" i="2" s="1"/>
  <c r="H458" i="2"/>
  <c r="I459" i="2"/>
  <c r="K459" i="2" s="1"/>
  <c r="K727" i="1"/>
  <c r="L727" i="1" s="1"/>
  <c r="K728" i="1"/>
  <c r="L728" i="1" s="1"/>
  <c r="K725" i="1"/>
  <c r="L725" i="1" s="1"/>
  <c r="I456" i="2"/>
  <c r="H455" i="2"/>
  <c r="M451" i="2"/>
  <c r="I450" i="2"/>
  <c r="N450" i="2" s="1"/>
  <c r="I448" i="2"/>
  <c r="N448" i="2" s="1"/>
  <c r="H449" i="2"/>
  <c r="K721" i="1"/>
  <c r="L721" i="1" s="1"/>
  <c r="O721" i="1" s="1"/>
  <c r="L724" i="1"/>
  <c r="O724" i="1" s="1"/>
  <c r="N451" i="2"/>
  <c r="H452" i="2"/>
  <c r="O437" i="2"/>
  <c r="N437" i="2"/>
  <c r="H440" i="2"/>
  <c r="I436" i="2"/>
  <c r="Q436" i="2" s="1"/>
  <c r="Q437" i="2"/>
  <c r="E432" i="2"/>
  <c r="H432" i="2" s="1"/>
  <c r="I432" i="2" s="1"/>
  <c r="N432" i="2" s="1"/>
  <c r="G712" i="1"/>
  <c r="F712" i="1"/>
  <c r="H712" i="1" s="1"/>
  <c r="G711" i="1"/>
  <c r="F711" i="1"/>
  <c r="H711" i="1" s="1"/>
  <c r="G710" i="1"/>
  <c r="F710" i="1"/>
  <c r="H710" i="1" s="1"/>
  <c r="F709" i="1"/>
  <c r="H709" i="1" s="1"/>
  <c r="K709" i="1" s="1"/>
  <c r="L709" i="1" s="1"/>
  <c r="O709" i="1" s="1"/>
  <c r="G709" i="1"/>
  <c r="G708" i="1"/>
  <c r="F708" i="1"/>
  <c r="H708" i="1" s="1"/>
  <c r="F707" i="1"/>
  <c r="H707" i="1" s="1"/>
  <c r="K707" i="1" s="1"/>
  <c r="L707" i="1" s="1"/>
  <c r="O707" i="1" s="1"/>
  <c r="G707" i="1"/>
  <c r="G706" i="1"/>
  <c r="F706" i="1"/>
  <c r="H706" i="1" s="1"/>
  <c r="E439" i="2"/>
  <c r="H439" i="2" s="1"/>
  <c r="I439" i="2" s="1"/>
  <c r="E433" i="2"/>
  <c r="H433" i="2" s="1"/>
  <c r="I433" i="2" s="1"/>
  <c r="L433" i="2" s="1"/>
  <c r="E435" i="2"/>
  <c r="H435" i="2" s="1"/>
  <c r="I435" i="2" s="1"/>
  <c r="Q435" i="2" s="1"/>
  <c r="E434" i="2"/>
  <c r="H434" i="2" s="1"/>
  <c r="I434" i="2" s="1"/>
  <c r="L434" i="2" s="1"/>
  <c r="E438" i="2"/>
  <c r="D1" i="2"/>
  <c r="G705" i="1"/>
  <c r="F705" i="1"/>
  <c r="H705" i="1" s="1"/>
  <c r="E431" i="2"/>
  <c r="G704" i="1"/>
  <c r="F704" i="1"/>
  <c r="H704" i="1" s="1"/>
  <c r="G703" i="1"/>
  <c r="F703" i="1"/>
  <c r="H703" i="1" s="1"/>
  <c r="G702" i="1"/>
  <c r="F702" i="1"/>
  <c r="H702" i="1" s="1"/>
  <c r="G701" i="1"/>
  <c r="F701" i="1"/>
  <c r="H701" i="1" s="1"/>
  <c r="K701" i="1" s="1"/>
  <c r="L701" i="1" s="1"/>
  <c r="O701" i="1" s="1"/>
  <c r="G700" i="1"/>
  <c r="F700" i="1"/>
  <c r="H700" i="1" s="1"/>
  <c r="E430" i="2"/>
  <c r="E429" i="2"/>
  <c r="E428" i="2"/>
  <c r="H428" i="2" s="1"/>
  <c r="I428" i="2" s="1"/>
  <c r="E426" i="2"/>
  <c r="H426" i="2" s="1"/>
  <c r="I426" i="2" s="1"/>
  <c r="N426" i="2" s="1"/>
  <c r="E427" i="2"/>
  <c r="H427" i="2" s="1"/>
  <c r="G699" i="1"/>
  <c r="F699" i="1"/>
  <c r="H699" i="1" s="1"/>
  <c r="G698" i="1"/>
  <c r="F698" i="1"/>
  <c r="H698" i="1" s="1"/>
  <c r="G697" i="1"/>
  <c r="F697" i="1"/>
  <c r="H697" i="1" s="1"/>
  <c r="G696" i="1"/>
  <c r="F696" i="1"/>
  <c r="H696" i="1" s="1"/>
  <c r="G695" i="1"/>
  <c r="F695" i="1"/>
  <c r="H695" i="1" s="1"/>
  <c r="G694" i="1"/>
  <c r="F694" i="1"/>
  <c r="H694" i="1" s="1"/>
  <c r="G693" i="1"/>
  <c r="F693" i="1"/>
  <c r="H693" i="1" s="1"/>
  <c r="G692" i="1"/>
  <c r="F692" i="1"/>
  <c r="H692" i="1" s="1"/>
  <c r="G691" i="1"/>
  <c r="F691" i="1"/>
  <c r="H691" i="1" s="1"/>
  <c r="G690" i="1"/>
  <c r="F690" i="1"/>
  <c r="H690" i="1" s="1"/>
  <c r="E422" i="2"/>
  <c r="E423" i="2"/>
  <c r="G689" i="1"/>
  <c r="F689" i="1"/>
  <c r="H689" i="1" s="1"/>
  <c r="E424" i="2"/>
  <c r="G688" i="1"/>
  <c r="F688" i="1"/>
  <c r="H688" i="1" s="1"/>
  <c r="E421" i="2"/>
  <c r="E420" i="2"/>
  <c r="G687" i="1"/>
  <c r="F687" i="1"/>
  <c r="H687" i="1" s="1"/>
  <c r="E425" i="2"/>
  <c r="G686" i="1"/>
  <c r="F686" i="1"/>
  <c r="H686" i="1" s="1"/>
  <c r="G685" i="1"/>
  <c r="F685" i="1"/>
  <c r="H685" i="1" s="1"/>
  <c r="G684" i="1"/>
  <c r="F684" i="1"/>
  <c r="H684" i="1" s="1"/>
  <c r="G683" i="1"/>
  <c r="F683" i="1"/>
  <c r="H683" i="1" s="1"/>
  <c r="F678" i="1"/>
  <c r="H678" i="1" s="1"/>
  <c r="G678" i="1"/>
  <c r="G677" i="1"/>
  <c r="F677" i="1"/>
  <c r="H677" i="1" s="1"/>
  <c r="G676" i="1"/>
  <c r="F676" i="1"/>
  <c r="H676" i="1" s="1"/>
  <c r="G675" i="1"/>
  <c r="F675" i="1"/>
  <c r="H675" i="1" s="1"/>
  <c r="G674" i="1"/>
  <c r="F674" i="1"/>
  <c r="H674" i="1" s="1"/>
  <c r="G673" i="1"/>
  <c r="F673" i="1"/>
  <c r="H673" i="1" s="1"/>
  <c r="G672" i="1"/>
  <c r="F672" i="1"/>
  <c r="H672" i="1" s="1"/>
  <c r="E415" i="2"/>
  <c r="E412" i="2"/>
  <c r="G671" i="1"/>
  <c r="F671" i="1"/>
  <c r="H671" i="1" s="1"/>
  <c r="G670" i="1"/>
  <c r="F670" i="1"/>
  <c r="H670" i="1" s="1"/>
  <c r="E413" i="2"/>
  <c r="E414" i="2"/>
  <c r="H414" i="2" s="1"/>
  <c r="G669" i="1"/>
  <c r="F669" i="1"/>
  <c r="H669" i="1" s="1"/>
  <c r="E419" i="2"/>
  <c r="H419" i="2" s="1"/>
  <c r="E403" i="2"/>
  <c r="E416" i="2"/>
  <c r="H416" i="2" s="1"/>
  <c r="E418" i="2"/>
  <c r="E417" i="2"/>
  <c r="G682" i="1"/>
  <c r="F682" i="1"/>
  <c r="H682" i="1" s="1"/>
  <c r="G681" i="1"/>
  <c r="F681" i="1"/>
  <c r="H681" i="1" s="1"/>
  <c r="G680" i="1"/>
  <c r="F680" i="1"/>
  <c r="H680" i="1" s="1"/>
  <c r="G679" i="1"/>
  <c r="F679" i="1"/>
  <c r="H679" i="1" s="1"/>
  <c r="F652" i="1"/>
  <c r="H652" i="1" s="1"/>
  <c r="K652" i="1" s="1"/>
  <c r="L652" i="1" s="1"/>
  <c r="O652" i="1" s="1"/>
  <c r="G652" i="1"/>
  <c r="F651" i="1"/>
  <c r="H651" i="1" s="1"/>
  <c r="G651" i="1"/>
  <c r="N566" i="2" l="1"/>
  <c r="L566" i="2"/>
  <c r="Q566" i="2"/>
  <c r="N557" i="2"/>
  <c r="Q557" i="2"/>
  <c r="Q556" i="2"/>
  <c r="Q552" i="2"/>
  <c r="M544" i="2"/>
  <c r="N544" i="2"/>
  <c r="Q544" i="2"/>
  <c r="Q540" i="2"/>
  <c r="Q526" i="2"/>
  <c r="Q500" i="2"/>
  <c r="L500" i="2"/>
  <c r="Q541" i="2"/>
  <c r="L851" i="1"/>
  <c r="O851" i="1" s="1"/>
  <c r="N543" i="2"/>
  <c r="J543" i="2"/>
  <c r="Q543" i="2"/>
  <c r="N542" i="2"/>
  <c r="K542" i="2"/>
  <c r="Q542" i="2"/>
  <c r="Q536" i="2"/>
  <c r="N535" i="2"/>
  <c r="Q535" i="2"/>
  <c r="I534" i="2"/>
  <c r="I533" i="2"/>
  <c r="Q533" i="2" s="1"/>
  <c r="N538" i="2"/>
  <c r="L538" i="2"/>
  <c r="Q538" i="2"/>
  <c r="Q525" i="2"/>
  <c r="Q528" i="2"/>
  <c r="I521" i="2"/>
  <c r="Q522" i="2"/>
  <c r="I523" i="2"/>
  <c r="N523" i="2" s="1"/>
  <c r="N524" i="2"/>
  <c r="M524" i="2"/>
  <c r="Q524" i="2"/>
  <c r="Q527" i="2"/>
  <c r="N530" i="2"/>
  <c r="J530" i="2"/>
  <c r="Q530" i="2"/>
  <c r="Q531" i="2"/>
  <c r="N520" i="2"/>
  <c r="K520" i="2"/>
  <c r="Q520" i="2"/>
  <c r="I519" i="2"/>
  <c r="Q518" i="2"/>
  <c r="I517" i="2"/>
  <c r="L517" i="2" s="1"/>
  <c r="I515" i="2"/>
  <c r="I514" i="2"/>
  <c r="L514" i="2" s="1"/>
  <c r="I512" i="2"/>
  <c r="N512" i="2" s="1"/>
  <c r="I513" i="2"/>
  <c r="Q509" i="2"/>
  <c r="Q510" i="2"/>
  <c r="Q511" i="2"/>
  <c r="Q516" i="2"/>
  <c r="N508" i="2"/>
  <c r="K508" i="2"/>
  <c r="Q508" i="2"/>
  <c r="M503" i="2"/>
  <c r="N503" i="2"/>
  <c r="L503" i="2"/>
  <c r="Q503" i="2"/>
  <c r="I505" i="2"/>
  <c r="Q504" i="2"/>
  <c r="R808" i="1"/>
  <c r="I507" i="2"/>
  <c r="K507" i="2" s="1"/>
  <c r="I506" i="2"/>
  <c r="Q506" i="2" s="1"/>
  <c r="L805" i="1"/>
  <c r="O805" i="1" s="1"/>
  <c r="L804" i="1"/>
  <c r="Q501" i="2"/>
  <c r="I502" i="2"/>
  <c r="K502" i="2" s="1"/>
  <c r="Q499" i="2"/>
  <c r="Q494" i="2"/>
  <c r="I496" i="2"/>
  <c r="Q495" i="2"/>
  <c r="L492" i="2"/>
  <c r="N492" i="2"/>
  <c r="Q492" i="2"/>
  <c r="Q491" i="2"/>
  <c r="O775" i="1"/>
  <c r="M775" i="1"/>
  <c r="Q486" i="2"/>
  <c r="I487" i="2"/>
  <c r="L487" i="2" s="1"/>
  <c r="M768" i="1"/>
  <c r="Q768" i="1"/>
  <c r="R768" i="1"/>
  <c r="L767" i="1"/>
  <c r="N489" i="2"/>
  <c r="Q489" i="2"/>
  <c r="N488" i="2"/>
  <c r="Q488" i="2"/>
  <c r="Q484" i="2"/>
  <c r="Q482" i="2"/>
  <c r="L482" i="2"/>
  <c r="Q483" i="2"/>
  <c r="N481" i="2"/>
  <c r="M481" i="2"/>
  <c r="Q481" i="2"/>
  <c r="K480" i="2"/>
  <c r="N480" i="2"/>
  <c r="I478" i="2"/>
  <c r="Q476" i="2"/>
  <c r="M476" i="2"/>
  <c r="Q471" i="2"/>
  <c r="L471" i="2"/>
  <c r="Q475" i="2"/>
  <c r="L475" i="2"/>
  <c r="Q736" i="1"/>
  <c r="O736" i="1"/>
  <c r="M736" i="1"/>
  <c r="L462" i="2"/>
  <c r="Q462" i="2"/>
  <c r="I463" i="2"/>
  <c r="N464" i="2"/>
  <c r="M464" i="2"/>
  <c r="Q464" i="2"/>
  <c r="N466" i="2"/>
  <c r="M466" i="2"/>
  <c r="Q466" i="2"/>
  <c r="N467" i="2"/>
  <c r="L467" i="2"/>
  <c r="Q467" i="2"/>
  <c r="I469" i="2"/>
  <c r="K469" i="2" s="1"/>
  <c r="I461" i="2"/>
  <c r="K461" i="2" s="1"/>
  <c r="I452" i="2"/>
  <c r="Q452" i="2" s="1"/>
  <c r="Q446" i="2"/>
  <c r="Q444" i="2"/>
  <c r="Q460" i="2"/>
  <c r="Q454" i="2"/>
  <c r="I453" i="2"/>
  <c r="L453" i="2" s="1"/>
  <c r="L729" i="1"/>
  <c r="O729" i="1" s="1"/>
  <c r="Q726" i="1"/>
  <c r="O726" i="1"/>
  <c r="N457" i="2"/>
  <c r="L457" i="2"/>
  <c r="Q457" i="2"/>
  <c r="Q459" i="2"/>
  <c r="I458" i="2"/>
  <c r="J458" i="2" s="1"/>
  <c r="Q728" i="1"/>
  <c r="M728" i="1"/>
  <c r="Q727" i="1"/>
  <c r="O727" i="1"/>
  <c r="R728" i="1"/>
  <c r="R727" i="1"/>
  <c r="Q725" i="1"/>
  <c r="O725" i="1"/>
  <c r="M725" i="1"/>
  <c r="N456" i="2"/>
  <c r="M456" i="2"/>
  <c r="Q456" i="2"/>
  <c r="I455" i="2"/>
  <c r="N455" i="2" s="1"/>
  <c r="Q450" i="2"/>
  <c r="Q448" i="2"/>
  <c r="I449" i="2"/>
  <c r="I440" i="2"/>
  <c r="K440" i="2" s="1"/>
  <c r="N436" i="2"/>
  <c r="M436" i="2"/>
  <c r="Q432" i="2"/>
  <c r="M432" i="2"/>
  <c r="K712" i="1"/>
  <c r="L712" i="1" s="1"/>
  <c r="O712" i="1" s="1"/>
  <c r="K710" i="1"/>
  <c r="L710" i="1" s="1"/>
  <c r="O710" i="1" s="1"/>
  <c r="K711" i="1"/>
  <c r="L711" i="1" s="1"/>
  <c r="O711" i="1" s="1"/>
  <c r="K706" i="1"/>
  <c r="L706" i="1" s="1"/>
  <c r="M706" i="1" s="1"/>
  <c r="K708" i="1"/>
  <c r="L708" i="1" s="1"/>
  <c r="O708" i="1" s="1"/>
  <c r="N439" i="2"/>
  <c r="Q439" i="2"/>
  <c r="Q434" i="2"/>
  <c r="Q433" i="2"/>
  <c r="L435" i="2"/>
  <c r="H438" i="2"/>
  <c r="H429" i="2"/>
  <c r="I429" i="2" s="1"/>
  <c r="N429" i="2" s="1"/>
  <c r="K705" i="1"/>
  <c r="L705" i="1" s="1"/>
  <c r="O705" i="1" s="1"/>
  <c r="H431" i="2"/>
  <c r="I431" i="2" s="1"/>
  <c r="K704" i="1"/>
  <c r="L704" i="1" s="1"/>
  <c r="O704" i="1" s="1"/>
  <c r="K703" i="1"/>
  <c r="L703" i="1" s="1"/>
  <c r="O703" i="1" s="1"/>
  <c r="K702" i="1"/>
  <c r="L702" i="1" s="1"/>
  <c r="O702" i="1" s="1"/>
  <c r="K700" i="1"/>
  <c r="L700" i="1" s="1"/>
  <c r="O700" i="1" s="1"/>
  <c r="H430" i="2"/>
  <c r="I430" i="2" s="1"/>
  <c r="J428" i="2"/>
  <c r="Q428" i="2"/>
  <c r="M426" i="2"/>
  <c r="I427" i="2"/>
  <c r="Q426" i="2"/>
  <c r="K699" i="1"/>
  <c r="L699" i="1" s="1"/>
  <c r="M699" i="1" s="1"/>
  <c r="K698" i="1"/>
  <c r="L698" i="1" s="1"/>
  <c r="O698" i="1" s="1"/>
  <c r="K697" i="1"/>
  <c r="L697" i="1" s="1"/>
  <c r="O697" i="1" s="1"/>
  <c r="K696" i="1"/>
  <c r="L696" i="1" s="1"/>
  <c r="O696" i="1" s="1"/>
  <c r="K695" i="1"/>
  <c r="L695" i="1" s="1"/>
  <c r="O695" i="1" s="1"/>
  <c r="K694" i="1"/>
  <c r="L694" i="1" s="1"/>
  <c r="K693" i="1"/>
  <c r="L693" i="1" s="1"/>
  <c r="K692" i="1"/>
  <c r="K691" i="1"/>
  <c r="L691" i="1" s="1"/>
  <c r="Q691" i="1" s="1"/>
  <c r="K690" i="1"/>
  <c r="L690" i="1" s="1"/>
  <c r="H422" i="2"/>
  <c r="I422" i="2" s="1"/>
  <c r="M422" i="2" s="1"/>
  <c r="H423" i="2"/>
  <c r="I423" i="2" s="1"/>
  <c r="K689" i="1"/>
  <c r="L689" i="1" s="1"/>
  <c r="M689" i="1" s="1"/>
  <c r="H424" i="2"/>
  <c r="K688" i="1"/>
  <c r="L688" i="1" s="1"/>
  <c r="O688" i="1" s="1"/>
  <c r="H421" i="2"/>
  <c r="H420" i="2"/>
  <c r="K687" i="1"/>
  <c r="L687" i="1" s="1"/>
  <c r="M687" i="1" s="1"/>
  <c r="H425" i="2"/>
  <c r="I425" i="2" s="1"/>
  <c r="K686" i="1"/>
  <c r="L686" i="1" s="1"/>
  <c r="O686" i="1" s="1"/>
  <c r="K685" i="1"/>
  <c r="L685" i="1" s="1"/>
  <c r="O685" i="1" s="1"/>
  <c r="K684" i="1"/>
  <c r="L684" i="1" s="1"/>
  <c r="K683" i="1"/>
  <c r="L683" i="1" s="1"/>
  <c r="O683" i="1" s="1"/>
  <c r="K678" i="1"/>
  <c r="K677" i="1"/>
  <c r="K676" i="1"/>
  <c r="L676" i="1" s="1"/>
  <c r="O676" i="1" s="1"/>
  <c r="K675" i="1"/>
  <c r="L675" i="1" s="1"/>
  <c r="K674" i="1"/>
  <c r="L674" i="1" s="1"/>
  <c r="O674" i="1" s="1"/>
  <c r="K673" i="1"/>
  <c r="L673" i="1" s="1"/>
  <c r="M673" i="1" s="1"/>
  <c r="K672" i="1"/>
  <c r="H415" i="2"/>
  <c r="I415" i="2" s="1"/>
  <c r="H412" i="2"/>
  <c r="I412" i="2" s="1"/>
  <c r="K671" i="1"/>
  <c r="L671" i="1" s="1"/>
  <c r="O671" i="1" s="1"/>
  <c r="K670" i="1"/>
  <c r="L670" i="1" s="1"/>
  <c r="O670" i="1" s="1"/>
  <c r="H413" i="2"/>
  <c r="I413" i="2" s="1"/>
  <c r="L413" i="2" s="1"/>
  <c r="I414" i="2"/>
  <c r="L414" i="2" s="1"/>
  <c r="I419" i="2"/>
  <c r="H403" i="2"/>
  <c r="I403" i="2" s="1"/>
  <c r="L403" i="2" s="1"/>
  <c r="K669" i="1"/>
  <c r="L669" i="1" s="1"/>
  <c r="O669" i="1" s="1"/>
  <c r="I416" i="2"/>
  <c r="Q416" i="2" s="1"/>
  <c r="H418" i="2"/>
  <c r="H417" i="2"/>
  <c r="I417" i="2" s="1"/>
  <c r="K682" i="1"/>
  <c r="L682" i="1" s="1"/>
  <c r="O682" i="1" s="1"/>
  <c r="K681" i="1"/>
  <c r="L681" i="1" s="1"/>
  <c r="O681" i="1" s="1"/>
  <c r="K680" i="1"/>
  <c r="L680" i="1" s="1"/>
  <c r="O680" i="1" s="1"/>
  <c r="K679" i="1"/>
  <c r="L679" i="1" s="1"/>
  <c r="O679" i="1" s="1"/>
  <c r="K651" i="1"/>
  <c r="L651" i="1" s="1"/>
  <c r="O651" i="1" s="1"/>
  <c r="E411" i="2"/>
  <c r="G668" i="1"/>
  <c r="F668" i="1"/>
  <c r="H668" i="1" s="1"/>
  <c r="F667" i="1"/>
  <c r="H667" i="1" s="1"/>
  <c r="G667" i="1"/>
  <c r="F666" i="1"/>
  <c r="H666" i="1" s="1"/>
  <c r="K666" i="1" s="1"/>
  <c r="L666" i="1" s="1"/>
  <c r="O666" i="1" s="1"/>
  <c r="G666" i="1"/>
  <c r="F665" i="1"/>
  <c r="H665" i="1" s="1"/>
  <c r="K665" i="1" s="1"/>
  <c r="L665" i="1" s="1"/>
  <c r="O665" i="1" s="1"/>
  <c r="G665" i="1"/>
  <c r="F664" i="1"/>
  <c r="H664" i="1" s="1"/>
  <c r="G664" i="1"/>
  <c r="E410" i="2"/>
  <c r="H410" i="2" s="1"/>
  <c r="I410" i="2" s="1"/>
  <c r="Q410" i="2" s="1"/>
  <c r="E407" i="2"/>
  <c r="H407" i="2" s="1"/>
  <c r="I407" i="2" s="1"/>
  <c r="E408" i="2"/>
  <c r="E409" i="2"/>
  <c r="H409" i="2" s="1"/>
  <c r="G660" i="1"/>
  <c r="F663" i="1"/>
  <c r="H663" i="1" s="1"/>
  <c r="K663" i="1" s="1"/>
  <c r="L663" i="1" s="1"/>
  <c r="O663" i="1" s="1"/>
  <c r="G663" i="1"/>
  <c r="G662" i="1"/>
  <c r="F662" i="1"/>
  <c r="H662" i="1" s="1"/>
  <c r="K662" i="1" s="1"/>
  <c r="L662" i="1" s="1"/>
  <c r="O662" i="1" s="1"/>
  <c r="G661" i="1"/>
  <c r="F661" i="1"/>
  <c r="H661" i="1" s="1"/>
  <c r="E6" i="11"/>
  <c r="H6" i="11" s="1"/>
  <c r="G658" i="1"/>
  <c r="G656" i="1"/>
  <c r="F656" i="1"/>
  <c r="H656" i="1" s="1"/>
  <c r="G654" i="1"/>
  <c r="F654" i="1"/>
  <c r="H654" i="1" s="1"/>
  <c r="K654" i="1" s="1"/>
  <c r="F660" i="1"/>
  <c r="H660" i="1" s="1"/>
  <c r="G659" i="1"/>
  <c r="F659" i="1"/>
  <c r="H659" i="1" s="1"/>
  <c r="F658" i="1"/>
  <c r="H658" i="1" s="1"/>
  <c r="G657" i="1"/>
  <c r="F657" i="1"/>
  <c r="H657" i="1" s="1"/>
  <c r="E404" i="2"/>
  <c r="G655" i="1"/>
  <c r="F655" i="1"/>
  <c r="H655" i="1" s="1"/>
  <c r="E406" i="2"/>
  <c r="E405" i="2"/>
  <c r="G653" i="1"/>
  <c r="F653" i="1"/>
  <c r="H653" i="1" s="1"/>
  <c r="E400" i="2"/>
  <c r="E397" i="2"/>
  <c r="H397" i="2" s="1"/>
  <c r="G650" i="1"/>
  <c r="F650" i="1"/>
  <c r="H650" i="1" s="1"/>
  <c r="K650" i="1" s="1"/>
  <c r="L650" i="1" s="1"/>
  <c r="O650" i="1" s="1"/>
  <c r="G645" i="1"/>
  <c r="F645" i="1"/>
  <c r="H645" i="1" s="1"/>
  <c r="G644" i="1"/>
  <c r="F644" i="1"/>
  <c r="H644" i="1" s="1"/>
  <c r="F643" i="1"/>
  <c r="H643" i="1" s="1"/>
  <c r="G649" i="1"/>
  <c r="F649" i="1"/>
  <c r="H649" i="1" s="1"/>
  <c r="E398" i="2"/>
  <c r="G648" i="1"/>
  <c r="F648" i="1"/>
  <c r="H648" i="1" s="1"/>
  <c r="G647" i="1"/>
  <c r="F647" i="1"/>
  <c r="H647" i="1" s="1"/>
  <c r="E401" i="2"/>
  <c r="E402" i="2"/>
  <c r="E399" i="2"/>
  <c r="G646" i="1"/>
  <c r="F646" i="1"/>
  <c r="H646" i="1" s="1"/>
  <c r="E395" i="2"/>
  <c r="E396" i="2"/>
  <c r="G643" i="1"/>
  <c r="G642" i="1"/>
  <c r="F642" i="1"/>
  <c r="H642" i="1" s="1"/>
  <c r="G641" i="1"/>
  <c r="F641" i="1"/>
  <c r="H641" i="1" s="1"/>
  <c r="G640" i="1"/>
  <c r="F640" i="1"/>
  <c r="H640" i="1" s="1"/>
  <c r="G639" i="1"/>
  <c r="F639" i="1"/>
  <c r="H639" i="1" s="1"/>
  <c r="G638" i="1"/>
  <c r="F638" i="1"/>
  <c r="H638" i="1" s="1"/>
  <c r="E393" i="2"/>
  <c r="E394" i="2"/>
  <c r="E390" i="2"/>
  <c r="E391" i="2"/>
  <c r="E392" i="2"/>
  <c r="G637" i="1"/>
  <c r="F637" i="1"/>
  <c r="H637" i="1" s="1"/>
  <c r="G636" i="1"/>
  <c r="F636" i="1"/>
  <c r="H636" i="1" s="1"/>
  <c r="E387" i="2"/>
  <c r="H387" i="2" s="1"/>
  <c r="I387" i="2" s="1"/>
  <c r="L387" i="2" s="1"/>
  <c r="E388" i="2"/>
  <c r="E389" i="2"/>
  <c r="H389" i="2" s="1"/>
  <c r="F635" i="1"/>
  <c r="H635" i="1" s="1"/>
  <c r="K635" i="1" s="1"/>
  <c r="L635" i="1" s="1"/>
  <c r="O635" i="1" s="1"/>
  <c r="G635" i="1"/>
  <c r="F634" i="1"/>
  <c r="H634" i="1" s="1"/>
  <c r="G634" i="1"/>
  <c r="G633" i="1"/>
  <c r="F633" i="1"/>
  <c r="H633" i="1" s="1"/>
  <c r="K633" i="1" s="1"/>
  <c r="L633" i="1" s="1"/>
  <c r="O633" i="1" s="1"/>
  <c r="F632" i="1"/>
  <c r="H632" i="1" s="1"/>
  <c r="G632" i="1"/>
  <c r="G631" i="1"/>
  <c r="F631" i="1"/>
  <c r="H631" i="1" s="1"/>
  <c r="G630" i="1"/>
  <c r="G629" i="1"/>
  <c r="F630" i="1"/>
  <c r="H630" i="1" s="1"/>
  <c r="F629" i="1"/>
  <c r="H629" i="1" s="1"/>
  <c r="G628" i="1"/>
  <c r="F628" i="1"/>
  <c r="H628" i="1" s="1"/>
  <c r="K628" i="1" s="1"/>
  <c r="L628" i="1" s="1"/>
  <c r="O628" i="1" s="1"/>
  <c r="E385" i="2"/>
  <c r="H385" i="2" s="1"/>
  <c r="I385" i="2" s="1"/>
  <c r="E380" i="2"/>
  <c r="H380" i="2" s="1"/>
  <c r="I380" i="2" s="1"/>
  <c r="Q380" i="2" s="1"/>
  <c r="E382" i="2"/>
  <c r="H382" i="2" s="1"/>
  <c r="I382" i="2" s="1"/>
  <c r="Q382" i="2" s="1"/>
  <c r="E383" i="2"/>
  <c r="H383" i="2" s="1"/>
  <c r="I383" i="2" s="1"/>
  <c r="L383" i="2" s="1"/>
  <c r="E381" i="2"/>
  <c r="H381" i="2" s="1"/>
  <c r="I381" i="2" s="1"/>
  <c r="E386" i="2"/>
  <c r="E384" i="2"/>
  <c r="H384" i="2" s="1"/>
  <c r="G627" i="1"/>
  <c r="F627" i="1"/>
  <c r="H627" i="1" s="1"/>
  <c r="K627" i="1" s="1"/>
  <c r="L627" i="1" s="1"/>
  <c r="O627" i="1" s="1"/>
  <c r="G626" i="1"/>
  <c r="F626" i="1"/>
  <c r="H626" i="1" s="1"/>
  <c r="K626" i="1" s="1"/>
  <c r="L626" i="1" s="1"/>
  <c r="O626" i="1" s="1"/>
  <c r="G625" i="1"/>
  <c r="F625" i="1"/>
  <c r="H625" i="1" s="1"/>
  <c r="G624" i="1"/>
  <c r="F624" i="1"/>
  <c r="H624" i="1" s="1"/>
  <c r="K624" i="1" s="1"/>
  <c r="L624" i="1" s="1"/>
  <c r="O624" i="1" s="1"/>
  <c r="G623" i="1"/>
  <c r="F623" i="1"/>
  <c r="H623" i="1" s="1"/>
  <c r="G622" i="1"/>
  <c r="F622" i="1"/>
  <c r="H622" i="1" s="1"/>
  <c r="G621" i="1"/>
  <c r="F621" i="1"/>
  <c r="H621" i="1" s="1"/>
  <c r="K621" i="1" s="1"/>
  <c r="L621" i="1" s="1"/>
  <c r="O621" i="1" s="1"/>
  <c r="G620" i="1"/>
  <c r="F620" i="1"/>
  <c r="H620" i="1" s="1"/>
  <c r="G619" i="1"/>
  <c r="F619" i="1"/>
  <c r="H619" i="1" s="1"/>
  <c r="F618" i="1"/>
  <c r="H618" i="1" s="1"/>
  <c r="K618" i="1" s="1"/>
  <c r="L618" i="1" s="1"/>
  <c r="O618" i="1" s="1"/>
  <c r="G618" i="1"/>
  <c r="G617" i="1"/>
  <c r="F617" i="1"/>
  <c r="H617" i="1" s="1"/>
  <c r="K617" i="1" s="1"/>
  <c r="G616" i="1"/>
  <c r="F616" i="1"/>
  <c r="H616" i="1" s="1"/>
  <c r="G615" i="1"/>
  <c r="F615" i="1"/>
  <c r="H615" i="1" s="1"/>
  <c r="E376" i="2"/>
  <c r="G614" i="1"/>
  <c r="F614" i="1"/>
  <c r="H614" i="1" s="1"/>
  <c r="G613" i="1"/>
  <c r="F613" i="1"/>
  <c r="H613" i="1" s="1"/>
  <c r="G612" i="1"/>
  <c r="F612" i="1"/>
  <c r="H612" i="1" s="1"/>
  <c r="G611" i="1"/>
  <c r="F611" i="1"/>
  <c r="H611" i="1" s="1"/>
  <c r="K611" i="1" s="1"/>
  <c r="G610" i="1"/>
  <c r="F610" i="1"/>
  <c r="H610" i="1" s="1"/>
  <c r="G609" i="1"/>
  <c r="F609" i="1"/>
  <c r="H609" i="1" s="1"/>
  <c r="G608" i="1"/>
  <c r="F608" i="1"/>
  <c r="H608" i="1" s="1"/>
  <c r="G607" i="1"/>
  <c r="F607" i="1"/>
  <c r="H607" i="1" s="1"/>
  <c r="E375" i="2"/>
  <c r="E377" i="2"/>
  <c r="E378" i="2"/>
  <c r="E379" i="2"/>
  <c r="H379" i="2" s="1"/>
  <c r="E371" i="2"/>
  <c r="G606" i="1"/>
  <c r="F606" i="1"/>
  <c r="H606" i="1" s="1"/>
  <c r="G603" i="1"/>
  <c r="F603" i="1"/>
  <c r="H603" i="1" s="1"/>
  <c r="G600" i="1"/>
  <c r="F600" i="1"/>
  <c r="H600" i="1" s="1"/>
  <c r="G599" i="1"/>
  <c r="F599" i="1"/>
  <c r="H599" i="1" s="1"/>
  <c r="E374" i="2"/>
  <c r="H374" i="2" s="1"/>
  <c r="E372" i="2"/>
  <c r="E373" i="2"/>
  <c r="H373" i="2" s="1"/>
  <c r="G605" i="1"/>
  <c r="F605" i="1"/>
  <c r="H605" i="1" s="1"/>
  <c r="G604" i="1"/>
  <c r="F604" i="1"/>
  <c r="H604" i="1" s="1"/>
  <c r="G602" i="1"/>
  <c r="F602" i="1"/>
  <c r="H602" i="1" s="1"/>
  <c r="G601" i="1"/>
  <c r="F601" i="1"/>
  <c r="H601" i="1" s="1"/>
  <c r="G598" i="1"/>
  <c r="F598" i="1"/>
  <c r="H598" i="1" s="1"/>
  <c r="E370" i="2"/>
  <c r="H370" i="2" s="1"/>
  <c r="G597" i="1"/>
  <c r="F597" i="1"/>
  <c r="H597" i="1" s="1"/>
  <c r="G596" i="1"/>
  <c r="F596" i="1"/>
  <c r="H596" i="1" s="1"/>
  <c r="G595" i="1"/>
  <c r="F595" i="1"/>
  <c r="H595" i="1" s="1"/>
  <c r="E5" i="11"/>
  <c r="H5" i="11" s="1"/>
  <c r="G594" i="1"/>
  <c r="F594" i="1"/>
  <c r="H594" i="1" s="1"/>
  <c r="G593" i="1"/>
  <c r="F593" i="1"/>
  <c r="H593" i="1" s="1"/>
  <c r="G592" i="1"/>
  <c r="F592" i="1"/>
  <c r="H592" i="1" s="1"/>
  <c r="G584" i="1"/>
  <c r="F584" i="1"/>
  <c r="H584" i="1" s="1"/>
  <c r="F586" i="1"/>
  <c r="H586" i="1" s="1"/>
  <c r="G586" i="1"/>
  <c r="G585" i="1"/>
  <c r="F585" i="1"/>
  <c r="H585" i="1" s="1"/>
  <c r="R851" i="1" l="1"/>
  <c r="I6" i="11"/>
  <c r="Q6" i="11" s="1"/>
  <c r="N533" i="2"/>
  <c r="L533" i="2"/>
  <c r="N534" i="2"/>
  <c r="M534" i="2"/>
  <c r="Q534" i="2"/>
  <c r="N521" i="2"/>
  <c r="M521" i="2"/>
  <c r="Q521" i="2"/>
  <c r="Q523" i="2"/>
  <c r="N519" i="2"/>
  <c r="K519" i="2"/>
  <c r="Q519" i="2"/>
  <c r="Q517" i="2"/>
  <c r="N515" i="2"/>
  <c r="K515" i="2"/>
  <c r="Q515" i="2"/>
  <c r="Q514" i="2"/>
  <c r="Q512" i="2"/>
  <c r="N513" i="2"/>
  <c r="L513" i="2"/>
  <c r="Q513" i="2"/>
  <c r="N505" i="2"/>
  <c r="M505" i="2"/>
  <c r="Q505" i="2"/>
  <c r="Q507" i="2"/>
  <c r="N506" i="2"/>
  <c r="K506" i="2"/>
  <c r="Q805" i="1"/>
  <c r="M805" i="1"/>
  <c r="R805" i="1"/>
  <c r="Q804" i="1"/>
  <c r="O804" i="1"/>
  <c r="R804" i="1"/>
  <c r="Q502" i="2"/>
  <c r="J6" i="11"/>
  <c r="N6" i="11"/>
  <c r="L6" i="11"/>
  <c r="Q496" i="2"/>
  <c r="M496" i="2"/>
  <c r="Q487" i="2"/>
  <c r="Q767" i="1"/>
  <c r="O767" i="1"/>
  <c r="R767" i="1"/>
  <c r="M478" i="2"/>
  <c r="N478" i="2"/>
  <c r="Q478" i="2"/>
  <c r="Q440" i="2"/>
  <c r="N452" i="2"/>
  <c r="L452" i="2"/>
  <c r="N463" i="2"/>
  <c r="M463" i="2"/>
  <c r="Q463" i="2"/>
  <c r="Q469" i="2"/>
  <c r="Q461" i="2"/>
  <c r="Q453" i="2"/>
  <c r="R729" i="1"/>
  <c r="Q458" i="2"/>
  <c r="Q455" i="2"/>
  <c r="N449" i="2"/>
  <c r="M449" i="2"/>
  <c r="Q449" i="2"/>
  <c r="I438" i="2"/>
  <c r="M438" i="2" s="1"/>
  <c r="M429" i="2"/>
  <c r="Q429" i="2"/>
  <c r="Q431" i="2"/>
  <c r="N431" i="2"/>
  <c r="K431" i="2"/>
  <c r="R702" i="1"/>
  <c r="N430" i="2"/>
  <c r="Q430" i="2"/>
  <c r="N427" i="2"/>
  <c r="L427" i="2"/>
  <c r="Q427" i="2"/>
  <c r="Q694" i="1"/>
  <c r="M694" i="1"/>
  <c r="R694" i="1"/>
  <c r="Q693" i="1"/>
  <c r="O693" i="1"/>
  <c r="R693" i="1"/>
  <c r="O690" i="1"/>
  <c r="Q690" i="1"/>
  <c r="L692" i="1"/>
  <c r="R692" i="1" s="1"/>
  <c r="O691" i="1"/>
  <c r="M691" i="1"/>
  <c r="N422" i="2"/>
  <c r="Q422" i="2"/>
  <c r="N423" i="2"/>
  <c r="L423" i="2"/>
  <c r="Q423" i="2"/>
  <c r="I424" i="2"/>
  <c r="I421" i="2"/>
  <c r="I420" i="2"/>
  <c r="R687" i="1"/>
  <c r="N425" i="2"/>
  <c r="L425" i="2"/>
  <c r="Q425" i="2"/>
  <c r="Q684" i="1"/>
  <c r="O684" i="1"/>
  <c r="M684" i="1"/>
  <c r="N412" i="2"/>
  <c r="M412" i="2"/>
  <c r="Q412" i="2"/>
  <c r="L678" i="1"/>
  <c r="M678" i="1" s="1"/>
  <c r="L677" i="1"/>
  <c r="O675" i="1"/>
  <c r="M675" i="1"/>
  <c r="R673" i="1"/>
  <c r="L672" i="1"/>
  <c r="O672" i="1" s="1"/>
  <c r="N415" i="2"/>
  <c r="L415" i="2"/>
  <c r="Q415" i="2"/>
  <c r="Q413" i="2"/>
  <c r="Q414" i="2"/>
  <c r="I418" i="2"/>
  <c r="N419" i="2"/>
  <c r="K419" i="2"/>
  <c r="N417" i="2"/>
  <c r="M417" i="2"/>
  <c r="Q419" i="2"/>
  <c r="M416" i="2"/>
  <c r="N416" i="2"/>
  <c r="Q417" i="2"/>
  <c r="K668" i="1"/>
  <c r="L668" i="1" s="1"/>
  <c r="O668" i="1" s="1"/>
  <c r="K664" i="1"/>
  <c r="L664" i="1" s="1"/>
  <c r="O664" i="1" s="1"/>
  <c r="K667" i="1"/>
  <c r="L667" i="1" s="1"/>
  <c r="O667" i="1" s="1"/>
  <c r="H411" i="2"/>
  <c r="I411" i="2" s="1"/>
  <c r="O410" i="2"/>
  <c r="H408" i="2"/>
  <c r="I408" i="2" s="1"/>
  <c r="N407" i="2"/>
  <c r="Q407" i="2"/>
  <c r="I409" i="2"/>
  <c r="N410" i="2"/>
  <c r="K661" i="1"/>
  <c r="L661" i="1" s="1"/>
  <c r="L656" i="1"/>
  <c r="O656" i="1" s="1"/>
  <c r="K656" i="1"/>
  <c r="L654" i="1"/>
  <c r="K660" i="1"/>
  <c r="L660" i="1" s="1"/>
  <c r="O660" i="1" s="1"/>
  <c r="K659" i="1"/>
  <c r="L659" i="1" s="1"/>
  <c r="O659" i="1" s="1"/>
  <c r="K658" i="1"/>
  <c r="L658" i="1" s="1"/>
  <c r="O658" i="1" s="1"/>
  <c r="K657" i="1"/>
  <c r="L657" i="1" s="1"/>
  <c r="H404" i="2"/>
  <c r="K655" i="1"/>
  <c r="L655" i="1" s="1"/>
  <c r="O655" i="1" s="1"/>
  <c r="H406" i="2"/>
  <c r="I406" i="2" s="1"/>
  <c r="H405" i="2"/>
  <c r="H400" i="2"/>
  <c r="K653" i="1"/>
  <c r="I397" i="2"/>
  <c r="N397" i="2" s="1"/>
  <c r="K645" i="1"/>
  <c r="L645" i="1" s="1"/>
  <c r="O645" i="1" s="1"/>
  <c r="K649" i="1"/>
  <c r="L649" i="1" s="1"/>
  <c r="O649" i="1" s="1"/>
  <c r="H398" i="2"/>
  <c r="K648" i="1"/>
  <c r="L648" i="1" s="1"/>
  <c r="O648" i="1" s="1"/>
  <c r="K647" i="1"/>
  <c r="L647" i="1" s="1"/>
  <c r="O647" i="1" s="1"/>
  <c r="H401" i="2"/>
  <c r="I401" i="2" s="1"/>
  <c r="H402" i="2"/>
  <c r="I402" i="2" s="1"/>
  <c r="H399" i="2"/>
  <c r="K646" i="1"/>
  <c r="L646" i="1" s="1"/>
  <c r="O646" i="1" s="1"/>
  <c r="K644" i="1"/>
  <c r="L644" i="1" s="1"/>
  <c r="O644" i="1" s="1"/>
  <c r="H395" i="2"/>
  <c r="I395" i="2" s="1"/>
  <c r="H396" i="2"/>
  <c r="K643" i="1"/>
  <c r="L643" i="1" s="1"/>
  <c r="O643" i="1" s="1"/>
  <c r="K642" i="1"/>
  <c r="L642" i="1" s="1"/>
  <c r="O642" i="1" s="1"/>
  <c r="K641" i="1"/>
  <c r="L641" i="1" s="1"/>
  <c r="O641" i="1" s="1"/>
  <c r="K640" i="1"/>
  <c r="L640" i="1" s="1"/>
  <c r="O640" i="1" s="1"/>
  <c r="K639" i="1"/>
  <c r="K638" i="1"/>
  <c r="L638" i="1" s="1"/>
  <c r="H393" i="2"/>
  <c r="I393" i="2" s="1"/>
  <c r="H394" i="2"/>
  <c r="I394" i="2" s="1"/>
  <c r="H390" i="2"/>
  <c r="I390" i="2" s="1"/>
  <c r="N390" i="2" s="1"/>
  <c r="H391" i="2"/>
  <c r="I391" i="2" s="1"/>
  <c r="H392" i="2"/>
  <c r="I392" i="2" s="1"/>
  <c r="I389" i="2"/>
  <c r="J389" i="2" s="1"/>
  <c r="H388" i="2"/>
  <c r="K637" i="1"/>
  <c r="L637" i="1" s="1"/>
  <c r="K636" i="1"/>
  <c r="L636" i="1" s="1"/>
  <c r="M636" i="1" s="1"/>
  <c r="K634" i="1"/>
  <c r="L634" i="1" s="1"/>
  <c r="O634" i="1" s="1"/>
  <c r="Q387" i="2"/>
  <c r="K632" i="1"/>
  <c r="L632" i="1" s="1"/>
  <c r="O632" i="1" s="1"/>
  <c r="K631" i="1"/>
  <c r="L631" i="1" s="1"/>
  <c r="O631" i="1" s="1"/>
  <c r="K630" i="1"/>
  <c r="L630" i="1" s="1"/>
  <c r="K629" i="1"/>
  <c r="L629" i="1" s="1"/>
  <c r="Q385" i="2"/>
  <c r="J385" i="2"/>
  <c r="N382" i="2"/>
  <c r="N383" i="2"/>
  <c r="M382" i="2"/>
  <c r="O380" i="2"/>
  <c r="Q383" i="2"/>
  <c r="L381" i="2"/>
  <c r="Q381" i="2"/>
  <c r="H386" i="2"/>
  <c r="I384" i="2"/>
  <c r="K384" i="2" s="1"/>
  <c r="K619" i="1"/>
  <c r="L619" i="1" s="1"/>
  <c r="O619" i="1" s="1"/>
  <c r="K620" i="1"/>
  <c r="L620" i="1" s="1"/>
  <c r="O620" i="1" s="1"/>
  <c r="K615" i="1"/>
  <c r="L615" i="1" s="1"/>
  <c r="K622" i="1"/>
  <c r="L622" i="1" s="1"/>
  <c r="O622" i="1" s="1"/>
  <c r="K625" i="1"/>
  <c r="L625" i="1" s="1"/>
  <c r="O625" i="1" s="1"/>
  <c r="K616" i="1"/>
  <c r="L616" i="1" s="1"/>
  <c r="K623" i="1"/>
  <c r="L623" i="1" s="1"/>
  <c r="O623" i="1" s="1"/>
  <c r="L617" i="1"/>
  <c r="Q617" i="1" s="1"/>
  <c r="K607" i="1"/>
  <c r="L607" i="1" s="1"/>
  <c r="M607" i="1" s="1"/>
  <c r="K614" i="1"/>
  <c r="L614" i="1" s="1"/>
  <c r="O614" i="1" s="1"/>
  <c r="K610" i="1"/>
  <c r="L610" i="1" s="1"/>
  <c r="O610" i="1" s="1"/>
  <c r="K612" i="1"/>
  <c r="L612" i="1" s="1"/>
  <c r="O612" i="1" s="1"/>
  <c r="K609" i="1"/>
  <c r="L609" i="1" s="1"/>
  <c r="N609" i="1" s="1"/>
  <c r="L611" i="1"/>
  <c r="M611" i="1" s="1"/>
  <c r="K613" i="1"/>
  <c r="L613" i="1" s="1"/>
  <c r="O613" i="1" s="1"/>
  <c r="H376" i="2"/>
  <c r="K608" i="1"/>
  <c r="L608" i="1" s="1"/>
  <c r="O608" i="1" s="1"/>
  <c r="H377" i="2"/>
  <c r="I377" i="2" s="1"/>
  <c r="H375" i="2"/>
  <c r="H378" i="2"/>
  <c r="I379" i="2"/>
  <c r="K603" i="1"/>
  <c r="L603" i="1" s="1"/>
  <c r="H371" i="2"/>
  <c r="K606" i="1"/>
  <c r="L606" i="1" s="1"/>
  <c r="O606" i="1" s="1"/>
  <c r="K600" i="1"/>
  <c r="L600" i="1" s="1"/>
  <c r="O600" i="1" s="1"/>
  <c r="K599" i="1"/>
  <c r="L599" i="1" s="1"/>
  <c r="O599" i="1" s="1"/>
  <c r="I374" i="2"/>
  <c r="H372" i="2"/>
  <c r="I373" i="2"/>
  <c r="Q373" i="2" s="1"/>
  <c r="K604" i="1"/>
  <c r="L604" i="1" s="1"/>
  <c r="K605" i="1"/>
  <c r="L605" i="1" s="1"/>
  <c r="O605" i="1" s="1"/>
  <c r="K601" i="1"/>
  <c r="L601" i="1" s="1"/>
  <c r="O601" i="1" s="1"/>
  <c r="K602" i="1"/>
  <c r="L602" i="1" s="1"/>
  <c r="M602" i="1" s="1"/>
  <c r="K598" i="1"/>
  <c r="L598" i="1" s="1"/>
  <c r="I370" i="2"/>
  <c r="L370" i="2" s="1"/>
  <c r="K597" i="1"/>
  <c r="L597" i="1" s="1"/>
  <c r="O597" i="1" s="1"/>
  <c r="K596" i="1"/>
  <c r="L596" i="1" s="1"/>
  <c r="O596" i="1" s="1"/>
  <c r="K595" i="1"/>
  <c r="I5" i="11"/>
  <c r="K594" i="1"/>
  <c r="L594" i="1" s="1"/>
  <c r="O594" i="1" s="1"/>
  <c r="K593" i="1"/>
  <c r="L593" i="1" s="1"/>
  <c r="O593" i="1" s="1"/>
  <c r="K592" i="1"/>
  <c r="K584" i="1"/>
  <c r="L584" i="1" s="1"/>
  <c r="K586" i="1"/>
  <c r="K585" i="1"/>
  <c r="K418" i="2" l="1"/>
  <c r="N418" i="2"/>
  <c r="N438" i="2"/>
  <c r="Q438" i="2"/>
  <c r="Q692" i="1"/>
  <c r="M692" i="1"/>
  <c r="N424" i="2"/>
  <c r="K424" i="2"/>
  <c r="Q424" i="2"/>
  <c r="N421" i="2"/>
  <c r="M421" i="2"/>
  <c r="Q421" i="2"/>
  <c r="N420" i="2"/>
  <c r="M420" i="2"/>
  <c r="Q420" i="2"/>
  <c r="Q418" i="2"/>
  <c r="R678" i="1"/>
  <c r="Q677" i="1"/>
  <c r="M677" i="1"/>
  <c r="R677" i="1"/>
  <c r="R672" i="1"/>
  <c r="O661" i="1"/>
  <c r="M661" i="1"/>
  <c r="N411" i="2"/>
  <c r="J411" i="2"/>
  <c r="Q411" i="2"/>
  <c r="N408" i="2"/>
  <c r="M408" i="2"/>
  <c r="Q408" i="2"/>
  <c r="N409" i="2"/>
  <c r="L409" i="2"/>
  <c r="Q409" i="2"/>
  <c r="Q657" i="1"/>
  <c r="M657" i="1"/>
  <c r="M654" i="1"/>
  <c r="Q654" i="1"/>
  <c r="R654" i="1"/>
  <c r="I404" i="2"/>
  <c r="N404" i="2" s="1"/>
  <c r="N406" i="2"/>
  <c r="L406" i="2"/>
  <c r="Q406" i="2"/>
  <c r="I405" i="2"/>
  <c r="Q405" i="2" s="1"/>
  <c r="I400" i="2"/>
  <c r="K400" i="2" s="1"/>
  <c r="L653" i="1"/>
  <c r="I398" i="2"/>
  <c r="Q397" i="2"/>
  <c r="N401" i="2"/>
  <c r="J401" i="2"/>
  <c r="Q401" i="2"/>
  <c r="K402" i="2"/>
  <c r="N402" i="2"/>
  <c r="Q402" i="2"/>
  <c r="I399" i="2"/>
  <c r="N399" i="2" s="1"/>
  <c r="J395" i="2"/>
  <c r="N395" i="2"/>
  <c r="Q395" i="2"/>
  <c r="I396" i="2"/>
  <c r="L639" i="1"/>
  <c r="O639" i="1" s="1"/>
  <c r="Q638" i="1"/>
  <c r="M638" i="1"/>
  <c r="N393" i="2"/>
  <c r="M393" i="2"/>
  <c r="O393" i="2"/>
  <c r="Q393" i="2"/>
  <c r="N394" i="2"/>
  <c r="L394" i="2"/>
  <c r="Q394" i="2"/>
  <c r="Q390" i="2"/>
  <c r="M391" i="2"/>
  <c r="N391" i="2"/>
  <c r="Q391" i="2"/>
  <c r="N392" i="2"/>
  <c r="L392" i="2"/>
  <c r="Q392" i="2"/>
  <c r="Q389" i="2"/>
  <c r="I388" i="2"/>
  <c r="O637" i="1"/>
  <c r="Q637" i="1"/>
  <c r="O630" i="1"/>
  <c r="Q630" i="1"/>
  <c r="M629" i="1"/>
  <c r="Q629" i="1"/>
  <c r="Q377" i="2"/>
  <c r="N377" i="2"/>
  <c r="Q379" i="2"/>
  <c r="L379" i="2"/>
  <c r="Q384" i="2"/>
  <c r="I386" i="2"/>
  <c r="K386" i="2" s="1"/>
  <c r="O616" i="1"/>
  <c r="Q616" i="1"/>
  <c r="O615" i="1"/>
  <c r="M615" i="1"/>
  <c r="O617" i="1"/>
  <c r="M617" i="1"/>
  <c r="I376" i="2"/>
  <c r="I375" i="2"/>
  <c r="I378" i="2"/>
  <c r="Q603" i="1"/>
  <c r="O603" i="1"/>
  <c r="I371" i="2"/>
  <c r="O604" i="1"/>
  <c r="M604" i="1"/>
  <c r="N374" i="2"/>
  <c r="J374" i="2"/>
  <c r="Q374" i="2"/>
  <c r="I372" i="2"/>
  <c r="L372" i="2" s="1"/>
  <c r="K373" i="2"/>
  <c r="N373" i="2"/>
  <c r="O598" i="1"/>
  <c r="Q370" i="2"/>
  <c r="R596" i="1"/>
  <c r="L595" i="1"/>
  <c r="M595" i="1" s="1"/>
  <c r="L586" i="1"/>
  <c r="M586" i="1" s="1"/>
  <c r="N5" i="11"/>
  <c r="L5" i="11"/>
  <c r="J5" i="11"/>
  <c r="Q5" i="11"/>
  <c r="R594" i="1"/>
  <c r="R593" i="1"/>
  <c r="L592" i="1"/>
  <c r="O592" i="1" s="1"/>
  <c r="Q584" i="1"/>
  <c r="O584" i="1"/>
  <c r="L585" i="1"/>
  <c r="R585" i="1" s="1"/>
  <c r="Q403" i="2" l="1"/>
  <c r="Q404" i="2"/>
  <c r="N405" i="2"/>
  <c r="M405" i="2"/>
  <c r="Q400" i="2"/>
  <c r="R653" i="1"/>
  <c r="O653" i="1"/>
  <c r="Q653" i="1"/>
  <c r="N398" i="2"/>
  <c r="M398" i="2"/>
  <c r="Q398" i="2"/>
  <c r="L399" i="2"/>
  <c r="Q399" i="2"/>
  <c r="K396" i="2"/>
  <c r="N396" i="2"/>
  <c r="Q396" i="2"/>
  <c r="R639" i="1"/>
  <c r="J388" i="2"/>
  <c r="L388" i="2"/>
  <c r="Q388" i="2"/>
  <c r="Q376" i="2"/>
  <c r="L376" i="2"/>
  <c r="Q375" i="2"/>
  <c r="N375" i="2"/>
  <c r="Q378" i="2"/>
  <c r="M378" i="2"/>
  <c r="Q386" i="2"/>
  <c r="N371" i="2"/>
  <c r="L371" i="2"/>
  <c r="Q371" i="2"/>
  <c r="N372" i="2"/>
  <c r="Q372" i="2"/>
  <c r="R595" i="1"/>
  <c r="R586" i="1"/>
  <c r="R592" i="1"/>
  <c r="Q585" i="1"/>
  <c r="M585" i="1"/>
  <c r="E362" i="2" l="1"/>
  <c r="E363" i="2"/>
  <c r="H363" i="2" s="1"/>
  <c r="E364" i="2"/>
  <c r="E361" i="2"/>
  <c r="H361" i="2" s="1"/>
  <c r="E360" i="2"/>
  <c r="E359" i="2"/>
  <c r="E368" i="2"/>
  <c r="E369" i="2"/>
  <c r="G591" i="1"/>
  <c r="F591" i="1"/>
  <c r="H591" i="1" s="1"/>
  <c r="G590" i="1"/>
  <c r="F590" i="1"/>
  <c r="H590" i="1" s="1"/>
  <c r="G589" i="1"/>
  <c r="F589" i="1"/>
  <c r="H589" i="1" s="1"/>
  <c r="E366" i="2"/>
  <c r="E365" i="2"/>
  <c r="E367" i="2"/>
  <c r="G588" i="1"/>
  <c r="F588" i="1"/>
  <c r="H588" i="1" s="1"/>
  <c r="G587" i="1"/>
  <c r="F587" i="1"/>
  <c r="H587" i="1" s="1"/>
  <c r="E358" i="2"/>
  <c r="E356" i="2"/>
  <c r="H356" i="2" s="1"/>
  <c r="E357" i="2"/>
  <c r="H357" i="2" s="1"/>
  <c r="E354" i="2"/>
  <c r="H354" i="2" s="1"/>
  <c r="E355" i="2"/>
  <c r="H355" i="2" s="1"/>
  <c r="G583" i="1"/>
  <c r="F583" i="1"/>
  <c r="H583" i="1" s="1"/>
  <c r="G582" i="1"/>
  <c r="F582" i="1"/>
  <c r="H582" i="1" s="1"/>
  <c r="G581" i="1"/>
  <c r="F581" i="1"/>
  <c r="H581" i="1" s="1"/>
  <c r="E351" i="2"/>
  <c r="H351" i="2" s="1"/>
  <c r="E349" i="2"/>
  <c r="H349" i="2" s="1"/>
  <c r="E350" i="2"/>
  <c r="H350" i="2" s="1"/>
  <c r="I350" i="2" s="1"/>
  <c r="Q350" i="2" s="1"/>
  <c r="E348" i="2"/>
  <c r="G580" i="1"/>
  <c r="F580" i="1"/>
  <c r="H580" i="1" s="1"/>
  <c r="F579" i="1"/>
  <c r="H579" i="1" s="1"/>
  <c r="K579" i="1" s="1"/>
  <c r="L579" i="1" s="1"/>
  <c r="R579" i="1" s="1"/>
  <c r="G579" i="1"/>
  <c r="G578" i="1"/>
  <c r="F578" i="1"/>
  <c r="H578" i="1" s="1"/>
  <c r="G577" i="1"/>
  <c r="F577" i="1"/>
  <c r="H577" i="1" s="1"/>
  <c r="K577" i="1" s="1"/>
  <c r="F576" i="1"/>
  <c r="H576" i="1" s="1"/>
  <c r="G576" i="1"/>
  <c r="G575" i="1"/>
  <c r="F575" i="1"/>
  <c r="H575" i="1" s="1"/>
  <c r="G574" i="1"/>
  <c r="F574" i="1"/>
  <c r="E352" i="2"/>
  <c r="H352" i="2" s="1"/>
  <c r="E353" i="2"/>
  <c r="G573" i="1"/>
  <c r="F573" i="1"/>
  <c r="H573" i="1" s="1"/>
  <c r="G572" i="1"/>
  <c r="F572" i="1"/>
  <c r="H572" i="1" s="1"/>
  <c r="G569" i="1"/>
  <c r="H574" i="1" l="1"/>
  <c r="K574" i="1" s="1"/>
  <c r="L574" i="1" s="1"/>
  <c r="O574" i="1" s="1"/>
  <c r="H367" i="2"/>
  <c r="I367" i="2" s="1"/>
  <c r="N367" i="2" s="1"/>
  <c r="K588" i="1"/>
  <c r="L588" i="1" s="1"/>
  <c r="H362" i="2"/>
  <c r="I362" i="2" s="1"/>
  <c r="N362" i="2" s="1"/>
  <c r="I363" i="2"/>
  <c r="H364" i="2"/>
  <c r="I361" i="2"/>
  <c r="H360" i="2"/>
  <c r="H359" i="2"/>
  <c r="I359" i="2" s="1"/>
  <c r="N359" i="2" s="1"/>
  <c r="H368" i="2"/>
  <c r="H369" i="2"/>
  <c r="K591" i="1"/>
  <c r="L591" i="1" s="1"/>
  <c r="K590" i="1"/>
  <c r="K589" i="1"/>
  <c r="L589" i="1" s="1"/>
  <c r="O589" i="1" s="1"/>
  <c r="H366" i="2"/>
  <c r="I366" i="2" s="1"/>
  <c r="H365" i="2"/>
  <c r="I365" i="2" s="1"/>
  <c r="N365" i="2" s="1"/>
  <c r="K587" i="1"/>
  <c r="H358" i="2"/>
  <c r="I356" i="2"/>
  <c r="N356" i="2" s="1"/>
  <c r="I357" i="2"/>
  <c r="I354" i="2"/>
  <c r="N354" i="2" s="1"/>
  <c r="I355" i="2"/>
  <c r="Q355" i="2" s="1"/>
  <c r="K583" i="1"/>
  <c r="L583" i="1" s="1"/>
  <c r="K582" i="1"/>
  <c r="K581" i="1"/>
  <c r="L581" i="1" s="1"/>
  <c r="O581" i="1" s="1"/>
  <c r="N350" i="2"/>
  <c r="I351" i="2"/>
  <c r="H348" i="2"/>
  <c r="I348" i="2" s="1"/>
  <c r="M350" i="2"/>
  <c r="I349" i="2"/>
  <c r="N349" i="2" s="1"/>
  <c r="K580" i="1"/>
  <c r="O579" i="1"/>
  <c r="K578" i="1"/>
  <c r="L577" i="1"/>
  <c r="K576" i="1"/>
  <c r="L576" i="1" s="1"/>
  <c r="K575" i="1"/>
  <c r="I352" i="2"/>
  <c r="H353" i="2"/>
  <c r="K573" i="1"/>
  <c r="L573" i="1" s="1"/>
  <c r="K572" i="1"/>
  <c r="G571" i="1"/>
  <c r="F571" i="1"/>
  <c r="H571" i="1" s="1"/>
  <c r="G570" i="1"/>
  <c r="F570" i="1"/>
  <c r="H570" i="1" s="1"/>
  <c r="L587" i="1" l="1"/>
  <c r="O587" i="1" s="1"/>
  <c r="O588" i="1"/>
  <c r="Q362" i="2"/>
  <c r="O363" i="2"/>
  <c r="N363" i="2"/>
  <c r="M363" i="2"/>
  <c r="Q363" i="2"/>
  <c r="I364" i="2"/>
  <c r="N361" i="2"/>
  <c r="L361" i="2"/>
  <c r="Q361" i="2"/>
  <c r="I360" i="2"/>
  <c r="Q360" i="2" s="1"/>
  <c r="Q359" i="2"/>
  <c r="I368" i="2"/>
  <c r="I369" i="2"/>
  <c r="K369" i="2" s="1"/>
  <c r="Q591" i="1"/>
  <c r="O591" i="1"/>
  <c r="R591" i="1"/>
  <c r="L590" i="1"/>
  <c r="O590" i="1" s="1"/>
  <c r="R589" i="1"/>
  <c r="Q367" i="2"/>
  <c r="L367" i="2"/>
  <c r="Q366" i="2"/>
  <c r="N366" i="2"/>
  <c r="M366" i="2"/>
  <c r="Q365" i="2"/>
  <c r="Q356" i="2"/>
  <c r="I358" i="2"/>
  <c r="O358" i="2" s="1"/>
  <c r="M357" i="2"/>
  <c r="O357" i="2"/>
  <c r="N357" i="2"/>
  <c r="Q357" i="2"/>
  <c r="Q354" i="2"/>
  <c r="M355" i="2"/>
  <c r="N355" i="2"/>
  <c r="Q583" i="1"/>
  <c r="M583" i="1"/>
  <c r="L582" i="1"/>
  <c r="O582" i="1" s="1"/>
  <c r="R581" i="1"/>
  <c r="L351" i="2"/>
  <c r="N351" i="2"/>
  <c r="Q349" i="2"/>
  <c r="Q351" i="2"/>
  <c r="Q348" i="2"/>
  <c r="M576" i="1"/>
  <c r="Q576" i="1"/>
  <c r="L580" i="1"/>
  <c r="L578" i="1"/>
  <c r="R577" i="1"/>
  <c r="M577" i="1"/>
  <c r="R576" i="1"/>
  <c r="L575" i="1"/>
  <c r="M575" i="1" s="1"/>
  <c r="R574" i="1"/>
  <c r="O348" i="2"/>
  <c r="N352" i="2"/>
  <c r="K352" i="2"/>
  <c r="Q352" i="2"/>
  <c r="I353" i="2"/>
  <c r="K353" i="2" s="1"/>
  <c r="O573" i="1"/>
  <c r="Q573" i="1"/>
  <c r="R573" i="1"/>
  <c r="L572" i="1"/>
  <c r="O572" i="1" s="1"/>
  <c r="K571" i="1"/>
  <c r="L571" i="1" s="1"/>
  <c r="K570" i="1"/>
  <c r="L570" i="1" s="1"/>
  <c r="F569" i="1"/>
  <c r="H569" i="1" s="1"/>
  <c r="G568" i="1"/>
  <c r="F568" i="1"/>
  <c r="H568" i="1" s="1"/>
  <c r="G567" i="1"/>
  <c r="F567" i="1"/>
  <c r="H567" i="1" s="1"/>
  <c r="E344" i="2"/>
  <c r="E345" i="2"/>
  <c r="E346" i="2"/>
  <c r="G566" i="1"/>
  <c r="F566" i="1"/>
  <c r="H566" i="1" s="1"/>
  <c r="G565" i="1"/>
  <c r="F565" i="1"/>
  <c r="H565" i="1" s="1"/>
  <c r="E347" i="2"/>
  <c r="G564" i="1"/>
  <c r="F564" i="1"/>
  <c r="H564" i="1" s="1"/>
  <c r="E341" i="2"/>
  <c r="G563" i="1"/>
  <c r="F563" i="1"/>
  <c r="H563" i="1" s="1"/>
  <c r="G562" i="1"/>
  <c r="F562" i="1"/>
  <c r="H562" i="1" s="1"/>
  <c r="G561" i="1"/>
  <c r="F561" i="1"/>
  <c r="H561" i="1" s="1"/>
  <c r="E4" i="11"/>
  <c r="H4" i="11" s="1"/>
  <c r="D1" i="11"/>
  <c r="E336" i="2"/>
  <c r="E337" i="2"/>
  <c r="G560" i="1"/>
  <c r="F560" i="1"/>
  <c r="H560" i="1" s="1"/>
  <c r="G559" i="1"/>
  <c r="F559" i="1"/>
  <c r="H559" i="1" s="1"/>
  <c r="G558" i="1"/>
  <c r="F558" i="1"/>
  <c r="H558" i="1" s="1"/>
  <c r="E342" i="2"/>
  <c r="E343" i="2"/>
  <c r="H343" i="2" s="1"/>
  <c r="E339" i="2"/>
  <c r="E338" i="2"/>
  <c r="H338" i="2" s="1"/>
  <c r="E340" i="2"/>
  <c r="G557" i="1"/>
  <c r="F557" i="1"/>
  <c r="H557" i="1" s="1"/>
  <c r="G556" i="1"/>
  <c r="F556" i="1"/>
  <c r="H556" i="1" s="1"/>
  <c r="E334" i="2"/>
  <c r="H334" i="2" s="1"/>
  <c r="G555" i="1"/>
  <c r="F555" i="1"/>
  <c r="H555" i="1" s="1"/>
  <c r="G554" i="1"/>
  <c r="F554" i="1"/>
  <c r="H554" i="1" s="1"/>
  <c r="G553" i="1"/>
  <c r="F553" i="1"/>
  <c r="H553" i="1" s="1"/>
  <c r="G541" i="1"/>
  <c r="F541" i="1"/>
  <c r="H541" i="1" s="1"/>
  <c r="K541" i="1" s="1"/>
  <c r="L541" i="1" s="1"/>
  <c r="M541" i="1" s="1"/>
  <c r="G540" i="1"/>
  <c r="F540" i="1"/>
  <c r="H540" i="1" s="1"/>
  <c r="K540" i="1" s="1"/>
  <c r="L540" i="1" s="1"/>
  <c r="O540" i="1" s="1"/>
  <c r="G537" i="1"/>
  <c r="G552" i="1"/>
  <c r="F552" i="1"/>
  <c r="H552" i="1" s="1"/>
  <c r="E327" i="2"/>
  <c r="H327" i="2" s="1"/>
  <c r="I327" i="2" s="1"/>
  <c r="O327" i="2" s="1"/>
  <c r="G551" i="1"/>
  <c r="F551" i="1"/>
  <c r="H551" i="1" s="1"/>
  <c r="G550" i="1"/>
  <c r="F550" i="1"/>
  <c r="H550" i="1" s="1"/>
  <c r="G549" i="1"/>
  <c r="F549" i="1"/>
  <c r="H549" i="1" s="1"/>
  <c r="G548" i="1"/>
  <c r="F548" i="1"/>
  <c r="H548" i="1" s="1"/>
  <c r="G547" i="1"/>
  <c r="F547" i="1"/>
  <c r="H547" i="1" s="1"/>
  <c r="G546" i="1"/>
  <c r="F546" i="1"/>
  <c r="H546" i="1" s="1"/>
  <c r="G544" i="1"/>
  <c r="F544" i="1"/>
  <c r="H544" i="1" s="1"/>
  <c r="G543" i="1"/>
  <c r="F543" i="1"/>
  <c r="H543" i="1" s="1"/>
  <c r="F545" i="1"/>
  <c r="H545" i="1" s="1"/>
  <c r="G545" i="1"/>
  <c r="G542" i="1"/>
  <c r="F542" i="1"/>
  <c r="H542" i="1" s="1"/>
  <c r="G539" i="1"/>
  <c r="F539" i="1"/>
  <c r="H539" i="1" s="1"/>
  <c r="E335" i="2"/>
  <c r="E333" i="2"/>
  <c r="H333" i="2" s="1"/>
  <c r="G538" i="1"/>
  <c r="F538" i="1"/>
  <c r="H538" i="1" s="1"/>
  <c r="F537" i="1"/>
  <c r="H537" i="1" s="1"/>
  <c r="F536" i="1"/>
  <c r="H536" i="1" s="1"/>
  <c r="G536" i="1"/>
  <c r="G535" i="1"/>
  <c r="F535" i="1"/>
  <c r="H535" i="1" s="1"/>
  <c r="F531" i="1"/>
  <c r="H531" i="1" s="1"/>
  <c r="K531" i="1" s="1"/>
  <c r="L531" i="1" s="1"/>
  <c r="O531" i="1" s="1"/>
  <c r="G531" i="1"/>
  <c r="G530" i="1"/>
  <c r="F530" i="1"/>
  <c r="H530" i="1" s="1"/>
  <c r="K530" i="1" s="1"/>
  <c r="L530" i="1" s="1"/>
  <c r="M530" i="1" s="1"/>
  <c r="E326" i="2"/>
  <c r="E323" i="2"/>
  <c r="G534" i="1"/>
  <c r="F534" i="1"/>
  <c r="H534" i="1" s="1"/>
  <c r="G533" i="1"/>
  <c r="F533" i="1"/>
  <c r="H533" i="1" s="1"/>
  <c r="G532" i="1"/>
  <c r="F532" i="1"/>
  <c r="H532" i="1" s="1"/>
  <c r="G529" i="1"/>
  <c r="F529" i="1"/>
  <c r="H529" i="1" s="1"/>
  <c r="G528" i="1"/>
  <c r="F528" i="1"/>
  <c r="H528" i="1" s="1"/>
  <c r="E332" i="2"/>
  <c r="H332" i="2" s="1"/>
  <c r="I332" i="2" s="1"/>
  <c r="E329" i="2"/>
  <c r="E330" i="2"/>
  <c r="E328" i="2"/>
  <c r="H328" i="2" s="1"/>
  <c r="E331" i="2"/>
  <c r="E325" i="2"/>
  <c r="H325" i="2" s="1"/>
  <c r="E324" i="2"/>
  <c r="E322" i="2"/>
  <c r="E320" i="2"/>
  <c r="G527" i="1"/>
  <c r="F527" i="1"/>
  <c r="H527" i="1" s="1"/>
  <c r="E321" i="2"/>
  <c r="G526" i="1"/>
  <c r="F526" i="1"/>
  <c r="H526" i="1" s="1"/>
  <c r="G525" i="1"/>
  <c r="F525" i="1"/>
  <c r="H525" i="1" s="1"/>
  <c r="G524" i="1"/>
  <c r="F524" i="1"/>
  <c r="H524" i="1" s="1"/>
  <c r="G523" i="1"/>
  <c r="F523" i="1"/>
  <c r="H523" i="1" s="1"/>
  <c r="O518" i="1"/>
  <c r="O517" i="1"/>
  <c r="R587" i="1" l="1"/>
  <c r="R588" i="1"/>
  <c r="N364" i="2"/>
  <c r="L364" i="2"/>
  <c r="Q364" i="2"/>
  <c r="N360" i="2"/>
  <c r="M360" i="2"/>
  <c r="N368" i="2"/>
  <c r="L368" i="2"/>
  <c r="Q368" i="2"/>
  <c r="Q369" i="2"/>
  <c r="R590" i="1"/>
  <c r="Q358" i="2"/>
  <c r="R582" i="1"/>
  <c r="R580" i="1"/>
  <c r="O580" i="1"/>
  <c r="R578" i="1"/>
  <c r="O578" i="1"/>
  <c r="R575" i="1"/>
  <c r="Q353" i="2"/>
  <c r="R572" i="1"/>
  <c r="Q571" i="1"/>
  <c r="O571" i="1"/>
  <c r="Q570" i="1"/>
  <c r="M570" i="1"/>
  <c r="K569" i="1"/>
  <c r="L569" i="1" s="1"/>
  <c r="O569" i="1" s="1"/>
  <c r="K568" i="1"/>
  <c r="L568" i="1" s="1"/>
  <c r="O568" i="1" s="1"/>
  <c r="K567" i="1"/>
  <c r="L567" i="1" s="1"/>
  <c r="O567" i="1" s="1"/>
  <c r="H344" i="2"/>
  <c r="I344" i="2" s="1"/>
  <c r="N344" i="2" s="1"/>
  <c r="H345" i="2"/>
  <c r="I345" i="2" s="1"/>
  <c r="O345" i="2" s="1"/>
  <c r="H346" i="2"/>
  <c r="K566" i="1"/>
  <c r="K565" i="1"/>
  <c r="H347" i="2"/>
  <c r="K564" i="1"/>
  <c r="L564" i="1" s="1"/>
  <c r="O564" i="1" s="1"/>
  <c r="H341" i="2"/>
  <c r="K563" i="1"/>
  <c r="L563" i="1" s="1"/>
  <c r="K562" i="1"/>
  <c r="L562" i="1" s="1"/>
  <c r="K561" i="1"/>
  <c r="I4" i="11"/>
  <c r="N4" i="11" s="1"/>
  <c r="H336" i="2"/>
  <c r="I336" i="2" s="1"/>
  <c r="H337" i="2"/>
  <c r="K560" i="1"/>
  <c r="K559" i="1"/>
  <c r="L559" i="1" s="1"/>
  <c r="K558" i="1"/>
  <c r="L558" i="1" s="1"/>
  <c r="H342" i="2"/>
  <c r="I342" i="2" s="1"/>
  <c r="I343" i="2"/>
  <c r="H339" i="2"/>
  <c r="I339" i="2" s="1"/>
  <c r="N339" i="2" s="1"/>
  <c r="I338" i="2"/>
  <c r="N338" i="2" s="1"/>
  <c r="H340" i="2"/>
  <c r="K557" i="1"/>
  <c r="L557" i="1" s="1"/>
  <c r="M557" i="1" s="1"/>
  <c r="K556" i="1"/>
  <c r="L556" i="1" s="1"/>
  <c r="O556" i="1" s="1"/>
  <c r="I334" i="2"/>
  <c r="L334" i="2" s="1"/>
  <c r="K555" i="1"/>
  <c r="L555" i="1" s="1"/>
  <c r="M555" i="1" s="1"/>
  <c r="K553" i="1"/>
  <c r="L553" i="1" s="1"/>
  <c r="K554" i="1"/>
  <c r="L554" i="1" s="1"/>
  <c r="K552" i="1"/>
  <c r="K551" i="1"/>
  <c r="K550" i="1"/>
  <c r="L550" i="1" s="1"/>
  <c r="M550" i="1" s="1"/>
  <c r="K549" i="1"/>
  <c r="K548" i="1"/>
  <c r="L548" i="1" s="1"/>
  <c r="O548" i="1" s="1"/>
  <c r="K547" i="1"/>
  <c r="K546" i="1"/>
  <c r="L546" i="1" s="1"/>
  <c r="O546" i="1" s="1"/>
  <c r="K543" i="1"/>
  <c r="L543" i="1" s="1"/>
  <c r="K544" i="1"/>
  <c r="L544" i="1" s="1"/>
  <c r="K545" i="1"/>
  <c r="K542" i="1"/>
  <c r="K539" i="1"/>
  <c r="H335" i="2"/>
  <c r="I335" i="2" s="1"/>
  <c r="I333" i="2"/>
  <c r="Q333" i="2" s="1"/>
  <c r="K537" i="1"/>
  <c r="L537" i="1" s="1"/>
  <c r="O537" i="1" s="1"/>
  <c r="K538" i="1"/>
  <c r="K536" i="1"/>
  <c r="K535" i="1"/>
  <c r="L535" i="1" s="1"/>
  <c r="O535" i="1" s="1"/>
  <c r="Q327" i="2"/>
  <c r="H326" i="2"/>
  <c r="H323" i="2"/>
  <c r="K533" i="1"/>
  <c r="L533" i="1" s="1"/>
  <c r="K534" i="1"/>
  <c r="L534" i="1" s="1"/>
  <c r="O534" i="1" s="1"/>
  <c r="K532" i="1"/>
  <c r="L532" i="1" s="1"/>
  <c r="K528" i="1"/>
  <c r="K529" i="1"/>
  <c r="H329" i="2"/>
  <c r="I329" i="2" s="1"/>
  <c r="K329" i="2" s="1"/>
  <c r="H330" i="2"/>
  <c r="I328" i="2"/>
  <c r="H331" i="2"/>
  <c r="I325" i="2"/>
  <c r="H324" i="2"/>
  <c r="H322" i="2"/>
  <c r="I322" i="2" s="1"/>
  <c r="K322" i="2" s="1"/>
  <c r="H320" i="2"/>
  <c r="I320" i="2" s="1"/>
  <c r="K320" i="2" s="1"/>
  <c r="K527" i="1"/>
  <c r="H321" i="2"/>
  <c r="I321" i="2" s="1"/>
  <c r="K321" i="2" s="1"/>
  <c r="K525" i="1"/>
  <c r="K526" i="1"/>
  <c r="L526" i="1" s="1"/>
  <c r="O526" i="1" s="1"/>
  <c r="K523" i="1"/>
  <c r="L523" i="1" s="1"/>
  <c r="O523" i="1" s="1"/>
  <c r="K524" i="1"/>
  <c r="E316" i="2"/>
  <c r="H316" i="2" s="1"/>
  <c r="E315" i="2"/>
  <c r="H315" i="2" s="1"/>
  <c r="I315" i="2" s="1"/>
  <c r="N315" i="2" s="1"/>
  <c r="E317" i="2"/>
  <c r="E318" i="2"/>
  <c r="G522" i="1"/>
  <c r="F522" i="1"/>
  <c r="H522" i="1" s="1"/>
  <c r="G521" i="1"/>
  <c r="F521" i="1"/>
  <c r="H521" i="1" s="1"/>
  <c r="G520" i="1"/>
  <c r="F520" i="1"/>
  <c r="H520" i="1" s="1"/>
  <c r="G519" i="1"/>
  <c r="F519" i="1"/>
  <c r="H519" i="1" s="1"/>
  <c r="G516" i="1"/>
  <c r="F516" i="1"/>
  <c r="H516" i="1" s="1"/>
  <c r="E319" i="2"/>
  <c r="G515" i="1"/>
  <c r="F515" i="1"/>
  <c r="H515" i="1" s="1"/>
  <c r="E314" i="2"/>
  <c r="G514" i="1"/>
  <c r="F514" i="1"/>
  <c r="H514" i="1" s="1"/>
  <c r="G513" i="1"/>
  <c r="F513" i="1"/>
  <c r="H513" i="1" s="1"/>
  <c r="G512" i="1"/>
  <c r="F512" i="1"/>
  <c r="H512" i="1" s="1"/>
  <c r="G511" i="1"/>
  <c r="F511" i="1"/>
  <c r="H511" i="1" s="1"/>
  <c r="E306" i="2"/>
  <c r="E307" i="2"/>
  <c r="H307" i="2" s="1"/>
  <c r="E310" i="2"/>
  <c r="G510" i="1"/>
  <c r="F510" i="1"/>
  <c r="H510" i="1" s="1"/>
  <c r="G509" i="1"/>
  <c r="F509" i="1"/>
  <c r="H509" i="1" s="1"/>
  <c r="G508" i="1"/>
  <c r="F508" i="1"/>
  <c r="H508" i="1" s="1"/>
  <c r="G507" i="1"/>
  <c r="F507" i="1"/>
  <c r="H507" i="1" s="1"/>
  <c r="G506" i="1"/>
  <c r="F506" i="1"/>
  <c r="H506" i="1" s="1"/>
  <c r="E308" i="2"/>
  <c r="E309" i="2"/>
  <c r="H309" i="2" s="1"/>
  <c r="E312" i="2"/>
  <c r="H312" i="2" s="1"/>
  <c r="E311" i="2"/>
  <c r="E313" i="2"/>
  <c r="H313" i="2" s="1"/>
  <c r="R569" i="1" l="1"/>
  <c r="R568" i="1"/>
  <c r="R567" i="1"/>
  <c r="Q344" i="2"/>
  <c r="N345" i="2"/>
  <c r="M345" i="2"/>
  <c r="Q345" i="2"/>
  <c r="I346" i="2"/>
  <c r="J346" i="2" s="1"/>
  <c r="L566" i="1"/>
  <c r="O566" i="1" s="1"/>
  <c r="L565" i="1"/>
  <c r="O565" i="1" s="1"/>
  <c r="I347" i="2"/>
  <c r="K347" i="2" s="1"/>
  <c r="R564" i="1"/>
  <c r="I341" i="2"/>
  <c r="N341" i="2" s="1"/>
  <c r="O563" i="1"/>
  <c r="Q563" i="1"/>
  <c r="M562" i="1"/>
  <c r="Q562" i="1"/>
  <c r="L561" i="1"/>
  <c r="L4" i="11"/>
  <c r="J4" i="11"/>
  <c r="Q4" i="11"/>
  <c r="M336" i="2"/>
  <c r="N336" i="2"/>
  <c r="Q336" i="2"/>
  <c r="I337" i="2"/>
  <c r="L560" i="1"/>
  <c r="Q559" i="1"/>
  <c r="O559" i="1"/>
  <c r="M558" i="1"/>
  <c r="Q558" i="1"/>
  <c r="K342" i="2"/>
  <c r="N342" i="2"/>
  <c r="Q342" i="2"/>
  <c r="N343" i="2"/>
  <c r="K343" i="2"/>
  <c r="Q343" i="2"/>
  <c r="M339" i="2"/>
  <c r="Q339" i="2"/>
  <c r="Q338" i="2"/>
  <c r="I340" i="2"/>
  <c r="R556" i="1"/>
  <c r="Q334" i="2"/>
  <c r="R555" i="1"/>
  <c r="Q554" i="1"/>
  <c r="O554" i="1"/>
  <c r="M553" i="1"/>
  <c r="Q553" i="1"/>
  <c r="L552" i="1"/>
  <c r="O552" i="1" s="1"/>
  <c r="K335" i="2"/>
  <c r="Q335" i="2"/>
  <c r="L551" i="1"/>
  <c r="M551" i="1" s="1"/>
  <c r="L549" i="1"/>
  <c r="O549" i="1" s="1"/>
  <c r="R548" i="1"/>
  <c r="L547" i="1"/>
  <c r="M547" i="1" s="1"/>
  <c r="R546" i="1"/>
  <c r="Q544" i="1"/>
  <c r="O544" i="1"/>
  <c r="Q543" i="1"/>
  <c r="M543" i="1"/>
  <c r="L545" i="1"/>
  <c r="Q545" i="1" s="1"/>
  <c r="L542" i="1"/>
  <c r="M542" i="1" s="1"/>
  <c r="L539" i="1"/>
  <c r="O539" i="1" s="1"/>
  <c r="N333" i="2"/>
  <c r="K333" i="2"/>
  <c r="L538" i="1"/>
  <c r="O538" i="1" s="1"/>
  <c r="R537" i="1"/>
  <c r="L536" i="1"/>
  <c r="O536" i="1" s="1"/>
  <c r="M532" i="1"/>
  <c r="Q532" i="1"/>
  <c r="R535" i="1"/>
  <c r="O533" i="1"/>
  <c r="Q533" i="1"/>
  <c r="I326" i="2"/>
  <c r="N326" i="2" s="1"/>
  <c r="I323" i="2"/>
  <c r="N323" i="2" s="1"/>
  <c r="R534" i="1"/>
  <c r="R533" i="1"/>
  <c r="R532" i="1"/>
  <c r="L529" i="1"/>
  <c r="M529" i="1" s="1"/>
  <c r="L528" i="1"/>
  <c r="M528" i="1" s="1"/>
  <c r="K332" i="2"/>
  <c r="L328" i="2"/>
  <c r="N328" i="2"/>
  <c r="Q329" i="2"/>
  <c r="I330" i="2"/>
  <c r="N330" i="2" s="1"/>
  <c r="Q328" i="2"/>
  <c r="I331" i="2"/>
  <c r="M325" i="2"/>
  <c r="I324" i="2"/>
  <c r="N324" i="2" s="1"/>
  <c r="Q325" i="2"/>
  <c r="Q322" i="2"/>
  <c r="Q320" i="2"/>
  <c r="L527" i="1"/>
  <c r="M527" i="1" s="1"/>
  <c r="Q321" i="2"/>
  <c r="R526" i="1"/>
  <c r="L525" i="1"/>
  <c r="M525" i="1" s="1"/>
  <c r="L524" i="1"/>
  <c r="O524" i="1" s="1"/>
  <c r="R523" i="1"/>
  <c r="Q315" i="2"/>
  <c r="I316" i="2"/>
  <c r="N316" i="2" s="1"/>
  <c r="H318" i="2"/>
  <c r="I318" i="2" s="1"/>
  <c r="L318" i="2" s="1"/>
  <c r="H317" i="2"/>
  <c r="I317" i="2" s="1"/>
  <c r="K521" i="1"/>
  <c r="L521" i="1" s="1"/>
  <c r="O521" i="1" s="1"/>
  <c r="K522" i="1"/>
  <c r="K520" i="1"/>
  <c r="K519" i="1"/>
  <c r="L519" i="1" s="1"/>
  <c r="O519" i="1" s="1"/>
  <c r="K516" i="1"/>
  <c r="H319" i="2"/>
  <c r="I319" i="2" s="1"/>
  <c r="K319" i="2" s="1"/>
  <c r="K515" i="1"/>
  <c r="L515" i="1" s="1"/>
  <c r="M515" i="1" s="1"/>
  <c r="H314" i="2"/>
  <c r="I314" i="2" s="1"/>
  <c r="M314" i="2" s="1"/>
  <c r="K513" i="1"/>
  <c r="K514" i="1"/>
  <c r="K511" i="1"/>
  <c r="L511" i="1" s="1"/>
  <c r="O511" i="1" s="1"/>
  <c r="K512" i="1"/>
  <c r="H306" i="2"/>
  <c r="I307" i="2"/>
  <c r="L307" i="2" s="1"/>
  <c r="H310" i="2"/>
  <c r="I310" i="2" s="1"/>
  <c r="K310" i="2" s="1"/>
  <c r="K510" i="1"/>
  <c r="K509" i="1"/>
  <c r="L509" i="1" s="1"/>
  <c r="O509" i="1" s="1"/>
  <c r="K508" i="1"/>
  <c r="L508" i="1" s="1"/>
  <c r="O508" i="1" s="1"/>
  <c r="K506" i="1"/>
  <c r="K507" i="1"/>
  <c r="I309" i="2"/>
  <c r="L309" i="2" s="1"/>
  <c r="H308" i="2"/>
  <c r="I308" i="2" s="1"/>
  <c r="M308" i="2" s="1"/>
  <c r="I313" i="2"/>
  <c r="K313" i="2" s="1"/>
  <c r="I312" i="2"/>
  <c r="J312" i="2" s="1"/>
  <c r="H311" i="2"/>
  <c r="I311" i="2" s="1"/>
  <c r="K311" i="2" s="1"/>
  <c r="E303" i="2"/>
  <c r="H303" i="2" s="1"/>
  <c r="I303" i="2" s="1"/>
  <c r="Q303" i="2" s="1"/>
  <c r="E304" i="2"/>
  <c r="H304" i="2" s="1"/>
  <c r="E305" i="2"/>
  <c r="H305" i="2" s="1"/>
  <c r="G505" i="1"/>
  <c r="F505" i="1"/>
  <c r="H505" i="1" s="1"/>
  <c r="G504" i="1"/>
  <c r="F504" i="1"/>
  <c r="H504" i="1" s="1"/>
  <c r="G503" i="1"/>
  <c r="F503" i="1"/>
  <c r="H503" i="1" s="1"/>
  <c r="G502" i="1"/>
  <c r="F502" i="1"/>
  <c r="H502" i="1" s="1"/>
  <c r="G501" i="1"/>
  <c r="F501" i="1"/>
  <c r="H501" i="1" s="1"/>
  <c r="G500" i="1"/>
  <c r="F500" i="1"/>
  <c r="H500" i="1" s="1"/>
  <c r="G499" i="1"/>
  <c r="F499" i="1"/>
  <c r="H499" i="1" s="1"/>
  <c r="K499" i="1" s="1"/>
  <c r="L499" i="1" s="1"/>
  <c r="O499" i="1" s="1"/>
  <c r="G498" i="1"/>
  <c r="F498" i="1"/>
  <c r="H498" i="1" s="1"/>
  <c r="G497" i="1"/>
  <c r="F497" i="1"/>
  <c r="H497" i="1" s="1"/>
  <c r="G496" i="1"/>
  <c r="F496" i="1"/>
  <c r="H496" i="1" s="1"/>
  <c r="G495" i="1"/>
  <c r="F495" i="1"/>
  <c r="H495" i="1" s="1"/>
  <c r="G494" i="1"/>
  <c r="F494" i="1"/>
  <c r="H494" i="1" s="1"/>
  <c r="E302" i="2"/>
  <c r="G486" i="1"/>
  <c r="F486" i="1"/>
  <c r="H486" i="1" s="1"/>
  <c r="K486" i="1" s="1"/>
  <c r="G488" i="1"/>
  <c r="F488" i="1"/>
  <c r="H488" i="1" s="1"/>
  <c r="G491" i="1"/>
  <c r="F491" i="1"/>
  <c r="H491" i="1" s="1"/>
  <c r="G490" i="1"/>
  <c r="F490" i="1"/>
  <c r="H490" i="1" s="1"/>
  <c r="G492" i="1"/>
  <c r="F492" i="1"/>
  <c r="H492" i="1" s="1"/>
  <c r="G493" i="1"/>
  <c r="F493" i="1"/>
  <c r="H493" i="1" s="1"/>
  <c r="G489" i="1"/>
  <c r="F489" i="1"/>
  <c r="H489" i="1" s="1"/>
  <c r="E301" i="2"/>
  <c r="H301" i="2" s="1"/>
  <c r="I301" i="2" s="1"/>
  <c r="L301" i="2" s="1"/>
  <c r="E299" i="2"/>
  <c r="E300" i="2"/>
  <c r="H300" i="2" s="1"/>
  <c r="E298" i="2"/>
  <c r="G487" i="1"/>
  <c r="F487" i="1"/>
  <c r="H487" i="1" s="1"/>
  <c r="M317" i="2" l="1"/>
  <c r="N317" i="2"/>
  <c r="Q346" i="2"/>
  <c r="Q347" i="2"/>
  <c r="R566" i="1"/>
  <c r="R565" i="1"/>
  <c r="Q341" i="2"/>
  <c r="Q561" i="1"/>
  <c r="O561" i="1"/>
  <c r="R561" i="1"/>
  <c r="L337" i="2"/>
  <c r="N337" i="2"/>
  <c r="Q337" i="2"/>
  <c r="M560" i="1"/>
  <c r="Q560" i="1"/>
  <c r="R560" i="1"/>
  <c r="L340" i="2"/>
  <c r="N340" i="2"/>
  <c r="Q340" i="2"/>
  <c r="R552" i="1"/>
  <c r="R551" i="1"/>
  <c r="R549" i="1"/>
  <c r="R547" i="1"/>
  <c r="N545" i="1"/>
  <c r="R545" i="1"/>
  <c r="R542" i="1"/>
  <c r="R539" i="1"/>
  <c r="R538" i="1"/>
  <c r="R536" i="1"/>
  <c r="Q326" i="2"/>
  <c r="Q323" i="2"/>
  <c r="R529" i="1"/>
  <c r="R528" i="1"/>
  <c r="Q332" i="2"/>
  <c r="K331" i="2"/>
  <c r="N331" i="2"/>
  <c r="Q330" i="2"/>
  <c r="Q331" i="2"/>
  <c r="Q324" i="2"/>
  <c r="R527" i="1"/>
  <c r="R525" i="1"/>
  <c r="R524" i="1"/>
  <c r="Q316" i="2"/>
  <c r="M316" i="2"/>
  <c r="Q317" i="2"/>
  <c r="Q318" i="2"/>
  <c r="L522" i="1"/>
  <c r="O522" i="1" s="1"/>
  <c r="R521" i="1"/>
  <c r="L520" i="1"/>
  <c r="O520" i="1" s="1"/>
  <c r="R519" i="1"/>
  <c r="L516" i="1"/>
  <c r="O516" i="1" s="1"/>
  <c r="Q319" i="2"/>
  <c r="R515" i="1"/>
  <c r="Q314" i="2"/>
  <c r="L514" i="1"/>
  <c r="O514" i="1" s="1"/>
  <c r="L513" i="1"/>
  <c r="O513" i="1" s="1"/>
  <c r="L512" i="1"/>
  <c r="O512" i="1" s="1"/>
  <c r="R511" i="1"/>
  <c r="Q307" i="2"/>
  <c r="I306" i="2"/>
  <c r="M306" i="2" s="1"/>
  <c r="Q310" i="2"/>
  <c r="L510" i="1"/>
  <c r="O510" i="1" s="1"/>
  <c r="R509" i="1"/>
  <c r="R508" i="1"/>
  <c r="L507" i="1"/>
  <c r="O507" i="1" s="1"/>
  <c r="L506" i="1"/>
  <c r="M506" i="1" s="1"/>
  <c r="Q308" i="2"/>
  <c r="Q309" i="2"/>
  <c r="Q313" i="2"/>
  <c r="Q312" i="2"/>
  <c r="Q311" i="2"/>
  <c r="N301" i="2"/>
  <c r="I304" i="2"/>
  <c r="K304" i="2" s="1"/>
  <c r="I305" i="2"/>
  <c r="K305" i="2" s="1"/>
  <c r="M303" i="2"/>
  <c r="K505" i="1"/>
  <c r="L505" i="1" s="1"/>
  <c r="O505" i="1" s="1"/>
  <c r="K502" i="1"/>
  <c r="L502" i="1" s="1"/>
  <c r="O502" i="1" s="1"/>
  <c r="K503" i="1"/>
  <c r="K501" i="1"/>
  <c r="L501" i="1" s="1"/>
  <c r="O501" i="1" s="1"/>
  <c r="K500" i="1"/>
  <c r="L500" i="1" s="1"/>
  <c r="O500" i="1" s="1"/>
  <c r="K504" i="1"/>
  <c r="L504" i="1" s="1"/>
  <c r="O504" i="1" s="1"/>
  <c r="R499" i="1"/>
  <c r="K498" i="1"/>
  <c r="K497" i="1"/>
  <c r="K496" i="1"/>
  <c r="L496" i="1" s="1"/>
  <c r="O496" i="1" s="1"/>
  <c r="K495" i="1"/>
  <c r="L495" i="1" s="1"/>
  <c r="O495" i="1" s="1"/>
  <c r="K494" i="1"/>
  <c r="L494" i="1" s="1"/>
  <c r="O494" i="1" s="1"/>
  <c r="H302" i="2"/>
  <c r="I302" i="2" s="1"/>
  <c r="K302" i="2" s="1"/>
  <c r="Q301" i="2"/>
  <c r="L486" i="1"/>
  <c r="O486" i="1" s="1"/>
  <c r="K488" i="1"/>
  <c r="L488" i="1" s="1"/>
  <c r="O488" i="1" s="1"/>
  <c r="K491" i="1"/>
  <c r="L491" i="1" s="1"/>
  <c r="M491" i="1" s="1"/>
  <c r="K490" i="1"/>
  <c r="L490" i="1" s="1"/>
  <c r="O490" i="1" s="1"/>
  <c r="K492" i="1"/>
  <c r="K493" i="1"/>
  <c r="L493" i="1" s="1"/>
  <c r="O493" i="1" s="1"/>
  <c r="K489" i="1"/>
  <c r="L489" i="1" s="1"/>
  <c r="O489" i="1" s="1"/>
  <c r="I300" i="2"/>
  <c r="L300" i="2" s="1"/>
  <c r="H299" i="2"/>
  <c r="H298" i="2"/>
  <c r="I298" i="2" s="1"/>
  <c r="L298" i="2" s="1"/>
  <c r="K487" i="1"/>
  <c r="L487" i="1" s="1"/>
  <c r="O487" i="1" s="1"/>
  <c r="E293" i="2"/>
  <c r="F485" i="1"/>
  <c r="H485" i="1" s="1"/>
  <c r="G485" i="1"/>
  <c r="G484" i="1"/>
  <c r="F484" i="1"/>
  <c r="H484" i="1" s="1"/>
  <c r="G483" i="1"/>
  <c r="F483" i="1"/>
  <c r="H483" i="1" s="1"/>
  <c r="G482" i="1"/>
  <c r="F482" i="1"/>
  <c r="H482" i="1" s="1"/>
  <c r="G481" i="1"/>
  <c r="F481" i="1"/>
  <c r="H481" i="1" s="1"/>
  <c r="G478" i="1"/>
  <c r="F478" i="1"/>
  <c r="H478" i="1" s="1"/>
  <c r="E292" i="2"/>
  <c r="G477" i="1"/>
  <c r="F477" i="1"/>
  <c r="H477" i="1" s="1"/>
  <c r="E290" i="2"/>
  <c r="E291" i="2"/>
  <c r="G476" i="1"/>
  <c r="F476" i="1"/>
  <c r="H476" i="1" s="1"/>
  <c r="G475" i="1"/>
  <c r="F475" i="1"/>
  <c r="H475" i="1" s="1"/>
  <c r="E294" i="2"/>
  <c r="E297" i="2"/>
  <c r="E295" i="2"/>
  <c r="E296" i="2"/>
  <c r="H296" i="2" s="1"/>
  <c r="E286" i="2"/>
  <c r="E289" i="2"/>
  <c r="E287" i="2"/>
  <c r="E288" i="2"/>
  <c r="F474" i="1"/>
  <c r="H474" i="1" s="1"/>
  <c r="K474" i="1" s="1"/>
  <c r="G474" i="1"/>
  <c r="G473" i="1"/>
  <c r="F473" i="1"/>
  <c r="H473" i="1" s="1"/>
  <c r="G472" i="1"/>
  <c r="F472" i="1"/>
  <c r="H472" i="1" s="1"/>
  <c r="G471" i="1"/>
  <c r="F471" i="1"/>
  <c r="H471" i="1" s="1"/>
  <c r="G470" i="1"/>
  <c r="F470" i="1"/>
  <c r="H470" i="1" s="1"/>
  <c r="G469" i="1"/>
  <c r="F469" i="1"/>
  <c r="H469" i="1" s="1"/>
  <c r="G468" i="1"/>
  <c r="F468" i="1"/>
  <c r="H468" i="1" s="1"/>
  <c r="G12" i="10"/>
  <c r="F12" i="10"/>
  <c r="H12" i="10" s="1"/>
  <c r="R522" i="1" l="1"/>
  <c r="R520" i="1"/>
  <c r="R516" i="1"/>
  <c r="R513" i="1"/>
  <c r="R514" i="1"/>
  <c r="R512" i="1"/>
  <c r="Q306" i="2"/>
  <c r="R510" i="1"/>
  <c r="R506" i="1"/>
  <c r="R507" i="1"/>
  <c r="Q304" i="2"/>
  <c r="Q305" i="2"/>
  <c r="R505" i="1"/>
  <c r="R501" i="1"/>
  <c r="L503" i="1"/>
  <c r="O503" i="1" s="1"/>
  <c r="R500" i="1"/>
  <c r="R504" i="1"/>
  <c r="R502" i="1"/>
  <c r="L498" i="1"/>
  <c r="O498" i="1" s="1"/>
  <c r="L497" i="1"/>
  <c r="O497" i="1" s="1"/>
  <c r="R496" i="1"/>
  <c r="R495" i="1"/>
  <c r="R494" i="1"/>
  <c r="Q302" i="2"/>
  <c r="R486" i="1"/>
  <c r="R489" i="1"/>
  <c r="R488" i="1"/>
  <c r="R491" i="1"/>
  <c r="R490" i="1"/>
  <c r="L492" i="1"/>
  <c r="O492" i="1" s="1"/>
  <c r="R493" i="1"/>
  <c r="Q300" i="2"/>
  <c r="I299" i="2"/>
  <c r="M299" i="2" s="1"/>
  <c r="Q298" i="2"/>
  <c r="R487" i="1"/>
  <c r="H293" i="2"/>
  <c r="I293" i="2" s="1"/>
  <c r="L293" i="2" s="1"/>
  <c r="K485" i="1"/>
  <c r="L485" i="1" s="1"/>
  <c r="K484" i="1"/>
  <c r="L484" i="1" s="1"/>
  <c r="M484" i="1" s="1"/>
  <c r="K483" i="1"/>
  <c r="L483" i="1" s="1"/>
  <c r="M483" i="1" s="1"/>
  <c r="K481" i="1"/>
  <c r="K482" i="1"/>
  <c r="L482" i="1" s="1"/>
  <c r="O482" i="1" s="1"/>
  <c r="K478" i="1"/>
  <c r="L478" i="1" s="1"/>
  <c r="O478" i="1" s="1"/>
  <c r="H292" i="2"/>
  <c r="K477" i="1"/>
  <c r="L477" i="1" s="1"/>
  <c r="M477" i="1" s="1"/>
  <c r="H291" i="2"/>
  <c r="H290" i="2"/>
  <c r="K476" i="1"/>
  <c r="K475" i="1"/>
  <c r="L475" i="1" s="1"/>
  <c r="O475" i="1" s="1"/>
  <c r="H294" i="2"/>
  <c r="H297" i="2"/>
  <c r="I297" i="2" s="1"/>
  <c r="K297" i="2" s="1"/>
  <c r="I296" i="2"/>
  <c r="J296" i="2" s="1"/>
  <c r="H295" i="2"/>
  <c r="H286" i="2"/>
  <c r="H287" i="2"/>
  <c r="I287" i="2" s="1"/>
  <c r="K287" i="2" s="1"/>
  <c r="H289" i="2"/>
  <c r="I289" i="2" s="1"/>
  <c r="K289" i="2" s="1"/>
  <c r="H288" i="2"/>
  <c r="I288" i="2" s="1"/>
  <c r="J288" i="2" s="1"/>
  <c r="L474" i="1"/>
  <c r="K473" i="1"/>
  <c r="L473" i="1" s="1"/>
  <c r="M473" i="1" s="1"/>
  <c r="K472" i="1"/>
  <c r="K471" i="1"/>
  <c r="L471" i="1" s="1"/>
  <c r="O471" i="1" s="1"/>
  <c r="K470" i="1"/>
  <c r="L470" i="1" s="1"/>
  <c r="O470" i="1" s="1"/>
  <c r="K469" i="1"/>
  <c r="L469" i="1" s="1"/>
  <c r="O469" i="1" s="1"/>
  <c r="K468" i="1"/>
  <c r="L468" i="1" s="1"/>
  <c r="O468" i="1" s="1"/>
  <c r="K12" i="10"/>
  <c r="G467" i="1"/>
  <c r="F467" i="1"/>
  <c r="H467" i="1" s="1"/>
  <c r="G466" i="1"/>
  <c r="F466" i="1"/>
  <c r="H466" i="1" s="1"/>
  <c r="E282" i="2"/>
  <c r="E281" i="2"/>
  <c r="H281" i="2" s="1"/>
  <c r="G465" i="1"/>
  <c r="F465" i="1"/>
  <c r="H465" i="1" s="1"/>
  <c r="E283" i="2"/>
  <c r="H283" i="2" s="1"/>
  <c r="G464" i="1"/>
  <c r="F464" i="1"/>
  <c r="H464" i="1" s="1"/>
  <c r="G463" i="1"/>
  <c r="F463" i="1"/>
  <c r="H463" i="1" s="1"/>
  <c r="G462" i="1"/>
  <c r="F462" i="1"/>
  <c r="H462" i="1" s="1"/>
  <c r="E285" i="2"/>
  <c r="H285" i="2" s="1"/>
  <c r="E284" i="2"/>
  <c r="G458" i="1"/>
  <c r="F458" i="1"/>
  <c r="H458" i="1" s="1"/>
  <c r="G457" i="1"/>
  <c r="F457" i="1"/>
  <c r="H457" i="1" s="1"/>
  <c r="G461" i="1"/>
  <c r="F461" i="1"/>
  <c r="H461" i="1" s="1"/>
  <c r="G460" i="1"/>
  <c r="F460" i="1"/>
  <c r="H460" i="1" s="1"/>
  <c r="G459" i="1"/>
  <c r="F459" i="1"/>
  <c r="H459" i="1" s="1"/>
  <c r="F456" i="1"/>
  <c r="H456" i="1" s="1"/>
  <c r="G456" i="1"/>
  <c r="G455" i="1"/>
  <c r="F455" i="1"/>
  <c r="H455" i="1" s="1"/>
  <c r="E273" i="2"/>
  <c r="H273" i="2" s="1"/>
  <c r="I286" i="2" l="1"/>
  <c r="L286" i="2" s="1"/>
  <c r="R503" i="1"/>
  <c r="R498" i="1"/>
  <c r="R497" i="1"/>
  <c r="R492" i="1"/>
  <c r="Q299" i="2"/>
  <c r="N485" i="1"/>
  <c r="Q485" i="1"/>
  <c r="Q293" i="2"/>
  <c r="R485" i="1"/>
  <c r="R484" i="1"/>
  <c r="R483" i="1"/>
  <c r="Q297" i="2"/>
  <c r="Q296" i="2"/>
  <c r="I295" i="2"/>
  <c r="K295" i="2" s="1"/>
  <c r="I291" i="2"/>
  <c r="M291" i="2" s="1"/>
  <c r="R478" i="1"/>
  <c r="Q287" i="2"/>
  <c r="L476" i="1"/>
  <c r="O476" i="1" s="1"/>
  <c r="O474" i="1"/>
  <c r="R482" i="1"/>
  <c r="L481" i="1"/>
  <c r="O481" i="1" s="1"/>
  <c r="I292" i="2"/>
  <c r="M292" i="2" s="1"/>
  <c r="R474" i="1"/>
  <c r="I290" i="2"/>
  <c r="N290" i="2" s="1"/>
  <c r="R475" i="1"/>
  <c r="I294" i="2"/>
  <c r="Q289" i="2"/>
  <c r="Q288" i="2"/>
  <c r="R473" i="1"/>
  <c r="L472" i="1"/>
  <c r="O472" i="1" s="1"/>
  <c r="R471" i="1"/>
  <c r="R470" i="1"/>
  <c r="R468" i="1"/>
  <c r="L12" i="10"/>
  <c r="K467" i="1"/>
  <c r="L467" i="1" s="1"/>
  <c r="O467" i="1" s="1"/>
  <c r="K466" i="1"/>
  <c r="H282" i="2"/>
  <c r="I282" i="2" s="1"/>
  <c r="L282" i="2" s="1"/>
  <c r="I281" i="2"/>
  <c r="M281" i="2" s="1"/>
  <c r="K465" i="1"/>
  <c r="L465" i="1" s="1"/>
  <c r="M465" i="1" s="1"/>
  <c r="I283" i="2"/>
  <c r="L283" i="2" s="1"/>
  <c r="K464" i="1"/>
  <c r="K463" i="1"/>
  <c r="K462" i="1"/>
  <c r="I285" i="2"/>
  <c r="J285" i="2" s="1"/>
  <c r="H284" i="2"/>
  <c r="K458" i="1"/>
  <c r="K457" i="1"/>
  <c r="L457" i="1" s="1"/>
  <c r="M457" i="1" s="1"/>
  <c r="K461" i="1"/>
  <c r="K460" i="1"/>
  <c r="K459" i="1"/>
  <c r="L459" i="1" s="1"/>
  <c r="O459" i="1" s="1"/>
  <c r="K456" i="1"/>
  <c r="L456" i="1" s="1"/>
  <c r="O456" i="1" s="1"/>
  <c r="K455" i="1"/>
  <c r="L455" i="1" s="1"/>
  <c r="M455" i="1" s="1"/>
  <c r="I273" i="2"/>
  <c r="J273" i="2" s="1"/>
  <c r="G443" i="1"/>
  <c r="F443" i="1"/>
  <c r="H443" i="1" s="1"/>
  <c r="E280" i="2"/>
  <c r="G454" i="1"/>
  <c r="F454" i="1"/>
  <c r="H454" i="1" s="1"/>
  <c r="K454" i="1" s="1"/>
  <c r="L454" i="1" s="1"/>
  <c r="G453" i="1"/>
  <c r="F453" i="1"/>
  <c r="H453" i="1" s="1"/>
  <c r="G452" i="1"/>
  <c r="F452" i="1"/>
  <c r="H452" i="1" s="1"/>
  <c r="G451" i="1"/>
  <c r="F451" i="1"/>
  <c r="H451" i="1" s="1"/>
  <c r="G450" i="1"/>
  <c r="F450" i="1"/>
  <c r="H450" i="1" s="1"/>
  <c r="G449" i="1"/>
  <c r="F449" i="1"/>
  <c r="H449" i="1" s="1"/>
  <c r="E277" i="2"/>
  <c r="H277" i="2" s="1"/>
  <c r="E274" i="2"/>
  <c r="E275" i="2"/>
  <c r="E278" i="2"/>
  <c r="H278" i="2" s="1"/>
  <c r="I278" i="2" s="1"/>
  <c r="M278" i="2" s="1"/>
  <c r="E279" i="2"/>
  <c r="H279" i="2" s="1"/>
  <c r="E270" i="2"/>
  <c r="E269" i="2"/>
  <c r="H269" i="2" s="1"/>
  <c r="E272" i="2"/>
  <c r="E271" i="2"/>
  <c r="G448" i="1"/>
  <c r="F448" i="1"/>
  <c r="H448" i="1" s="1"/>
  <c r="G447" i="1"/>
  <c r="F447" i="1"/>
  <c r="H447" i="1" s="1"/>
  <c r="G446" i="1"/>
  <c r="F446" i="1"/>
  <c r="H446" i="1" s="1"/>
  <c r="G445" i="1"/>
  <c r="F445" i="1"/>
  <c r="H445" i="1" s="1"/>
  <c r="G444" i="1"/>
  <c r="F444" i="1"/>
  <c r="H444" i="1" s="1"/>
  <c r="G442" i="1"/>
  <c r="F442" i="1"/>
  <c r="H442" i="1" s="1"/>
  <c r="G441" i="1"/>
  <c r="F441" i="1"/>
  <c r="H441" i="1" s="1"/>
  <c r="G440" i="1"/>
  <c r="F440" i="1"/>
  <c r="H440" i="1" s="1"/>
  <c r="G439" i="1"/>
  <c r="F439" i="1"/>
  <c r="H439" i="1" s="1"/>
  <c r="G438" i="1"/>
  <c r="F438" i="1"/>
  <c r="H438" i="1" s="1"/>
  <c r="G437" i="1"/>
  <c r="F437" i="1"/>
  <c r="H437" i="1" s="1"/>
  <c r="G436" i="1"/>
  <c r="F436" i="1"/>
  <c r="H436" i="1" s="1"/>
  <c r="G435" i="1"/>
  <c r="F435" i="1"/>
  <c r="H435" i="1" s="1"/>
  <c r="G434" i="1"/>
  <c r="F434" i="1"/>
  <c r="H434" i="1" s="1"/>
  <c r="G433" i="1"/>
  <c r="F433" i="1"/>
  <c r="H433" i="1" s="1"/>
  <c r="K433" i="1" s="1"/>
  <c r="G432" i="1"/>
  <c r="F432" i="1"/>
  <c r="H432" i="1" s="1"/>
  <c r="K432" i="1" s="1"/>
  <c r="G431" i="1"/>
  <c r="F431" i="1"/>
  <c r="H431" i="1" s="1"/>
  <c r="G430" i="1"/>
  <c r="F430" i="1"/>
  <c r="H430" i="1" s="1"/>
  <c r="E276" i="2"/>
  <c r="H276" i="2" s="1"/>
  <c r="I276" i="2" s="1"/>
  <c r="G422" i="1"/>
  <c r="F422" i="1"/>
  <c r="H422" i="1" s="1"/>
  <c r="K422" i="1" s="1"/>
  <c r="L422" i="1" s="1"/>
  <c r="O422" i="1" s="1"/>
  <c r="G429" i="1"/>
  <c r="F429" i="1"/>
  <c r="H429" i="1" s="1"/>
  <c r="G428" i="1"/>
  <c r="F428" i="1"/>
  <c r="H428" i="1" s="1"/>
  <c r="G427" i="1"/>
  <c r="F427" i="1"/>
  <c r="H427" i="1" s="1"/>
  <c r="G426" i="1"/>
  <c r="F426" i="1"/>
  <c r="H426" i="1" s="1"/>
  <c r="G425" i="1"/>
  <c r="F425" i="1"/>
  <c r="H425" i="1" s="1"/>
  <c r="G424" i="1"/>
  <c r="F424" i="1"/>
  <c r="H424" i="1" s="1"/>
  <c r="G423" i="1"/>
  <c r="F423" i="1"/>
  <c r="H423" i="1" s="1"/>
  <c r="E268" i="2"/>
  <c r="E265" i="2"/>
  <c r="H265" i="2" s="1"/>
  <c r="I265" i="2" s="1"/>
  <c r="L265" i="2" s="1"/>
  <c r="E266" i="2"/>
  <c r="H266" i="2" s="1"/>
  <c r="E267" i="2"/>
  <c r="H267" i="2" s="1"/>
  <c r="G421" i="1"/>
  <c r="F421" i="1"/>
  <c r="H421" i="1" s="1"/>
  <c r="K421" i="1" s="1"/>
  <c r="G420" i="1"/>
  <c r="F420" i="1"/>
  <c r="H420" i="1" s="1"/>
  <c r="G419" i="1"/>
  <c r="F419" i="1"/>
  <c r="H419" i="1" s="1"/>
  <c r="F418" i="1"/>
  <c r="H418" i="1" s="1"/>
  <c r="K418" i="1" s="1"/>
  <c r="F417" i="1"/>
  <c r="H417" i="1" s="1"/>
  <c r="G418" i="1"/>
  <c r="G417" i="1"/>
  <c r="E257" i="2"/>
  <c r="H257" i="2" s="1"/>
  <c r="I257" i="2" s="1"/>
  <c r="N257" i="2" s="1"/>
  <c r="G416" i="1"/>
  <c r="F416" i="1"/>
  <c r="H416" i="1" s="1"/>
  <c r="G415" i="1"/>
  <c r="F415" i="1"/>
  <c r="H415" i="1" s="1"/>
  <c r="G414" i="1"/>
  <c r="F414" i="1"/>
  <c r="H414" i="1" s="1"/>
  <c r="G413" i="1"/>
  <c r="F413" i="1"/>
  <c r="H413" i="1" s="1"/>
  <c r="G412" i="1"/>
  <c r="F412" i="1"/>
  <c r="H412" i="1" s="1"/>
  <c r="E264" i="2"/>
  <c r="E263" i="2"/>
  <c r="H263" i="2" s="1"/>
  <c r="E262" i="2"/>
  <c r="H262" i="2" s="1"/>
  <c r="E260" i="2"/>
  <c r="E261" i="2"/>
  <c r="E255" i="2"/>
  <c r="E256" i="2"/>
  <c r="G411" i="1"/>
  <c r="F411" i="1"/>
  <c r="H411" i="1" s="1"/>
  <c r="E254" i="2"/>
  <c r="H254" i="2" s="1"/>
  <c r="F410" i="1"/>
  <c r="H410" i="1" s="1"/>
  <c r="G410" i="1"/>
  <c r="G409" i="1"/>
  <c r="F409" i="1"/>
  <c r="H409" i="1" s="1"/>
  <c r="G408" i="1"/>
  <c r="F408" i="1"/>
  <c r="H408" i="1" s="1"/>
  <c r="E259" i="2"/>
  <c r="H259" i="2" s="1"/>
  <c r="E258" i="2"/>
  <c r="H258" i="2" s="1"/>
  <c r="I258" i="2" s="1"/>
  <c r="E253" i="2"/>
  <c r="H253" i="2" s="1"/>
  <c r="I253" i="2" s="1"/>
  <c r="G404" i="1"/>
  <c r="F404" i="1"/>
  <c r="H404" i="1" s="1"/>
  <c r="E247" i="2"/>
  <c r="G407" i="1"/>
  <c r="F407" i="1"/>
  <c r="H407" i="1" s="1"/>
  <c r="E245" i="2"/>
  <c r="E246" i="2"/>
  <c r="H246" i="2" s="1"/>
  <c r="E244" i="2"/>
  <c r="E249" i="2"/>
  <c r="E252" i="2"/>
  <c r="E251" i="2"/>
  <c r="H251" i="2" s="1"/>
  <c r="E250" i="2"/>
  <c r="H250" i="2" s="1"/>
  <c r="E248" i="2"/>
  <c r="G406" i="1"/>
  <c r="F406" i="1"/>
  <c r="H406" i="1" s="1"/>
  <c r="G405" i="1"/>
  <c r="F405" i="1"/>
  <c r="H405" i="1" s="1"/>
  <c r="G403" i="1"/>
  <c r="F403" i="1"/>
  <c r="H403" i="1" s="1"/>
  <c r="G402" i="1"/>
  <c r="F402" i="1"/>
  <c r="H402" i="1" s="1"/>
  <c r="G401" i="1"/>
  <c r="F401" i="1"/>
  <c r="H401" i="1" s="1"/>
  <c r="G400" i="1"/>
  <c r="F400" i="1"/>
  <c r="H400" i="1" s="1"/>
  <c r="E240" i="2"/>
  <c r="H240" i="2" s="1"/>
  <c r="G396" i="1"/>
  <c r="F396" i="1"/>
  <c r="H396" i="1" s="1"/>
  <c r="G399" i="1"/>
  <c r="F399" i="1"/>
  <c r="H399" i="1" s="1"/>
  <c r="G398" i="1"/>
  <c r="F398" i="1"/>
  <c r="H398" i="1" s="1"/>
  <c r="G397" i="1"/>
  <c r="F397" i="1"/>
  <c r="H397" i="1" s="1"/>
  <c r="G395" i="1"/>
  <c r="F395" i="1"/>
  <c r="H395" i="1" s="1"/>
  <c r="E241" i="2"/>
  <c r="E242" i="2"/>
  <c r="H242" i="2" s="1"/>
  <c r="G394" i="1"/>
  <c r="F394" i="1"/>
  <c r="H394" i="1" s="1"/>
  <c r="G393" i="1"/>
  <c r="F393" i="1"/>
  <c r="H393" i="1" s="1"/>
  <c r="E243" i="2"/>
  <c r="G392" i="1"/>
  <c r="F392" i="1"/>
  <c r="H392" i="1" s="1"/>
  <c r="E239" i="2"/>
  <c r="H239" i="2" s="1"/>
  <c r="E238" i="2"/>
  <c r="H238" i="2" s="1"/>
  <c r="I238" i="2" s="1"/>
  <c r="Q238" i="2" s="1"/>
  <c r="E237" i="2"/>
  <c r="H237" i="2" s="1"/>
  <c r="I237" i="2" s="1"/>
  <c r="G391" i="1"/>
  <c r="F391" i="1"/>
  <c r="H391" i="1" s="1"/>
  <c r="K391" i="1" s="1"/>
  <c r="L391" i="1" s="1"/>
  <c r="O391" i="1" s="1"/>
  <c r="G387" i="1"/>
  <c r="F387" i="1"/>
  <c r="H387" i="1" s="1"/>
  <c r="G390" i="1"/>
  <c r="F390" i="1"/>
  <c r="H390" i="1" s="1"/>
  <c r="G389" i="1"/>
  <c r="F389" i="1"/>
  <c r="H389" i="1" s="1"/>
  <c r="G388" i="1"/>
  <c r="F388" i="1"/>
  <c r="H388" i="1" s="1"/>
  <c r="G386" i="1"/>
  <c r="F386" i="1"/>
  <c r="H386" i="1" s="1"/>
  <c r="G385" i="1"/>
  <c r="F385" i="1"/>
  <c r="H385" i="1" s="1"/>
  <c r="G384" i="1"/>
  <c r="F384" i="1"/>
  <c r="H384" i="1" s="1"/>
  <c r="G383" i="1"/>
  <c r="F383" i="1"/>
  <c r="H383" i="1" s="1"/>
  <c r="G382" i="1"/>
  <c r="F382" i="1"/>
  <c r="H382" i="1" s="1"/>
  <c r="E234" i="2"/>
  <c r="H234" i="2" s="1"/>
  <c r="E236" i="2"/>
  <c r="G381" i="1"/>
  <c r="F381" i="1"/>
  <c r="H381" i="1" s="1"/>
  <c r="E235" i="2"/>
  <c r="G380" i="1"/>
  <c r="F380" i="1"/>
  <c r="H380" i="1" s="1"/>
  <c r="G379" i="1"/>
  <c r="F379" i="1"/>
  <c r="H379" i="1" s="1"/>
  <c r="G378" i="1"/>
  <c r="F378" i="1"/>
  <c r="H378" i="1" s="1"/>
  <c r="G377" i="1"/>
  <c r="F377" i="1"/>
  <c r="H377" i="1" s="1"/>
  <c r="E230" i="2"/>
  <c r="H230" i="2" s="1"/>
  <c r="I230" i="2" s="1"/>
  <c r="L230" i="2" s="1"/>
  <c r="E231" i="2"/>
  <c r="H231" i="2" s="1"/>
  <c r="I231" i="2" s="1"/>
  <c r="L231" i="2" s="1"/>
  <c r="E232" i="2"/>
  <c r="H232" i="2" s="1"/>
  <c r="E233" i="2"/>
  <c r="H233" i="2" s="1"/>
  <c r="G376" i="1"/>
  <c r="F376" i="1"/>
  <c r="H376" i="1" s="1"/>
  <c r="G375" i="1"/>
  <c r="F375" i="1"/>
  <c r="H375" i="1" s="1"/>
  <c r="K375" i="1" s="1"/>
  <c r="E229" i="2"/>
  <c r="H229" i="2" s="1"/>
  <c r="F374" i="1"/>
  <c r="H374" i="1" s="1"/>
  <c r="G374" i="1"/>
  <c r="G373" i="1"/>
  <c r="F373" i="1"/>
  <c r="H373" i="1" s="1"/>
  <c r="E227" i="2"/>
  <c r="E226" i="2"/>
  <c r="G372" i="1"/>
  <c r="F372" i="1"/>
  <c r="H372" i="1" s="1"/>
  <c r="E228" i="2"/>
  <c r="H228" i="2" s="1"/>
  <c r="Q286" i="2" l="1"/>
  <c r="I232" i="2"/>
  <c r="J232" i="2" s="1"/>
  <c r="Q283" i="2"/>
  <c r="Q295" i="2"/>
  <c r="Q291" i="2"/>
  <c r="R476" i="1"/>
  <c r="R481" i="1"/>
  <c r="Q292" i="2"/>
  <c r="Q290" i="2"/>
  <c r="P294" i="2"/>
  <c r="N294" i="2"/>
  <c r="Q294" i="2"/>
  <c r="R472" i="1"/>
  <c r="Q12" i="10"/>
  <c r="O12" i="10"/>
  <c r="R12" i="10"/>
  <c r="Q282" i="2"/>
  <c r="R467" i="1"/>
  <c r="L466" i="1"/>
  <c r="O466" i="1" s="1"/>
  <c r="Q281" i="2"/>
  <c r="R465" i="1"/>
  <c r="L463" i="1"/>
  <c r="O463" i="1" s="1"/>
  <c r="L464" i="1"/>
  <c r="O464" i="1" s="1"/>
  <c r="L462" i="1"/>
  <c r="O462" i="1" s="1"/>
  <c r="Q285" i="2"/>
  <c r="I284" i="2"/>
  <c r="K284" i="2" s="1"/>
  <c r="L458" i="1"/>
  <c r="M458" i="1" s="1"/>
  <c r="R457" i="1"/>
  <c r="L461" i="1"/>
  <c r="M461" i="1" s="1"/>
  <c r="L460" i="1"/>
  <c r="O460" i="1" s="1"/>
  <c r="R459" i="1"/>
  <c r="R456" i="1"/>
  <c r="R455" i="1"/>
  <c r="I277" i="2"/>
  <c r="L277" i="2" s="1"/>
  <c r="I279" i="2"/>
  <c r="L279" i="2" s="1"/>
  <c r="Q273" i="2"/>
  <c r="K443" i="1"/>
  <c r="L443" i="1" s="1"/>
  <c r="O443" i="1" s="1"/>
  <c r="H280" i="2"/>
  <c r="I280" i="2" s="1"/>
  <c r="K280" i="2" s="1"/>
  <c r="K452" i="1"/>
  <c r="K449" i="1"/>
  <c r="K450" i="1"/>
  <c r="L450" i="1" s="1"/>
  <c r="O450" i="1" s="1"/>
  <c r="O454" i="1"/>
  <c r="R454" i="1"/>
  <c r="K451" i="1"/>
  <c r="L451" i="1" s="1"/>
  <c r="O451" i="1" s="1"/>
  <c r="K453" i="1"/>
  <c r="L453" i="1" s="1"/>
  <c r="O453" i="1" s="1"/>
  <c r="H274" i="2"/>
  <c r="I274" i="2" s="1"/>
  <c r="H275" i="2"/>
  <c r="Q278" i="2"/>
  <c r="H270" i="2"/>
  <c r="I269" i="2"/>
  <c r="M269" i="2" s="1"/>
  <c r="H271" i="2"/>
  <c r="H272" i="2"/>
  <c r="K448" i="1"/>
  <c r="L448" i="1" s="1"/>
  <c r="O448" i="1" s="1"/>
  <c r="K447" i="1"/>
  <c r="L447" i="1" s="1"/>
  <c r="M447" i="1" s="1"/>
  <c r="K446" i="1"/>
  <c r="K445" i="1"/>
  <c r="L445" i="1" s="1"/>
  <c r="O445" i="1" s="1"/>
  <c r="K444" i="1"/>
  <c r="L444" i="1" s="1"/>
  <c r="O444" i="1" s="1"/>
  <c r="K442" i="1"/>
  <c r="K441" i="1"/>
  <c r="K440" i="1"/>
  <c r="L440" i="1" s="1"/>
  <c r="O440" i="1" s="1"/>
  <c r="K439" i="1"/>
  <c r="L439" i="1" s="1"/>
  <c r="O439" i="1" s="1"/>
  <c r="K438" i="1"/>
  <c r="K437" i="1"/>
  <c r="K436" i="1"/>
  <c r="L436" i="1" s="1"/>
  <c r="M436" i="1" s="1"/>
  <c r="K435" i="1"/>
  <c r="K434" i="1"/>
  <c r="L433" i="1"/>
  <c r="M433" i="1" s="1"/>
  <c r="L432" i="1"/>
  <c r="O432" i="1" s="1"/>
  <c r="K431" i="1"/>
  <c r="K430" i="1"/>
  <c r="L430" i="1" s="1"/>
  <c r="O430" i="1" s="1"/>
  <c r="Q276" i="2"/>
  <c r="O276" i="2"/>
  <c r="R422" i="1"/>
  <c r="K429" i="1"/>
  <c r="L429" i="1" s="1"/>
  <c r="M429" i="1" s="1"/>
  <c r="K428" i="1"/>
  <c r="K427" i="1"/>
  <c r="L427" i="1" s="1"/>
  <c r="O427" i="1" s="1"/>
  <c r="K426" i="1"/>
  <c r="K425" i="1"/>
  <c r="L425" i="1" s="1"/>
  <c r="O425" i="1" s="1"/>
  <c r="K423" i="1"/>
  <c r="K424" i="1"/>
  <c r="H268" i="2"/>
  <c r="I268" i="2" s="1"/>
  <c r="M268" i="2" s="1"/>
  <c r="I266" i="2"/>
  <c r="J266" i="2" s="1"/>
  <c r="I267" i="2"/>
  <c r="K267" i="2" s="1"/>
  <c r="Q265" i="2"/>
  <c r="K419" i="1"/>
  <c r="L419" i="1" s="1"/>
  <c r="O419" i="1" s="1"/>
  <c r="L418" i="1"/>
  <c r="O418" i="1" s="1"/>
  <c r="K417" i="1"/>
  <c r="L417" i="1" s="1"/>
  <c r="O417" i="1" s="1"/>
  <c r="L421" i="1"/>
  <c r="M421" i="1" s="1"/>
  <c r="K420" i="1"/>
  <c r="Q257" i="2"/>
  <c r="K416" i="1"/>
  <c r="K415" i="1"/>
  <c r="K414" i="1"/>
  <c r="L414" i="1" s="1"/>
  <c r="O414" i="1" s="1"/>
  <c r="K412" i="1"/>
  <c r="K413" i="1"/>
  <c r="L413" i="1" s="1"/>
  <c r="O413" i="1" s="1"/>
  <c r="H264" i="2"/>
  <c r="I264" i="2" s="1"/>
  <c r="K264" i="2" s="1"/>
  <c r="I263" i="2"/>
  <c r="I262" i="2"/>
  <c r="H261" i="2"/>
  <c r="I261" i="2" s="1"/>
  <c r="L261" i="2" s="1"/>
  <c r="H260" i="2"/>
  <c r="I260" i="2" s="1"/>
  <c r="H255" i="2"/>
  <c r="I255" i="2" s="1"/>
  <c r="M255" i="2" s="1"/>
  <c r="H256" i="2"/>
  <c r="I256" i="2" s="1"/>
  <c r="L256" i="2" s="1"/>
  <c r="K411" i="1"/>
  <c r="I254" i="2"/>
  <c r="N254" i="2" s="1"/>
  <c r="K410" i="1"/>
  <c r="L410" i="1" s="1"/>
  <c r="M410" i="1" s="1"/>
  <c r="K409" i="1"/>
  <c r="K408" i="1"/>
  <c r="I259" i="2"/>
  <c r="L259" i="2" s="1"/>
  <c r="M258" i="2"/>
  <c r="Q258" i="2"/>
  <c r="L253" i="2"/>
  <c r="Q253" i="2"/>
  <c r="K404" i="1"/>
  <c r="L404" i="1" s="1"/>
  <c r="O404" i="1" s="1"/>
  <c r="H247" i="2"/>
  <c r="K407" i="1"/>
  <c r="L407" i="1" s="1"/>
  <c r="M407" i="1" s="1"/>
  <c r="H249" i="2"/>
  <c r="I249" i="2" s="1"/>
  <c r="M249" i="2" s="1"/>
  <c r="I250" i="2"/>
  <c r="L250" i="2" s="1"/>
  <c r="I246" i="2"/>
  <c r="L246" i="2" s="1"/>
  <c r="H245" i="2"/>
  <c r="H244" i="2"/>
  <c r="I244" i="2" s="1"/>
  <c r="M244" i="2" s="1"/>
  <c r="H252" i="2"/>
  <c r="I251" i="2"/>
  <c r="K251" i="2" s="1"/>
  <c r="H248" i="2"/>
  <c r="K406" i="1"/>
  <c r="L406" i="1" s="1"/>
  <c r="O406" i="1" s="1"/>
  <c r="K405" i="1"/>
  <c r="L405" i="1" s="1"/>
  <c r="M405" i="1" s="1"/>
  <c r="K403" i="1"/>
  <c r="K402" i="1"/>
  <c r="K400" i="1"/>
  <c r="K401" i="1"/>
  <c r="I240" i="2"/>
  <c r="N240" i="2" s="1"/>
  <c r="K396" i="1"/>
  <c r="M237" i="2"/>
  <c r="N237" i="2"/>
  <c r="I242" i="2"/>
  <c r="L242" i="2" s="1"/>
  <c r="K399" i="1"/>
  <c r="K397" i="1"/>
  <c r="K398" i="1"/>
  <c r="K395" i="1"/>
  <c r="L395" i="1" s="1"/>
  <c r="O395" i="1" s="1"/>
  <c r="H241" i="2"/>
  <c r="K393" i="1"/>
  <c r="L393" i="1" s="1"/>
  <c r="O393" i="1" s="1"/>
  <c r="K394" i="1"/>
  <c r="L394" i="1" s="1"/>
  <c r="O394" i="1" s="1"/>
  <c r="H243" i="2"/>
  <c r="K392" i="1"/>
  <c r="L392" i="1" s="1"/>
  <c r="O392" i="1" s="1"/>
  <c r="I239" i="2"/>
  <c r="Q239" i="2" s="1"/>
  <c r="K238" i="2"/>
  <c r="Q237" i="2"/>
  <c r="K387" i="1"/>
  <c r="L387" i="1" s="1"/>
  <c r="O387" i="1" s="1"/>
  <c r="K390" i="1"/>
  <c r="L390" i="1" s="1"/>
  <c r="O390" i="1" s="1"/>
  <c r="K389" i="1"/>
  <c r="L389" i="1" s="1"/>
  <c r="O389" i="1" s="1"/>
  <c r="K388" i="1"/>
  <c r="L388" i="1" s="1"/>
  <c r="O388" i="1" s="1"/>
  <c r="K386" i="1"/>
  <c r="L386" i="1" s="1"/>
  <c r="M386" i="1" s="1"/>
  <c r="K385" i="1"/>
  <c r="K384" i="1"/>
  <c r="L384" i="1" s="1"/>
  <c r="O384" i="1" s="1"/>
  <c r="K383" i="1"/>
  <c r="L383" i="1" s="1"/>
  <c r="O383" i="1" s="1"/>
  <c r="K382" i="1"/>
  <c r="L382" i="1" s="1"/>
  <c r="O382" i="1" s="1"/>
  <c r="I234" i="2"/>
  <c r="H236" i="2"/>
  <c r="I236" i="2" s="1"/>
  <c r="K381" i="1"/>
  <c r="H235" i="2"/>
  <c r="Q231" i="2"/>
  <c r="Q230" i="2"/>
  <c r="I233" i="2"/>
  <c r="K233" i="2" s="1"/>
  <c r="K380" i="1"/>
  <c r="K379" i="1"/>
  <c r="K378" i="1"/>
  <c r="L378" i="1" s="1"/>
  <c r="O378" i="1" s="1"/>
  <c r="K377" i="1"/>
  <c r="L377" i="1" s="1"/>
  <c r="M377" i="1" s="1"/>
  <c r="K376" i="1"/>
  <c r="L376" i="1" s="1"/>
  <c r="O376" i="1" s="1"/>
  <c r="L375" i="1"/>
  <c r="M375" i="1" s="1"/>
  <c r="K374" i="1"/>
  <c r="I229" i="2"/>
  <c r="J229" i="2" s="1"/>
  <c r="K373" i="1"/>
  <c r="L373" i="1" s="1"/>
  <c r="M373" i="1" s="1"/>
  <c r="H227" i="2"/>
  <c r="H226" i="2"/>
  <c r="I226" i="2" s="1"/>
  <c r="L226" i="2" s="1"/>
  <c r="K372" i="1"/>
  <c r="L372" i="1" s="1"/>
  <c r="O372" i="1" s="1"/>
  <c r="I228" i="2"/>
  <c r="K228" i="2" s="1"/>
  <c r="E223" i="2"/>
  <c r="G371" i="1"/>
  <c r="F371" i="1"/>
  <c r="H371" i="1" s="1"/>
  <c r="G370" i="1"/>
  <c r="F370" i="1"/>
  <c r="H370" i="1" s="1"/>
  <c r="G369" i="1"/>
  <c r="F369" i="1"/>
  <c r="H369" i="1" s="1"/>
  <c r="G368" i="1"/>
  <c r="F368" i="1"/>
  <c r="H368" i="1" s="1"/>
  <c r="G367" i="1"/>
  <c r="F367" i="1"/>
  <c r="H367" i="1" s="1"/>
  <c r="G366" i="1"/>
  <c r="F366" i="1"/>
  <c r="H366" i="1" s="1"/>
  <c r="G365" i="1"/>
  <c r="F365" i="1"/>
  <c r="H365" i="1" s="1"/>
  <c r="G364" i="1"/>
  <c r="F364" i="1"/>
  <c r="H364" i="1" s="1"/>
  <c r="G363" i="1"/>
  <c r="F363" i="1"/>
  <c r="H363" i="1" s="1"/>
  <c r="E224" i="2"/>
  <c r="H224" i="2" s="1"/>
  <c r="I224" i="2" s="1"/>
  <c r="E225" i="2"/>
  <c r="H225" i="2" s="1"/>
  <c r="I225" i="2" s="1"/>
  <c r="K225" i="2" s="1"/>
  <c r="G362" i="1"/>
  <c r="F362" i="1"/>
  <c r="H362" i="1" s="1"/>
  <c r="G361" i="1"/>
  <c r="F361" i="1"/>
  <c r="H361" i="1" s="1"/>
  <c r="G360" i="1"/>
  <c r="F360" i="1"/>
  <c r="H360" i="1" s="1"/>
  <c r="E220" i="2"/>
  <c r="H220" i="2" s="1"/>
  <c r="E222" i="2"/>
  <c r="H222" i="2" s="1"/>
  <c r="I222" i="2" s="1"/>
  <c r="K222" i="2" s="1"/>
  <c r="E221" i="2"/>
  <c r="H221" i="2" s="1"/>
  <c r="E219" i="2"/>
  <c r="E216" i="2"/>
  <c r="H216" i="2" s="1"/>
  <c r="E215" i="2"/>
  <c r="H215" i="2" s="1"/>
  <c r="G359" i="1"/>
  <c r="F359" i="1"/>
  <c r="H359" i="1" s="1"/>
  <c r="G327" i="1"/>
  <c r="F327" i="1"/>
  <c r="H327" i="1" s="1"/>
  <c r="G326" i="1"/>
  <c r="F326" i="1"/>
  <c r="H326" i="1" s="1"/>
  <c r="G358" i="1"/>
  <c r="F358" i="1"/>
  <c r="H358" i="1" s="1"/>
  <c r="G357" i="1"/>
  <c r="F357" i="1"/>
  <c r="H357" i="1" s="1"/>
  <c r="E217" i="2"/>
  <c r="E218" i="2"/>
  <c r="G354" i="1"/>
  <c r="F354" i="1"/>
  <c r="H354" i="1" s="1"/>
  <c r="G353" i="1"/>
  <c r="F353" i="1"/>
  <c r="H353" i="1" s="1"/>
  <c r="G352" i="1"/>
  <c r="F352" i="1"/>
  <c r="H352" i="1" s="1"/>
  <c r="G351" i="1"/>
  <c r="F351" i="1"/>
  <c r="H351" i="1" s="1"/>
  <c r="G350" i="1"/>
  <c r="F350" i="1"/>
  <c r="H350" i="1" s="1"/>
  <c r="G349" i="1"/>
  <c r="F349" i="1"/>
  <c r="H349" i="1" s="1"/>
  <c r="K349" i="1" s="1"/>
  <c r="G348" i="1"/>
  <c r="F348" i="1"/>
  <c r="H348" i="1" s="1"/>
  <c r="E212" i="2"/>
  <c r="E213" i="2"/>
  <c r="H213" i="2" s="1"/>
  <c r="E214" i="2"/>
  <c r="H214" i="2" s="1"/>
  <c r="E211" i="2"/>
  <c r="E209" i="2"/>
  <c r="H209" i="2" s="1"/>
  <c r="E210" i="2"/>
  <c r="H210" i="2" s="1"/>
  <c r="G347" i="1"/>
  <c r="F347" i="1"/>
  <c r="H347" i="1" s="1"/>
  <c r="E204" i="2"/>
  <c r="H204" i="2" s="1"/>
  <c r="I204" i="2" s="1"/>
  <c r="M204" i="2" s="1"/>
  <c r="E205" i="2"/>
  <c r="G342" i="1"/>
  <c r="F342" i="1"/>
  <c r="H342" i="1" s="1"/>
  <c r="E206" i="2"/>
  <c r="H206" i="2" s="1"/>
  <c r="I206" i="2" s="1"/>
  <c r="E207" i="2"/>
  <c r="H207" i="2" s="1"/>
  <c r="E208" i="2"/>
  <c r="H208" i="2" s="1"/>
  <c r="G346" i="1"/>
  <c r="F346" i="1"/>
  <c r="H346" i="1" s="1"/>
  <c r="G345" i="1"/>
  <c r="F345" i="1"/>
  <c r="H345" i="1" s="1"/>
  <c r="G344" i="1"/>
  <c r="F344" i="1"/>
  <c r="H344" i="1" s="1"/>
  <c r="G343" i="1"/>
  <c r="F343" i="1"/>
  <c r="H343" i="1" s="1"/>
  <c r="G339" i="1"/>
  <c r="F339" i="1"/>
  <c r="H339" i="1" s="1"/>
  <c r="G341" i="1"/>
  <c r="F341" i="1"/>
  <c r="H341" i="1" s="1"/>
  <c r="G340" i="1"/>
  <c r="F340" i="1"/>
  <c r="H340" i="1" s="1"/>
  <c r="G338" i="1"/>
  <c r="F338" i="1"/>
  <c r="H338" i="1" s="1"/>
  <c r="G337" i="1"/>
  <c r="F337" i="1"/>
  <c r="H337" i="1" s="1"/>
  <c r="K337" i="1" s="1"/>
  <c r="G336" i="1"/>
  <c r="F336" i="1"/>
  <c r="H336" i="1" s="1"/>
  <c r="K336" i="1" s="1"/>
  <c r="L336" i="1" s="1"/>
  <c r="O336" i="1" s="1"/>
  <c r="E203" i="2"/>
  <c r="H203" i="2" s="1"/>
  <c r="I203" i="2" s="1"/>
  <c r="M203" i="2" s="1"/>
  <c r="E201" i="2"/>
  <c r="E200" i="2"/>
  <c r="H200" i="2" s="1"/>
  <c r="G335" i="1"/>
  <c r="F335" i="1"/>
  <c r="H335" i="1" s="1"/>
  <c r="G334" i="1"/>
  <c r="F334" i="1"/>
  <c r="H334" i="1" s="1"/>
  <c r="G333" i="1"/>
  <c r="F333" i="1"/>
  <c r="H333" i="1" s="1"/>
  <c r="G332" i="1"/>
  <c r="F332" i="1"/>
  <c r="H332" i="1" s="1"/>
  <c r="G331" i="1"/>
  <c r="F331" i="1"/>
  <c r="H331" i="1" s="1"/>
  <c r="E202" i="2"/>
  <c r="G322" i="1"/>
  <c r="F322" i="1"/>
  <c r="H322" i="1" s="1"/>
  <c r="M224" i="2" l="1"/>
  <c r="N224" i="2"/>
  <c r="Q232" i="2"/>
  <c r="I270" i="2"/>
  <c r="N270" i="2" s="1"/>
  <c r="I271" i="2"/>
  <c r="L271" i="2" s="1"/>
  <c r="Q277" i="2"/>
  <c r="Q269" i="2"/>
  <c r="Q233" i="2"/>
  <c r="Q267" i="2"/>
  <c r="I272" i="2"/>
  <c r="K272" i="2" s="1"/>
  <c r="Q266" i="2"/>
  <c r="R466" i="1"/>
  <c r="R463" i="1"/>
  <c r="R464" i="1"/>
  <c r="R462" i="1"/>
  <c r="Q284" i="2"/>
  <c r="R458" i="1"/>
  <c r="R461" i="1"/>
  <c r="R460" i="1"/>
  <c r="Q274" i="2"/>
  <c r="M274" i="2"/>
  <c r="Q279" i="2"/>
  <c r="R443" i="1"/>
  <c r="Q280" i="2"/>
  <c r="L452" i="1"/>
  <c r="O452" i="1" s="1"/>
  <c r="R450" i="1"/>
  <c r="R453" i="1"/>
  <c r="R451" i="1"/>
  <c r="L449" i="1"/>
  <c r="O449" i="1" s="1"/>
  <c r="I275" i="2"/>
  <c r="R433" i="1"/>
  <c r="R439" i="1"/>
  <c r="R448" i="1"/>
  <c r="R447" i="1"/>
  <c r="L446" i="1"/>
  <c r="M446" i="1" s="1"/>
  <c r="R445" i="1"/>
  <c r="R444" i="1"/>
  <c r="L442" i="1"/>
  <c r="O442" i="1" s="1"/>
  <c r="L441" i="1"/>
  <c r="O441" i="1" s="1"/>
  <c r="R440" i="1"/>
  <c r="L438" i="1"/>
  <c r="O438" i="1" s="1"/>
  <c r="L437" i="1"/>
  <c r="O437" i="1" s="1"/>
  <c r="R436" i="1"/>
  <c r="L435" i="1"/>
  <c r="M435" i="1" s="1"/>
  <c r="L434" i="1"/>
  <c r="O434" i="1" s="1"/>
  <c r="R432" i="1"/>
  <c r="L431" i="1"/>
  <c r="O431" i="1" s="1"/>
  <c r="R430" i="1"/>
  <c r="R429" i="1"/>
  <c r="L428" i="1"/>
  <c r="M428" i="1" s="1"/>
  <c r="R427" i="1"/>
  <c r="L426" i="1"/>
  <c r="O426" i="1" s="1"/>
  <c r="L424" i="1"/>
  <c r="O424" i="1" s="1"/>
  <c r="L423" i="1"/>
  <c r="O423" i="1" s="1"/>
  <c r="Q268" i="2"/>
  <c r="R418" i="1"/>
  <c r="R419" i="1"/>
  <c r="R417" i="1"/>
  <c r="R421" i="1"/>
  <c r="L420" i="1"/>
  <c r="O420" i="1" s="1"/>
  <c r="L416" i="1"/>
  <c r="O416" i="1" s="1"/>
  <c r="L415" i="1"/>
  <c r="M415" i="1" s="1"/>
  <c r="R414" i="1"/>
  <c r="R413" i="1"/>
  <c r="L412" i="1"/>
  <c r="O412" i="1" s="1"/>
  <c r="Q264" i="2"/>
  <c r="K263" i="2"/>
  <c r="Q263" i="2"/>
  <c r="L262" i="2"/>
  <c r="Q262" i="2"/>
  <c r="M260" i="2"/>
  <c r="Q260" i="2"/>
  <c r="Q261" i="2"/>
  <c r="Q255" i="2"/>
  <c r="Q256" i="2"/>
  <c r="L411" i="1"/>
  <c r="O411" i="1" s="1"/>
  <c r="Q254" i="2"/>
  <c r="L408" i="1"/>
  <c r="M408" i="1" s="1"/>
  <c r="L409" i="1"/>
  <c r="O409" i="1" s="1"/>
  <c r="Q259" i="2"/>
  <c r="R404" i="1"/>
  <c r="I247" i="2"/>
  <c r="M247" i="2" s="1"/>
  <c r="R407" i="1"/>
  <c r="Q249" i="2"/>
  <c r="Q250" i="2"/>
  <c r="Q246" i="2"/>
  <c r="I245" i="2"/>
  <c r="L245" i="2" s="1"/>
  <c r="Q244" i="2"/>
  <c r="I252" i="2"/>
  <c r="K252" i="2" s="1"/>
  <c r="Q251" i="2"/>
  <c r="I248" i="2"/>
  <c r="L248" i="2" s="1"/>
  <c r="R406" i="1"/>
  <c r="R405" i="1"/>
  <c r="L403" i="1"/>
  <c r="O403" i="1" s="1"/>
  <c r="L402" i="1"/>
  <c r="M402" i="1" s="1"/>
  <c r="L401" i="1"/>
  <c r="O401" i="1" s="1"/>
  <c r="L400" i="1"/>
  <c r="O400" i="1" s="1"/>
  <c r="Q240" i="2"/>
  <c r="Q242" i="2"/>
  <c r="L396" i="1"/>
  <c r="O396" i="1" s="1"/>
  <c r="L399" i="1"/>
  <c r="O399" i="1" s="1"/>
  <c r="L398" i="1"/>
  <c r="O398" i="1" s="1"/>
  <c r="L397" i="1"/>
  <c r="M397" i="1" s="1"/>
  <c r="R395" i="1"/>
  <c r="I241" i="2"/>
  <c r="R394" i="1"/>
  <c r="R393" i="1"/>
  <c r="I243" i="2"/>
  <c r="J243" i="2" s="1"/>
  <c r="R392" i="1"/>
  <c r="L239" i="2"/>
  <c r="N239" i="2"/>
  <c r="R387" i="1"/>
  <c r="R390" i="1"/>
  <c r="R389" i="1"/>
  <c r="R388" i="1"/>
  <c r="R386" i="1"/>
  <c r="R384" i="1"/>
  <c r="L385" i="1"/>
  <c r="O385" i="1" s="1"/>
  <c r="R383" i="1"/>
  <c r="R382" i="1"/>
  <c r="M234" i="2"/>
  <c r="L234" i="2"/>
  <c r="Q234" i="2"/>
  <c r="K236" i="2"/>
  <c r="Q236" i="2"/>
  <c r="L381" i="1"/>
  <c r="M381" i="1" s="1"/>
  <c r="I235" i="2"/>
  <c r="L235" i="2" s="1"/>
  <c r="R376" i="1"/>
  <c r="L380" i="1"/>
  <c r="O380" i="1" s="1"/>
  <c r="L379" i="1"/>
  <c r="O379" i="1" s="1"/>
  <c r="R378" i="1"/>
  <c r="R377" i="1"/>
  <c r="R375" i="1"/>
  <c r="L374" i="1"/>
  <c r="O374" i="1" s="1"/>
  <c r="Q229" i="2"/>
  <c r="Q228" i="2"/>
  <c r="R373" i="1"/>
  <c r="I227" i="2"/>
  <c r="L227" i="2" s="1"/>
  <c r="Q226" i="2"/>
  <c r="R372" i="1"/>
  <c r="H223" i="2"/>
  <c r="Q224" i="2"/>
  <c r="K371" i="1"/>
  <c r="K370" i="1"/>
  <c r="L370" i="1" s="1"/>
  <c r="M370" i="1" s="1"/>
  <c r="K367" i="1"/>
  <c r="K364" i="1"/>
  <c r="K368" i="1"/>
  <c r="K366" i="1"/>
  <c r="L366" i="1" s="1"/>
  <c r="O366" i="1" s="1"/>
  <c r="K365" i="1"/>
  <c r="L365" i="1" s="1"/>
  <c r="M365" i="1" s="1"/>
  <c r="K363" i="1"/>
  <c r="L363" i="1" s="1"/>
  <c r="O363" i="1" s="1"/>
  <c r="K369" i="1"/>
  <c r="L369" i="1" s="1"/>
  <c r="O369" i="1" s="1"/>
  <c r="Q225" i="2"/>
  <c r="K361" i="1"/>
  <c r="K360" i="1"/>
  <c r="L360" i="1" s="1"/>
  <c r="O360" i="1" s="1"/>
  <c r="K362" i="1"/>
  <c r="I220" i="2"/>
  <c r="L220" i="2" s="1"/>
  <c r="Q222" i="2"/>
  <c r="H219" i="2"/>
  <c r="I221" i="2"/>
  <c r="J221" i="2" s="1"/>
  <c r="I216" i="2"/>
  <c r="I215" i="2"/>
  <c r="N215" i="2" s="1"/>
  <c r="K359" i="1"/>
  <c r="K327" i="1"/>
  <c r="L327" i="1" s="1"/>
  <c r="O327" i="1" s="1"/>
  <c r="K326" i="1"/>
  <c r="L326" i="1" s="1"/>
  <c r="O326" i="1" s="1"/>
  <c r="K358" i="1"/>
  <c r="K357" i="1"/>
  <c r="H217" i="2"/>
  <c r="I217" i="2" s="1"/>
  <c r="Q217" i="2" s="1"/>
  <c r="H218" i="2"/>
  <c r="K354" i="1"/>
  <c r="L354" i="1" s="1"/>
  <c r="O354" i="1" s="1"/>
  <c r="K353" i="1"/>
  <c r="L353" i="1" s="1"/>
  <c r="M353" i="1" s="1"/>
  <c r="K352" i="1"/>
  <c r="L352" i="1" s="1"/>
  <c r="O352" i="1" s="1"/>
  <c r="K350" i="1"/>
  <c r="L350" i="1" s="1"/>
  <c r="O350" i="1" s="1"/>
  <c r="K351" i="1"/>
  <c r="L349" i="1"/>
  <c r="O349" i="1" s="1"/>
  <c r="K348" i="1"/>
  <c r="L348" i="1" s="1"/>
  <c r="O348" i="1" s="1"/>
  <c r="H212" i="2"/>
  <c r="I213" i="2"/>
  <c r="J213" i="2" s="1"/>
  <c r="I214" i="2"/>
  <c r="K214" i="2" s="1"/>
  <c r="H211" i="2"/>
  <c r="I210" i="2"/>
  <c r="I209" i="2"/>
  <c r="K347" i="1"/>
  <c r="L347" i="1" s="1"/>
  <c r="M347" i="1" s="1"/>
  <c r="Q203" i="2"/>
  <c r="N204" i="2"/>
  <c r="Q204" i="2"/>
  <c r="Q206" i="2"/>
  <c r="N206" i="2"/>
  <c r="I207" i="2"/>
  <c r="I208" i="2"/>
  <c r="K208" i="2" s="1"/>
  <c r="H205" i="2"/>
  <c r="K342" i="1"/>
  <c r="L342" i="1" s="1"/>
  <c r="M342" i="1" s="1"/>
  <c r="K346" i="1"/>
  <c r="L346" i="1" s="1"/>
  <c r="O346" i="1" s="1"/>
  <c r="K345" i="1"/>
  <c r="L345" i="1" s="1"/>
  <c r="O345" i="1" s="1"/>
  <c r="K344" i="1"/>
  <c r="L344" i="1" s="1"/>
  <c r="O344" i="1" s="1"/>
  <c r="K343" i="1"/>
  <c r="L343" i="1" s="1"/>
  <c r="O343" i="1" s="1"/>
  <c r="K339" i="1"/>
  <c r="K340" i="1"/>
  <c r="L340" i="1" s="1"/>
  <c r="M340" i="1" s="1"/>
  <c r="K341" i="1"/>
  <c r="L341" i="1" s="1"/>
  <c r="O341" i="1" s="1"/>
  <c r="K338" i="1"/>
  <c r="L338" i="1" s="1"/>
  <c r="M338" i="1" s="1"/>
  <c r="L337" i="1"/>
  <c r="M337" i="1" s="1"/>
  <c r="R336" i="1"/>
  <c r="H201" i="2"/>
  <c r="I200" i="2"/>
  <c r="N200" i="2" s="1"/>
  <c r="K335" i="1"/>
  <c r="L335" i="1" s="1"/>
  <c r="O335" i="1" s="1"/>
  <c r="K334" i="1"/>
  <c r="K333" i="1"/>
  <c r="L333" i="1" s="1"/>
  <c r="O333" i="1" s="1"/>
  <c r="K332" i="1"/>
  <c r="K331" i="1"/>
  <c r="L331" i="1" s="1"/>
  <c r="O331" i="1" s="1"/>
  <c r="H202" i="2"/>
  <c r="I202" i="2" s="1"/>
  <c r="K202" i="2" s="1"/>
  <c r="K322" i="1"/>
  <c r="E198" i="2"/>
  <c r="H198" i="2" s="1"/>
  <c r="E199" i="2"/>
  <c r="H199" i="2" s="1"/>
  <c r="G330" i="1"/>
  <c r="F330" i="1"/>
  <c r="H330" i="1" s="1"/>
  <c r="G329" i="1"/>
  <c r="F329" i="1"/>
  <c r="H329" i="1" s="1"/>
  <c r="F325" i="1"/>
  <c r="H325" i="1" s="1"/>
  <c r="G325" i="1"/>
  <c r="G328" i="1"/>
  <c r="F328" i="1"/>
  <c r="H328" i="1" s="1"/>
  <c r="G356" i="1"/>
  <c r="F356" i="1"/>
  <c r="H356" i="1" s="1"/>
  <c r="G355" i="1"/>
  <c r="F355" i="1"/>
  <c r="H355" i="1" s="1"/>
  <c r="G324" i="1"/>
  <c r="F324" i="1"/>
  <c r="H324" i="1" s="1"/>
  <c r="K324" i="1" s="1"/>
  <c r="G323" i="1"/>
  <c r="F323" i="1"/>
  <c r="H323" i="1" s="1"/>
  <c r="G321" i="1"/>
  <c r="F321" i="1"/>
  <c r="H321" i="1" s="1"/>
  <c r="G320" i="1"/>
  <c r="F320" i="1"/>
  <c r="H320" i="1" s="1"/>
  <c r="K320" i="1" s="1"/>
  <c r="G319" i="1"/>
  <c r="F319" i="1"/>
  <c r="H319" i="1" s="1"/>
  <c r="G318" i="1"/>
  <c r="F318" i="1"/>
  <c r="H318" i="1" s="1"/>
  <c r="F317" i="1"/>
  <c r="H317" i="1" s="1"/>
  <c r="G317" i="1"/>
  <c r="E197" i="2"/>
  <c r="E196" i="2"/>
  <c r="E194" i="2"/>
  <c r="H194" i="2" s="1"/>
  <c r="I194" i="2" s="1"/>
  <c r="E195" i="2"/>
  <c r="H195" i="2" s="1"/>
  <c r="E192" i="2"/>
  <c r="H192" i="2" s="1"/>
  <c r="I192" i="2" s="1"/>
  <c r="M192" i="2" s="1"/>
  <c r="E193" i="2"/>
  <c r="H193" i="2" s="1"/>
  <c r="F316" i="1"/>
  <c r="H316" i="1" s="1"/>
  <c r="G316" i="1"/>
  <c r="G315" i="1"/>
  <c r="F315" i="1"/>
  <c r="H315" i="1" s="1"/>
  <c r="G314" i="1"/>
  <c r="F314" i="1"/>
  <c r="H314" i="1" s="1"/>
  <c r="G313" i="1"/>
  <c r="F313" i="1"/>
  <c r="H313" i="1" s="1"/>
  <c r="K313" i="1" s="1"/>
  <c r="L313" i="1" s="1"/>
  <c r="M313" i="1" s="1"/>
  <c r="E189" i="2"/>
  <c r="E186" i="2"/>
  <c r="H186" i="2" s="1"/>
  <c r="E187" i="2"/>
  <c r="H187" i="2" s="1"/>
  <c r="E188" i="2"/>
  <c r="H188" i="2" s="1"/>
  <c r="G306" i="1"/>
  <c r="F306" i="1"/>
  <c r="H306" i="1" s="1"/>
  <c r="K306" i="1" s="1"/>
  <c r="E184" i="2"/>
  <c r="H184" i="2" s="1"/>
  <c r="E191" i="2"/>
  <c r="G312" i="1"/>
  <c r="F312" i="1"/>
  <c r="H312" i="1" s="1"/>
  <c r="G311" i="1"/>
  <c r="F311" i="1"/>
  <c r="H311" i="1" s="1"/>
  <c r="K311" i="1" s="1"/>
  <c r="F310" i="1"/>
  <c r="H310" i="1" s="1"/>
  <c r="K310" i="1" s="1"/>
  <c r="L310" i="1" s="1"/>
  <c r="O310" i="1" s="1"/>
  <c r="G310" i="1"/>
  <c r="F309" i="1"/>
  <c r="H309" i="1" s="1"/>
  <c r="G309" i="1"/>
  <c r="G308" i="1"/>
  <c r="F308" i="1"/>
  <c r="H308" i="1" s="1"/>
  <c r="G307" i="1"/>
  <c r="F307" i="1"/>
  <c r="H307" i="1" s="1"/>
  <c r="G304" i="1"/>
  <c r="F304" i="1"/>
  <c r="H304" i="1" s="1"/>
  <c r="E190" i="2"/>
  <c r="G305" i="1"/>
  <c r="F305" i="1"/>
  <c r="H305" i="1" s="1"/>
  <c r="G303" i="1"/>
  <c r="F303" i="1"/>
  <c r="H303" i="1" s="1"/>
  <c r="G302" i="1"/>
  <c r="F302" i="1"/>
  <c r="H302" i="1" s="1"/>
  <c r="G301" i="1"/>
  <c r="F301" i="1"/>
  <c r="H301" i="1" s="1"/>
  <c r="G300" i="1"/>
  <c r="F300" i="1"/>
  <c r="H300" i="1" s="1"/>
  <c r="G299" i="1"/>
  <c r="F299" i="1"/>
  <c r="H299" i="1" s="1"/>
  <c r="G298" i="1"/>
  <c r="F298" i="1"/>
  <c r="H298" i="1" s="1"/>
  <c r="E183" i="2"/>
  <c r="E185" i="2"/>
  <c r="E181" i="2"/>
  <c r="E182" i="2"/>
  <c r="E178" i="2"/>
  <c r="H178" i="2" s="1"/>
  <c r="E179" i="2"/>
  <c r="H179" i="2" s="1"/>
  <c r="I179" i="2" s="1"/>
  <c r="L179" i="2" s="1"/>
  <c r="E180" i="2"/>
  <c r="G297" i="1"/>
  <c r="F297" i="1"/>
  <c r="H297" i="1" s="1"/>
  <c r="G296" i="1"/>
  <c r="F296" i="1"/>
  <c r="H296" i="1" s="1"/>
  <c r="E177" i="2"/>
  <c r="H177" i="2" s="1"/>
  <c r="G295" i="1"/>
  <c r="F295" i="1"/>
  <c r="H295" i="1" s="1"/>
  <c r="G294" i="1"/>
  <c r="F294" i="1"/>
  <c r="H294" i="1" s="1"/>
  <c r="G287" i="1"/>
  <c r="F287" i="1"/>
  <c r="H287" i="1" s="1"/>
  <c r="G286" i="1"/>
  <c r="F286" i="1"/>
  <c r="H286" i="1" s="1"/>
  <c r="K286" i="1" s="1"/>
  <c r="L286" i="1" s="1"/>
  <c r="O286" i="1" s="1"/>
  <c r="F291" i="1"/>
  <c r="H291" i="1" s="1"/>
  <c r="K291" i="1" s="1"/>
  <c r="L291" i="1" s="1"/>
  <c r="M291" i="1" s="1"/>
  <c r="G291" i="1"/>
  <c r="G289" i="1"/>
  <c r="F289" i="1"/>
  <c r="H289" i="1" s="1"/>
  <c r="G293" i="1"/>
  <c r="F293" i="1"/>
  <c r="H293" i="1" s="1"/>
  <c r="G292" i="1"/>
  <c r="F292" i="1"/>
  <c r="H292" i="1" s="1"/>
  <c r="G290" i="1"/>
  <c r="F290" i="1"/>
  <c r="H290" i="1" s="1"/>
  <c r="G288" i="1"/>
  <c r="F288" i="1"/>
  <c r="H288" i="1" s="1"/>
  <c r="K288" i="1" s="1"/>
  <c r="L288" i="1" s="1"/>
  <c r="M288" i="1" s="1"/>
  <c r="E173" i="2"/>
  <c r="H173" i="2" s="1"/>
  <c r="E174" i="2"/>
  <c r="G285" i="1"/>
  <c r="F285" i="1"/>
  <c r="H285" i="1" s="1"/>
  <c r="G284" i="1"/>
  <c r="F284" i="1"/>
  <c r="H284" i="1" s="1"/>
  <c r="E176" i="2"/>
  <c r="E175" i="2"/>
  <c r="G283" i="1"/>
  <c r="F283" i="1"/>
  <c r="H283" i="1" s="1"/>
  <c r="K283" i="1" s="1"/>
  <c r="G282" i="1"/>
  <c r="F282" i="1"/>
  <c r="H282" i="1" s="1"/>
  <c r="G281" i="1"/>
  <c r="F281" i="1"/>
  <c r="H281" i="1" s="1"/>
  <c r="G270" i="1"/>
  <c r="F270" i="1"/>
  <c r="H270" i="1" s="1"/>
  <c r="G275" i="1"/>
  <c r="F275" i="1"/>
  <c r="H275" i="1" s="1"/>
  <c r="E170" i="2"/>
  <c r="H170" i="2" s="1"/>
  <c r="E169" i="2"/>
  <c r="H169" i="2" s="1"/>
  <c r="E171" i="2"/>
  <c r="G280" i="1"/>
  <c r="F280" i="1"/>
  <c r="H280" i="1" s="1"/>
  <c r="G279" i="1"/>
  <c r="F279" i="1"/>
  <c r="H279" i="1" s="1"/>
  <c r="G278" i="1"/>
  <c r="F278" i="1"/>
  <c r="H278" i="1" s="1"/>
  <c r="G277" i="1"/>
  <c r="F277" i="1"/>
  <c r="H277" i="1" s="1"/>
  <c r="G276" i="1"/>
  <c r="F276" i="1"/>
  <c r="H276" i="1" s="1"/>
  <c r="E172" i="2"/>
  <c r="H172" i="2" s="1"/>
  <c r="E167" i="2"/>
  <c r="H167" i="2" s="1"/>
  <c r="E168" i="2"/>
  <c r="G274" i="1"/>
  <c r="F274" i="1"/>
  <c r="H274" i="1" s="1"/>
  <c r="G273" i="1"/>
  <c r="F273" i="1"/>
  <c r="H273" i="1" s="1"/>
  <c r="F272" i="1"/>
  <c r="H272" i="1" s="1"/>
  <c r="G272" i="1"/>
  <c r="G271" i="1"/>
  <c r="F271" i="1"/>
  <c r="H271" i="1" s="1"/>
  <c r="G269" i="1"/>
  <c r="F269" i="1"/>
  <c r="H269" i="1" s="1"/>
  <c r="F268" i="1"/>
  <c r="H268" i="1" s="1"/>
  <c r="G268" i="1"/>
  <c r="G267" i="1"/>
  <c r="F267" i="1"/>
  <c r="H267" i="1" s="1"/>
  <c r="E166" i="2"/>
  <c r="H166" i="2" s="1"/>
  <c r="G266" i="1"/>
  <c r="F266" i="1"/>
  <c r="H266" i="1" s="1"/>
  <c r="G265" i="1"/>
  <c r="F265" i="1"/>
  <c r="H265" i="1" s="1"/>
  <c r="G251" i="1"/>
  <c r="F251" i="1"/>
  <c r="H251" i="1" s="1"/>
  <c r="G264" i="1"/>
  <c r="F264" i="1"/>
  <c r="H264" i="1" s="1"/>
  <c r="Q271" i="2" l="1"/>
  <c r="Q272" i="2"/>
  <c r="Q270" i="2"/>
  <c r="Q275" i="2"/>
  <c r="L275" i="2"/>
  <c r="R452" i="1"/>
  <c r="R449" i="1"/>
  <c r="R437" i="1"/>
  <c r="R434" i="1"/>
  <c r="R446" i="1"/>
  <c r="R442" i="1"/>
  <c r="R441" i="1"/>
  <c r="R438" i="1"/>
  <c r="R435" i="1"/>
  <c r="R431" i="1"/>
  <c r="R428" i="1"/>
  <c r="R426" i="1"/>
  <c r="R423" i="1"/>
  <c r="R424" i="1"/>
  <c r="R420" i="1"/>
  <c r="R416" i="1"/>
  <c r="R415" i="1"/>
  <c r="R412" i="1"/>
  <c r="R411" i="1"/>
  <c r="R410" i="1"/>
  <c r="R409" i="1"/>
  <c r="R408" i="1"/>
  <c r="Q247" i="2"/>
  <c r="Q248" i="2"/>
  <c r="Q245" i="2"/>
  <c r="Q252" i="2"/>
  <c r="R403" i="1"/>
  <c r="R402" i="1"/>
  <c r="R400" i="1"/>
  <c r="R401" i="1"/>
  <c r="R396" i="1"/>
  <c r="R397" i="1"/>
  <c r="Q243" i="2"/>
  <c r="R399" i="1"/>
  <c r="R398" i="1"/>
  <c r="M241" i="2"/>
  <c r="Q241" i="2"/>
  <c r="R385" i="1"/>
  <c r="R381" i="1"/>
  <c r="Q235" i="2"/>
  <c r="R380" i="1"/>
  <c r="R379" i="1"/>
  <c r="R374" i="1"/>
  <c r="Q227" i="2"/>
  <c r="I223" i="2"/>
  <c r="L223" i="2" s="1"/>
  <c r="L371" i="1"/>
  <c r="O371" i="1" s="1"/>
  <c r="R370" i="1"/>
  <c r="R369" i="1"/>
  <c r="R363" i="1"/>
  <c r="L364" i="1"/>
  <c r="M364" i="1" s="1"/>
  <c r="R365" i="1"/>
  <c r="R366" i="1"/>
  <c r="L368" i="1"/>
  <c r="O368" i="1" s="1"/>
  <c r="L367" i="1"/>
  <c r="O367" i="1" s="1"/>
  <c r="L362" i="1"/>
  <c r="O362" i="1" s="1"/>
  <c r="R360" i="1"/>
  <c r="L361" i="1"/>
  <c r="O361" i="1" s="1"/>
  <c r="Q220" i="2"/>
  <c r="Q221" i="2"/>
  <c r="I219" i="2"/>
  <c r="Q216" i="2"/>
  <c r="M216" i="2"/>
  <c r="Q215" i="2"/>
  <c r="L359" i="1"/>
  <c r="O359" i="1" s="1"/>
  <c r="R327" i="1"/>
  <c r="R326" i="1"/>
  <c r="L358" i="1"/>
  <c r="O358" i="1" s="1"/>
  <c r="L357" i="1"/>
  <c r="O357" i="1" s="1"/>
  <c r="J217" i="2"/>
  <c r="I218" i="2"/>
  <c r="K218" i="2" s="1"/>
  <c r="R353" i="1"/>
  <c r="R354" i="1"/>
  <c r="R349" i="1"/>
  <c r="Q214" i="2"/>
  <c r="R352" i="1"/>
  <c r="L351" i="1"/>
  <c r="O351" i="1" s="1"/>
  <c r="R350" i="1"/>
  <c r="R348" i="1"/>
  <c r="I212" i="2"/>
  <c r="L212" i="2" s="1"/>
  <c r="Q213" i="2"/>
  <c r="I211" i="2"/>
  <c r="N211" i="2" s="1"/>
  <c r="M209" i="2"/>
  <c r="N209" i="2"/>
  <c r="Q209" i="2"/>
  <c r="L210" i="2"/>
  <c r="N210" i="2"/>
  <c r="Q210" i="2"/>
  <c r="R347" i="1"/>
  <c r="M207" i="2"/>
  <c r="I205" i="2"/>
  <c r="Q208" i="2"/>
  <c r="Q207" i="2"/>
  <c r="R342" i="1"/>
  <c r="R346" i="1"/>
  <c r="R345" i="1"/>
  <c r="R344" i="1"/>
  <c r="R343" i="1"/>
  <c r="L339" i="1"/>
  <c r="O339" i="1" s="1"/>
  <c r="R341" i="1"/>
  <c r="R340" i="1"/>
  <c r="R338" i="1"/>
  <c r="R337" i="1"/>
  <c r="I201" i="2"/>
  <c r="M201" i="2" s="1"/>
  <c r="Q200" i="2"/>
  <c r="R335" i="1"/>
  <c r="L334" i="1"/>
  <c r="O334" i="1" s="1"/>
  <c r="L332" i="1"/>
  <c r="O332" i="1" s="1"/>
  <c r="R331" i="1"/>
  <c r="Q202" i="2"/>
  <c r="L322" i="1"/>
  <c r="O322" i="1" s="1"/>
  <c r="I198" i="2"/>
  <c r="J198" i="2" s="1"/>
  <c r="I199" i="2"/>
  <c r="K199" i="2" s="1"/>
  <c r="K329" i="1"/>
  <c r="K330" i="1"/>
  <c r="L330" i="1" s="1"/>
  <c r="K325" i="1"/>
  <c r="K355" i="1"/>
  <c r="K328" i="1"/>
  <c r="K356" i="1"/>
  <c r="L356" i="1" s="1"/>
  <c r="O356" i="1" s="1"/>
  <c r="L324" i="1"/>
  <c r="M324" i="1" s="1"/>
  <c r="K323" i="1"/>
  <c r="L320" i="1"/>
  <c r="O320" i="1" s="1"/>
  <c r="K321" i="1"/>
  <c r="L321" i="1" s="1"/>
  <c r="O321" i="1" s="1"/>
  <c r="K319" i="1"/>
  <c r="R310" i="1"/>
  <c r="K318" i="1"/>
  <c r="L318" i="1" s="1"/>
  <c r="M318" i="1" s="1"/>
  <c r="K317" i="1"/>
  <c r="H197" i="2"/>
  <c r="H196" i="2"/>
  <c r="Q194" i="2"/>
  <c r="K194" i="2"/>
  <c r="I195" i="2"/>
  <c r="J195" i="2" s="1"/>
  <c r="Q192" i="2"/>
  <c r="I193" i="2"/>
  <c r="L193" i="2" s="1"/>
  <c r="K316" i="1"/>
  <c r="L316" i="1" s="1"/>
  <c r="M316" i="1" s="1"/>
  <c r="K315" i="1"/>
  <c r="L315" i="1" s="1"/>
  <c r="O315" i="1" s="1"/>
  <c r="K314" i="1"/>
  <c r="L314" i="1" s="1"/>
  <c r="O314" i="1" s="1"/>
  <c r="H189" i="2"/>
  <c r="I189" i="2" s="1"/>
  <c r="I188" i="2"/>
  <c r="L188" i="2" s="1"/>
  <c r="I187" i="2"/>
  <c r="M187" i="2" s="1"/>
  <c r="I186" i="2"/>
  <c r="N186" i="2" s="1"/>
  <c r="L306" i="1"/>
  <c r="O306" i="1" s="1"/>
  <c r="I184" i="2"/>
  <c r="K184" i="2" s="1"/>
  <c r="H191" i="2"/>
  <c r="K312" i="1"/>
  <c r="L312" i="1" s="1"/>
  <c r="O312" i="1" s="1"/>
  <c r="L311" i="1"/>
  <c r="M311" i="1" s="1"/>
  <c r="K309" i="1"/>
  <c r="K308" i="1"/>
  <c r="K307" i="1"/>
  <c r="K304" i="1"/>
  <c r="L304" i="1" s="1"/>
  <c r="O304" i="1" s="1"/>
  <c r="H190" i="2"/>
  <c r="I190" i="2" s="1"/>
  <c r="K305" i="1"/>
  <c r="K303" i="1"/>
  <c r="L303" i="1" s="1"/>
  <c r="O303" i="1" s="1"/>
  <c r="H183" i="2"/>
  <c r="I183" i="2" s="1"/>
  <c r="K302" i="1"/>
  <c r="L302" i="1" s="1"/>
  <c r="M302" i="1" s="1"/>
  <c r="K300" i="1"/>
  <c r="L300" i="1" s="1"/>
  <c r="M300" i="1" s="1"/>
  <c r="K301" i="1"/>
  <c r="L301" i="1" s="1"/>
  <c r="K299" i="1"/>
  <c r="L299" i="1" s="1"/>
  <c r="M299" i="1" s="1"/>
  <c r="K298" i="1"/>
  <c r="L298" i="1" s="1"/>
  <c r="O298" i="1" s="1"/>
  <c r="H185" i="2"/>
  <c r="I185" i="2" s="1"/>
  <c r="K185" i="2" s="1"/>
  <c r="H181" i="2"/>
  <c r="H182" i="2"/>
  <c r="I178" i="2"/>
  <c r="N178" i="2" s="1"/>
  <c r="Q179" i="2"/>
  <c r="H180" i="2"/>
  <c r="I180" i="2" s="1"/>
  <c r="L180" i="2" s="1"/>
  <c r="K297" i="1"/>
  <c r="L297" i="1" s="1"/>
  <c r="O297" i="1" s="1"/>
  <c r="K296" i="1"/>
  <c r="L296" i="1" s="1"/>
  <c r="M296" i="1" s="1"/>
  <c r="I177" i="2"/>
  <c r="L177" i="2" s="1"/>
  <c r="K295" i="1"/>
  <c r="L295" i="1" s="1"/>
  <c r="O295" i="1" s="1"/>
  <c r="K294" i="1"/>
  <c r="L294" i="1" s="1"/>
  <c r="M294" i="1" s="1"/>
  <c r="K287" i="1"/>
  <c r="L287" i="1" s="1"/>
  <c r="O287" i="1" s="1"/>
  <c r="K289" i="1"/>
  <c r="L289" i="1" s="1"/>
  <c r="O289" i="1" s="1"/>
  <c r="K293" i="1"/>
  <c r="L293" i="1" s="1"/>
  <c r="K290" i="1"/>
  <c r="L290" i="1" s="1"/>
  <c r="K292" i="1"/>
  <c r="L292" i="1" s="1"/>
  <c r="M292" i="1" s="1"/>
  <c r="I173" i="2"/>
  <c r="N173" i="2" s="1"/>
  <c r="K284" i="1"/>
  <c r="L284" i="1" s="1"/>
  <c r="O284" i="1" s="1"/>
  <c r="K285" i="1"/>
  <c r="L285" i="1" s="1"/>
  <c r="O285" i="1" s="1"/>
  <c r="H176" i="2"/>
  <c r="I176" i="2" s="1"/>
  <c r="L176" i="2" s="1"/>
  <c r="H175" i="2"/>
  <c r="I175" i="2" s="1"/>
  <c r="L175" i="2" s="1"/>
  <c r="H174" i="2"/>
  <c r="L283" i="1"/>
  <c r="K282" i="1"/>
  <c r="L282" i="1" s="1"/>
  <c r="M282" i="1" s="1"/>
  <c r="K281" i="1"/>
  <c r="L281" i="1" s="1"/>
  <c r="M281" i="1" s="1"/>
  <c r="K270" i="1"/>
  <c r="L270" i="1" s="1"/>
  <c r="O270" i="1" s="1"/>
  <c r="K275" i="1"/>
  <c r="L275" i="1" s="1"/>
  <c r="O275" i="1" s="1"/>
  <c r="I170" i="2"/>
  <c r="M170" i="2" s="1"/>
  <c r="I169" i="2"/>
  <c r="L169" i="2" s="1"/>
  <c r="H171" i="2"/>
  <c r="I171" i="2" s="1"/>
  <c r="K279" i="1"/>
  <c r="L279" i="1" s="1"/>
  <c r="O279" i="1" s="1"/>
  <c r="K280" i="1"/>
  <c r="L280" i="1" s="1"/>
  <c r="O280" i="1" s="1"/>
  <c r="K272" i="1"/>
  <c r="L272" i="1" s="1"/>
  <c r="O272" i="1" s="1"/>
  <c r="K276" i="1"/>
  <c r="L276" i="1" s="1"/>
  <c r="M276" i="1" s="1"/>
  <c r="K278" i="1"/>
  <c r="L278" i="1" s="1"/>
  <c r="M278" i="1" s="1"/>
  <c r="K277" i="1"/>
  <c r="L277" i="1" s="1"/>
  <c r="O277" i="1" s="1"/>
  <c r="I172" i="2"/>
  <c r="K172" i="2" s="1"/>
  <c r="I167" i="2"/>
  <c r="M167" i="2" s="1"/>
  <c r="H168" i="2"/>
  <c r="I168" i="2" s="1"/>
  <c r="K274" i="1"/>
  <c r="K273" i="1"/>
  <c r="K271" i="1"/>
  <c r="L271" i="1" s="1"/>
  <c r="O271" i="1" s="1"/>
  <c r="K268" i="1"/>
  <c r="L268" i="1" s="1"/>
  <c r="O268" i="1" s="1"/>
  <c r="K269" i="1"/>
  <c r="L269" i="1" s="1"/>
  <c r="M269" i="1" s="1"/>
  <c r="K267" i="1"/>
  <c r="L267" i="1" s="1"/>
  <c r="O267" i="1" s="1"/>
  <c r="I166" i="2"/>
  <c r="K265" i="1"/>
  <c r="L265" i="1" s="1"/>
  <c r="O265" i="1" s="1"/>
  <c r="K266" i="1"/>
  <c r="L266" i="1" s="1"/>
  <c r="O266" i="1" s="1"/>
  <c r="K251" i="1"/>
  <c r="L251" i="1" s="1"/>
  <c r="K264" i="1"/>
  <c r="L264" i="1" s="1"/>
  <c r="M264" i="1" s="1"/>
  <c r="G263" i="1"/>
  <c r="F263" i="1"/>
  <c r="H263" i="1" s="1"/>
  <c r="G262" i="1"/>
  <c r="F262" i="1"/>
  <c r="H262" i="1" s="1"/>
  <c r="K262" i="1" s="1"/>
  <c r="G261" i="1"/>
  <c r="F261" i="1"/>
  <c r="H261" i="1" s="1"/>
  <c r="K261" i="1" s="1"/>
  <c r="G260" i="1"/>
  <c r="F260" i="1"/>
  <c r="H260" i="1" s="1"/>
  <c r="G259" i="1"/>
  <c r="F259" i="1"/>
  <c r="H259" i="1" s="1"/>
  <c r="E162" i="2"/>
  <c r="H162" i="2" s="1"/>
  <c r="E156" i="2"/>
  <c r="H156" i="2" s="1"/>
  <c r="E154" i="2"/>
  <c r="H154" i="2" s="1"/>
  <c r="G258" i="1"/>
  <c r="F258" i="1"/>
  <c r="H258" i="1" s="1"/>
  <c r="G257" i="1"/>
  <c r="F257" i="1"/>
  <c r="H257" i="1" s="1"/>
  <c r="G256" i="1"/>
  <c r="F256" i="1"/>
  <c r="H256" i="1" s="1"/>
  <c r="K256" i="1" s="1"/>
  <c r="G255" i="1"/>
  <c r="F255" i="1"/>
  <c r="H255" i="1" s="1"/>
  <c r="F254" i="1"/>
  <c r="H254" i="1" s="1"/>
  <c r="K254" i="1" s="1"/>
  <c r="L254" i="1" s="1"/>
  <c r="O254" i="1" s="1"/>
  <c r="F253" i="1"/>
  <c r="H253" i="1" s="1"/>
  <c r="K253" i="1" s="1"/>
  <c r="L253" i="1" s="1"/>
  <c r="O253" i="1" s="1"/>
  <c r="G254" i="1"/>
  <c r="G253" i="1"/>
  <c r="E164" i="2"/>
  <c r="H164" i="2" s="1"/>
  <c r="E163" i="2"/>
  <c r="H163" i="2" s="1"/>
  <c r="E165" i="2"/>
  <c r="H165" i="2" s="1"/>
  <c r="I165" i="2" s="1"/>
  <c r="L165" i="2" s="1"/>
  <c r="E161" i="2"/>
  <c r="H161" i="2" s="1"/>
  <c r="E160" i="2"/>
  <c r="E157" i="2"/>
  <c r="E158" i="2"/>
  <c r="E159" i="2"/>
  <c r="E155" i="2"/>
  <c r="G252" i="1"/>
  <c r="F252" i="1"/>
  <c r="H252" i="1" s="1"/>
  <c r="G250" i="1"/>
  <c r="F250" i="1"/>
  <c r="H250" i="1" s="1"/>
  <c r="G249" i="1"/>
  <c r="F249" i="1"/>
  <c r="H249" i="1" s="1"/>
  <c r="G248" i="1"/>
  <c r="F248" i="1"/>
  <c r="H248" i="1" s="1"/>
  <c r="G247" i="1"/>
  <c r="F247" i="1"/>
  <c r="H247" i="1" s="1"/>
  <c r="G246" i="1"/>
  <c r="F246" i="1"/>
  <c r="H246" i="1" s="1"/>
  <c r="G226" i="1"/>
  <c r="F226" i="1"/>
  <c r="H226" i="1" s="1"/>
  <c r="K226" i="1" s="1"/>
  <c r="G225" i="1"/>
  <c r="F225" i="1"/>
  <c r="H225" i="1" s="1"/>
  <c r="G223" i="1"/>
  <c r="F223" i="1"/>
  <c r="H223" i="1" s="1"/>
  <c r="G222" i="1"/>
  <c r="F222" i="1"/>
  <c r="H222" i="1" s="1"/>
  <c r="G245" i="1"/>
  <c r="F245" i="1"/>
  <c r="H245" i="1" s="1"/>
  <c r="K245" i="1" s="1"/>
  <c r="G244" i="1"/>
  <c r="F244" i="1"/>
  <c r="H244" i="1" s="1"/>
  <c r="K244" i="1" s="1"/>
  <c r="G243" i="1"/>
  <c r="F243" i="1"/>
  <c r="H243" i="1" s="1"/>
  <c r="G242" i="1"/>
  <c r="F242" i="1"/>
  <c r="H242" i="1" s="1"/>
  <c r="G241" i="1"/>
  <c r="F241" i="1"/>
  <c r="H241" i="1" s="1"/>
  <c r="G240" i="1"/>
  <c r="F240" i="1"/>
  <c r="H240" i="1" s="1"/>
  <c r="G232" i="1"/>
  <c r="F232" i="1"/>
  <c r="H232" i="1" s="1"/>
  <c r="E153" i="2"/>
  <c r="H153" i="2" s="1"/>
  <c r="E150" i="2"/>
  <c r="E149" i="2"/>
  <c r="G239" i="1"/>
  <c r="F239" i="1"/>
  <c r="H239" i="1" s="1"/>
  <c r="G238" i="1"/>
  <c r="F238" i="1"/>
  <c r="H238" i="1" s="1"/>
  <c r="E147" i="2"/>
  <c r="H147" i="2" s="1"/>
  <c r="E148" i="2"/>
  <c r="G237" i="1"/>
  <c r="F237" i="1"/>
  <c r="H237" i="1" s="1"/>
  <c r="G236" i="1"/>
  <c r="F236" i="1"/>
  <c r="H236" i="1" s="1"/>
  <c r="G235" i="1"/>
  <c r="F235" i="1"/>
  <c r="H235" i="1" s="1"/>
  <c r="G234" i="1"/>
  <c r="F234" i="1"/>
  <c r="H234" i="1" s="1"/>
  <c r="E151" i="2"/>
  <c r="E152" i="2"/>
  <c r="H152" i="2" s="1"/>
  <c r="E144" i="2"/>
  <c r="H144" i="2" s="1"/>
  <c r="E145" i="2"/>
  <c r="H145" i="2" s="1"/>
  <c r="G227" i="1"/>
  <c r="F227" i="1"/>
  <c r="H227" i="1" s="1"/>
  <c r="K227" i="1" s="1"/>
  <c r="G228" i="1"/>
  <c r="F228" i="1"/>
  <c r="H228" i="1" s="1"/>
  <c r="G230" i="1"/>
  <c r="F230" i="1"/>
  <c r="H230" i="1" s="1"/>
  <c r="G229" i="1"/>
  <c r="F229" i="1"/>
  <c r="H229" i="1" s="1"/>
  <c r="G233" i="1"/>
  <c r="F233" i="1"/>
  <c r="H233" i="1" s="1"/>
  <c r="G231" i="1"/>
  <c r="F231" i="1"/>
  <c r="H231" i="1" s="1"/>
  <c r="E146" i="2"/>
  <c r="E141" i="2"/>
  <c r="H141" i="2" s="1"/>
  <c r="I141" i="2" s="1"/>
  <c r="E142" i="2"/>
  <c r="H142" i="2" s="1"/>
  <c r="E143" i="2"/>
  <c r="H143" i="2" s="1"/>
  <c r="G224" i="1"/>
  <c r="F224" i="1"/>
  <c r="H224" i="1" s="1"/>
  <c r="G221" i="1"/>
  <c r="F221" i="1"/>
  <c r="H221" i="1" s="1"/>
  <c r="E139" i="2"/>
  <c r="H139" i="2" s="1"/>
  <c r="I139" i="2" s="1"/>
  <c r="L139" i="2" s="1"/>
  <c r="E140" i="2"/>
  <c r="H140" i="2" s="1"/>
  <c r="R367" i="1" l="1"/>
  <c r="Q223" i="2"/>
  <c r="M223" i="2"/>
  <c r="R371" i="1"/>
  <c r="R364" i="1"/>
  <c r="R368" i="1"/>
  <c r="R362" i="1"/>
  <c r="R361" i="1"/>
  <c r="L219" i="2"/>
  <c r="Q219" i="2"/>
  <c r="R359" i="1"/>
  <c r="R358" i="1"/>
  <c r="R357" i="1"/>
  <c r="Q218" i="2"/>
  <c r="R351" i="1"/>
  <c r="Q212" i="2"/>
  <c r="Q211" i="2"/>
  <c r="I196" i="2"/>
  <c r="L196" i="2" s="1"/>
  <c r="L205" i="2"/>
  <c r="N205" i="2"/>
  <c r="Q205" i="2"/>
  <c r="R339" i="1"/>
  <c r="Q201" i="2"/>
  <c r="R334" i="1"/>
  <c r="R332" i="1"/>
  <c r="O330" i="1"/>
  <c r="M330" i="1"/>
  <c r="R322" i="1"/>
  <c r="Q198" i="2"/>
  <c r="Q199" i="2"/>
  <c r="R330" i="1"/>
  <c r="L329" i="1"/>
  <c r="O329" i="1" s="1"/>
  <c r="L325" i="1"/>
  <c r="O325" i="1" s="1"/>
  <c r="R356" i="1"/>
  <c r="L328" i="1"/>
  <c r="O328" i="1" s="1"/>
  <c r="L355" i="1"/>
  <c r="O355" i="1" s="1"/>
  <c r="R321" i="1"/>
  <c r="R320" i="1"/>
  <c r="L323" i="1"/>
  <c r="M323" i="1" s="1"/>
  <c r="R324" i="1"/>
  <c r="L319" i="1"/>
  <c r="O319" i="1" s="1"/>
  <c r="L309" i="1"/>
  <c r="O309" i="1" s="1"/>
  <c r="R318" i="1"/>
  <c r="L317" i="1"/>
  <c r="M317" i="1" s="1"/>
  <c r="M190" i="2"/>
  <c r="N190" i="2"/>
  <c r="I197" i="2"/>
  <c r="N197" i="2" s="1"/>
  <c r="Q195" i="2"/>
  <c r="Q188" i="2"/>
  <c r="Q193" i="2"/>
  <c r="R316" i="1"/>
  <c r="R315" i="1"/>
  <c r="Q187" i="2"/>
  <c r="M189" i="2"/>
  <c r="Q189" i="2"/>
  <c r="Q186" i="2"/>
  <c r="R306" i="1"/>
  <c r="Q184" i="2"/>
  <c r="I191" i="2"/>
  <c r="K191" i="2" s="1"/>
  <c r="L308" i="1"/>
  <c r="O308" i="1" s="1"/>
  <c r="L307" i="1"/>
  <c r="O307" i="1" s="1"/>
  <c r="Q190" i="2"/>
  <c r="L305" i="1"/>
  <c r="O305" i="1" s="1"/>
  <c r="K183" i="2"/>
  <c r="Q183" i="2"/>
  <c r="R302" i="1"/>
  <c r="O301" i="1"/>
  <c r="Q301" i="1"/>
  <c r="R298" i="1"/>
  <c r="Q185" i="2"/>
  <c r="I181" i="2"/>
  <c r="M181" i="2" s="1"/>
  <c r="I182" i="2"/>
  <c r="Q178" i="2"/>
  <c r="Q180" i="2"/>
  <c r="R297" i="1"/>
  <c r="Q177" i="2"/>
  <c r="R295" i="1"/>
  <c r="O293" i="1"/>
  <c r="M293" i="1"/>
  <c r="M290" i="1"/>
  <c r="Q290" i="1"/>
  <c r="Q173" i="2"/>
  <c r="Q176" i="2"/>
  <c r="Q175" i="2"/>
  <c r="I174" i="2"/>
  <c r="L174" i="2" s="1"/>
  <c r="O283" i="1"/>
  <c r="Q283" i="1"/>
  <c r="Q170" i="2"/>
  <c r="Q169" i="2"/>
  <c r="K171" i="2"/>
  <c r="Q171" i="2"/>
  <c r="R278" i="1"/>
  <c r="Q172" i="2"/>
  <c r="Q167" i="2"/>
  <c r="L168" i="2"/>
  <c r="Q168" i="2"/>
  <c r="L274" i="1"/>
  <c r="O274" i="1" s="1"/>
  <c r="L273" i="1"/>
  <c r="O273" i="1" s="1"/>
  <c r="P166" i="2"/>
  <c r="N166" i="2"/>
  <c r="Q166" i="2"/>
  <c r="O251" i="1"/>
  <c r="M251" i="1"/>
  <c r="K259" i="1"/>
  <c r="L259" i="1" s="1"/>
  <c r="O259" i="1" s="1"/>
  <c r="K263" i="1"/>
  <c r="K260" i="1"/>
  <c r="L260" i="1" s="1"/>
  <c r="O260" i="1" s="1"/>
  <c r="L262" i="1"/>
  <c r="O262" i="1" s="1"/>
  <c r="L261" i="1"/>
  <c r="O261" i="1" s="1"/>
  <c r="I162" i="2"/>
  <c r="I156" i="2"/>
  <c r="L156" i="2" s="1"/>
  <c r="I154" i="2"/>
  <c r="L154" i="2" s="1"/>
  <c r="I164" i="2"/>
  <c r="K164" i="2" s="1"/>
  <c r="I161" i="2"/>
  <c r="M161" i="2" s="1"/>
  <c r="H160" i="2"/>
  <c r="K258" i="1"/>
  <c r="L258" i="1" s="1"/>
  <c r="O258" i="1" s="1"/>
  <c r="L256" i="1"/>
  <c r="O256" i="1" s="1"/>
  <c r="K257" i="1"/>
  <c r="L257" i="1" s="1"/>
  <c r="M257" i="1" s="1"/>
  <c r="K255" i="1"/>
  <c r="L255" i="1" s="1"/>
  <c r="M255" i="1" s="1"/>
  <c r="Q165" i="2"/>
  <c r="I163" i="2"/>
  <c r="K163" i="2" s="1"/>
  <c r="H157" i="2"/>
  <c r="H158" i="2"/>
  <c r="H159" i="2"/>
  <c r="H155" i="2"/>
  <c r="I155" i="2" s="1"/>
  <c r="K252" i="1"/>
  <c r="L252" i="1" s="1"/>
  <c r="M252" i="1" s="1"/>
  <c r="K250" i="1"/>
  <c r="L250" i="1" s="1"/>
  <c r="K246" i="1"/>
  <c r="L246" i="1" s="1"/>
  <c r="O246" i="1" s="1"/>
  <c r="K222" i="1"/>
  <c r="L222" i="1" s="1"/>
  <c r="O222" i="1" s="1"/>
  <c r="K225" i="1"/>
  <c r="L225" i="1" s="1"/>
  <c r="O225" i="1" s="1"/>
  <c r="K248" i="1"/>
  <c r="L248" i="1" s="1"/>
  <c r="O248" i="1" s="1"/>
  <c r="K223" i="1"/>
  <c r="L223" i="1" s="1"/>
  <c r="O223" i="1" s="1"/>
  <c r="K247" i="1"/>
  <c r="L247" i="1" s="1"/>
  <c r="O247" i="1" s="1"/>
  <c r="K249" i="1"/>
  <c r="L249" i="1" s="1"/>
  <c r="O249" i="1" s="1"/>
  <c r="L226" i="1"/>
  <c r="O226" i="1" s="1"/>
  <c r="L245" i="1"/>
  <c r="O245" i="1" s="1"/>
  <c r="L244" i="1"/>
  <c r="M244" i="1" s="1"/>
  <c r="K242" i="1"/>
  <c r="L242" i="1" s="1"/>
  <c r="O242" i="1" s="1"/>
  <c r="K243" i="1"/>
  <c r="L243" i="1" s="1"/>
  <c r="M243" i="1" s="1"/>
  <c r="K241" i="1"/>
  <c r="L241" i="1" s="1"/>
  <c r="O241" i="1" s="1"/>
  <c r="K240" i="1"/>
  <c r="L240" i="1" s="1"/>
  <c r="O240" i="1" s="1"/>
  <c r="K232" i="1"/>
  <c r="L232" i="1" s="1"/>
  <c r="O232" i="1" s="1"/>
  <c r="I153" i="2"/>
  <c r="K153" i="2" s="1"/>
  <c r="H150" i="2"/>
  <c r="H149" i="2"/>
  <c r="I149" i="2" s="1"/>
  <c r="M149" i="2" s="1"/>
  <c r="K239" i="1"/>
  <c r="L239" i="1" s="1"/>
  <c r="M239" i="1" s="1"/>
  <c r="K238" i="1"/>
  <c r="I147" i="2"/>
  <c r="M147" i="2" s="1"/>
  <c r="H148" i="2"/>
  <c r="I148" i="2" s="1"/>
  <c r="L148" i="2" s="1"/>
  <c r="K237" i="1"/>
  <c r="L237" i="1" s="1"/>
  <c r="M237" i="1" s="1"/>
  <c r="K236" i="1"/>
  <c r="L236" i="1" s="1"/>
  <c r="M236" i="1" s="1"/>
  <c r="K234" i="1"/>
  <c r="L234" i="1" s="1"/>
  <c r="M234" i="1" s="1"/>
  <c r="K235" i="1"/>
  <c r="L235" i="1" s="1"/>
  <c r="O235" i="1" s="1"/>
  <c r="H151" i="2"/>
  <c r="I152" i="2"/>
  <c r="Q152" i="2" s="1"/>
  <c r="I144" i="2"/>
  <c r="I145" i="2"/>
  <c r="N145" i="2" s="1"/>
  <c r="L227" i="1"/>
  <c r="O227" i="1" s="1"/>
  <c r="K228" i="1"/>
  <c r="K229" i="1"/>
  <c r="L229" i="1" s="1"/>
  <c r="O229" i="1" s="1"/>
  <c r="K230" i="1"/>
  <c r="L230" i="1" s="1"/>
  <c r="M230" i="1" s="1"/>
  <c r="K233" i="1"/>
  <c r="K231" i="1"/>
  <c r="L231" i="1" s="1"/>
  <c r="M231" i="1" s="1"/>
  <c r="H146" i="2"/>
  <c r="I146" i="2" s="1"/>
  <c r="K146" i="2" s="1"/>
  <c r="I143" i="2"/>
  <c r="L143" i="2" s="1"/>
  <c r="I142" i="2"/>
  <c r="M142" i="2" s="1"/>
  <c r="N141" i="2"/>
  <c r="Q141" i="2"/>
  <c r="Q139" i="2"/>
  <c r="K224" i="1"/>
  <c r="L224" i="1" s="1"/>
  <c r="O224" i="1" s="1"/>
  <c r="K221" i="1"/>
  <c r="L221" i="1" s="1"/>
  <c r="O221" i="1" s="1"/>
  <c r="I140" i="2"/>
  <c r="J140" i="2" s="1"/>
  <c r="G220" i="1"/>
  <c r="F220" i="1"/>
  <c r="H220" i="1" s="1"/>
  <c r="G219" i="1"/>
  <c r="F219" i="1"/>
  <c r="H219" i="1" s="1"/>
  <c r="G218" i="1"/>
  <c r="F218" i="1"/>
  <c r="H218" i="1" s="1"/>
  <c r="F217" i="1"/>
  <c r="H217" i="1" s="1"/>
  <c r="K217" i="1" s="1"/>
  <c r="L217" i="1" s="1"/>
  <c r="O217" i="1" s="1"/>
  <c r="F216" i="1"/>
  <c r="H216" i="1" s="1"/>
  <c r="K216" i="1" s="1"/>
  <c r="L216" i="1" s="1"/>
  <c r="O216" i="1" s="1"/>
  <c r="G217" i="1"/>
  <c r="G216" i="1"/>
  <c r="E138" i="2"/>
  <c r="E137" i="2"/>
  <c r="H137" i="2" s="1"/>
  <c r="E136" i="2"/>
  <c r="E134" i="2"/>
  <c r="E133" i="2"/>
  <c r="H133" i="2" s="1"/>
  <c r="E135" i="2"/>
  <c r="H135" i="2" s="1"/>
  <c r="F215" i="1"/>
  <c r="H215" i="1" s="1"/>
  <c r="K215" i="1" s="1"/>
  <c r="L215" i="1" s="1"/>
  <c r="M215" i="1" s="1"/>
  <c r="G215" i="1"/>
  <c r="G211" i="1"/>
  <c r="F211" i="1"/>
  <c r="H211" i="1" s="1"/>
  <c r="K211" i="1" s="1"/>
  <c r="L211" i="1" s="1"/>
  <c r="O211" i="1" s="1"/>
  <c r="G210" i="1"/>
  <c r="F210" i="1"/>
  <c r="H210" i="1" s="1"/>
  <c r="G214" i="1"/>
  <c r="F214" i="1"/>
  <c r="H214" i="1" s="1"/>
  <c r="G213" i="1"/>
  <c r="F213" i="1"/>
  <c r="H213" i="1" s="1"/>
  <c r="G212" i="1"/>
  <c r="F212" i="1"/>
  <c r="H212" i="1" s="1"/>
  <c r="E127" i="2"/>
  <c r="H127" i="2" s="1"/>
  <c r="I127" i="2" s="1"/>
  <c r="G209" i="1"/>
  <c r="F209" i="1"/>
  <c r="H209" i="1" s="1"/>
  <c r="G208" i="1"/>
  <c r="F208" i="1"/>
  <c r="H208" i="1" s="1"/>
  <c r="Q196" i="2" l="1"/>
  <c r="N196" i="2"/>
  <c r="R329" i="1"/>
  <c r="R325" i="1"/>
  <c r="R355" i="1"/>
  <c r="R328" i="1"/>
  <c r="R323" i="1"/>
  <c r="R319" i="1"/>
  <c r="R309" i="1"/>
  <c r="R317" i="1"/>
  <c r="Q197" i="2"/>
  <c r="M197" i="2"/>
  <c r="Q191" i="2"/>
  <c r="R308" i="1"/>
  <c r="R307" i="1"/>
  <c r="R305" i="1"/>
  <c r="M182" i="2"/>
  <c r="Q181" i="2"/>
  <c r="Q182" i="2"/>
  <c r="Q174" i="2"/>
  <c r="R274" i="1"/>
  <c r="R273" i="1"/>
  <c r="R261" i="1"/>
  <c r="R262" i="1"/>
  <c r="R259" i="1"/>
  <c r="R260" i="1"/>
  <c r="L263" i="1"/>
  <c r="O263" i="1" s="1"/>
  <c r="N162" i="2"/>
  <c r="P162" i="2"/>
  <c r="Q162" i="2"/>
  <c r="Q156" i="2"/>
  <c r="Q154" i="2"/>
  <c r="Q164" i="2"/>
  <c r="Q161" i="2"/>
  <c r="I158" i="2"/>
  <c r="M158" i="2" s="1"/>
  <c r="I157" i="2"/>
  <c r="N157" i="2" s="1"/>
  <c r="I160" i="2"/>
  <c r="L160" i="2" s="1"/>
  <c r="I159" i="2"/>
  <c r="L159" i="2" s="1"/>
  <c r="R258" i="1"/>
  <c r="R257" i="1"/>
  <c r="Q163" i="2"/>
  <c r="M155" i="2"/>
  <c r="Q155" i="2"/>
  <c r="O250" i="1"/>
  <c r="M250" i="1"/>
  <c r="Q153" i="2"/>
  <c r="I150" i="2"/>
  <c r="L150" i="2" s="1"/>
  <c r="Q149" i="2"/>
  <c r="L238" i="1"/>
  <c r="M238" i="1" s="1"/>
  <c r="Q147" i="2"/>
  <c r="Q148" i="2"/>
  <c r="R236" i="1"/>
  <c r="I151" i="2"/>
  <c r="L151" i="2" s="1"/>
  <c r="N152" i="2"/>
  <c r="M152" i="2"/>
  <c r="N144" i="2"/>
  <c r="M144" i="2"/>
  <c r="Q144" i="2"/>
  <c r="Q145" i="2"/>
  <c r="L228" i="1"/>
  <c r="O228" i="1" s="1"/>
  <c r="L233" i="1"/>
  <c r="M233" i="1" s="1"/>
  <c r="Q146" i="2"/>
  <c r="Q143" i="2"/>
  <c r="Q142" i="2"/>
  <c r="I135" i="2"/>
  <c r="L135" i="2" s="1"/>
  <c r="Q140" i="2"/>
  <c r="K220" i="1"/>
  <c r="L220" i="1" s="1"/>
  <c r="O220" i="1" s="1"/>
  <c r="K219" i="1"/>
  <c r="L219" i="1" s="1"/>
  <c r="O219" i="1" s="1"/>
  <c r="K218" i="1"/>
  <c r="L218" i="1" s="1"/>
  <c r="O218" i="1" s="1"/>
  <c r="H138" i="2"/>
  <c r="H136" i="2"/>
  <c r="I137" i="2"/>
  <c r="M137" i="2" s="1"/>
  <c r="H134" i="2"/>
  <c r="I133" i="2"/>
  <c r="N133" i="2" s="1"/>
  <c r="K210" i="1"/>
  <c r="L210" i="1" s="1"/>
  <c r="O210" i="1" s="1"/>
  <c r="K214" i="1"/>
  <c r="L214" i="1" s="1"/>
  <c r="M214" i="1" s="1"/>
  <c r="K213" i="1"/>
  <c r="L213" i="1" s="1"/>
  <c r="O213" i="1" s="1"/>
  <c r="K212" i="1"/>
  <c r="L212" i="1" s="1"/>
  <c r="M212" i="1" s="1"/>
  <c r="M127" i="2"/>
  <c r="Q127" i="2"/>
  <c r="K209" i="1"/>
  <c r="L209" i="1" s="1"/>
  <c r="M209" i="1" s="1"/>
  <c r="K208" i="1"/>
  <c r="L208" i="1" s="1"/>
  <c r="M208" i="1" s="1"/>
  <c r="G207" i="1"/>
  <c r="F207" i="1"/>
  <c r="H207" i="1" s="1"/>
  <c r="G206" i="1"/>
  <c r="F206" i="1"/>
  <c r="H206" i="1" s="1"/>
  <c r="K206" i="1" s="1"/>
  <c r="L206" i="1" s="1"/>
  <c r="O206" i="1" s="1"/>
  <c r="G205" i="1"/>
  <c r="F205" i="1"/>
  <c r="H205" i="1" s="1"/>
  <c r="E126" i="2"/>
  <c r="H126" i="2" s="1"/>
  <c r="E128" i="2"/>
  <c r="E125" i="2"/>
  <c r="E130" i="2"/>
  <c r="H130" i="2" s="1"/>
  <c r="E129" i="2"/>
  <c r="E131" i="2"/>
  <c r="H131" i="2" s="1"/>
  <c r="E132" i="2"/>
  <c r="H132" i="2" s="1"/>
  <c r="E123" i="2"/>
  <c r="H123" i="2" s="1"/>
  <c r="E124" i="2"/>
  <c r="H124" i="2" s="1"/>
  <c r="F195" i="1"/>
  <c r="H195" i="1" s="1"/>
  <c r="K195" i="1" s="1"/>
  <c r="L195" i="1" s="1"/>
  <c r="O195" i="1" s="1"/>
  <c r="G195" i="1"/>
  <c r="E120" i="2"/>
  <c r="H120" i="2" s="1"/>
  <c r="E113" i="2"/>
  <c r="H113" i="2" s="1"/>
  <c r="I113" i="2" s="1"/>
  <c r="M113" i="2" s="1"/>
  <c r="E114" i="2"/>
  <c r="H114" i="2" s="1"/>
  <c r="I114" i="2" s="1"/>
  <c r="Q114" i="2" s="1"/>
  <c r="E115" i="2"/>
  <c r="F188" i="1"/>
  <c r="H188" i="1" s="1"/>
  <c r="K188" i="1" s="1"/>
  <c r="L188" i="1" s="1"/>
  <c r="M188" i="1" s="1"/>
  <c r="G188" i="1"/>
  <c r="G187" i="1"/>
  <c r="F187" i="1"/>
  <c r="H187" i="1" s="1"/>
  <c r="G186" i="1"/>
  <c r="F186" i="1"/>
  <c r="H186" i="1" s="1"/>
  <c r="G185" i="1"/>
  <c r="F185" i="1"/>
  <c r="H185" i="1" s="1"/>
  <c r="F184" i="1"/>
  <c r="H184" i="1" s="1"/>
  <c r="G184" i="1"/>
  <c r="F183" i="1"/>
  <c r="H183" i="1" s="1"/>
  <c r="K183" i="1" s="1"/>
  <c r="L183" i="1" s="1"/>
  <c r="O183" i="1" s="1"/>
  <c r="F182" i="1"/>
  <c r="H182" i="1" s="1"/>
  <c r="K182" i="1" s="1"/>
  <c r="L182" i="1" s="1"/>
  <c r="O182" i="1" s="1"/>
  <c r="G183" i="1"/>
  <c r="G182" i="1"/>
  <c r="E119" i="2"/>
  <c r="E121" i="2"/>
  <c r="E122" i="2"/>
  <c r="H122" i="2" s="1"/>
  <c r="G190" i="1"/>
  <c r="F190" i="1"/>
  <c r="H190" i="1" s="1"/>
  <c r="G204" i="1"/>
  <c r="F204" i="1"/>
  <c r="H204" i="1" s="1"/>
  <c r="G203" i="1"/>
  <c r="F203" i="1"/>
  <c r="H203" i="1" s="1"/>
  <c r="K203" i="1" s="1"/>
  <c r="G202" i="1"/>
  <c r="F202" i="1"/>
  <c r="H202" i="1" s="1"/>
  <c r="G201" i="1"/>
  <c r="F201" i="1"/>
  <c r="H201" i="1" s="1"/>
  <c r="G200" i="1"/>
  <c r="F200" i="1"/>
  <c r="H200" i="1" s="1"/>
  <c r="G199" i="1"/>
  <c r="F199" i="1"/>
  <c r="H199" i="1" s="1"/>
  <c r="K199" i="1" s="1"/>
  <c r="G198" i="1"/>
  <c r="F198" i="1"/>
  <c r="H198" i="1" s="1"/>
  <c r="G197" i="1"/>
  <c r="F197" i="1"/>
  <c r="H197" i="1" s="1"/>
  <c r="G196" i="1"/>
  <c r="F196" i="1"/>
  <c r="H196" i="1" s="1"/>
  <c r="G194" i="1"/>
  <c r="F194" i="1"/>
  <c r="H194" i="1" s="1"/>
  <c r="G193" i="1"/>
  <c r="F193" i="1"/>
  <c r="H193" i="1" s="1"/>
  <c r="G192" i="1"/>
  <c r="F192" i="1"/>
  <c r="H192" i="1" s="1"/>
  <c r="G191" i="1"/>
  <c r="F191" i="1"/>
  <c r="H191" i="1" s="1"/>
  <c r="G189" i="1"/>
  <c r="F189" i="1"/>
  <c r="H189" i="1" s="1"/>
  <c r="K189" i="1" s="1"/>
  <c r="E103" i="2"/>
  <c r="H103" i="2" s="1"/>
  <c r="E104" i="2"/>
  <c r="H104" i="2" s="1"/>
  <c r="E105" i="2"/>
  <c r="H105" i="2" s="1"/>
  <c r="E107" i="2"/>
  <c r="H107" i="2" s="1"/>
  <c r="E106" i="2"/>
  <c r="H106" i="2" s="1"/>
  <c r="E112" i="2"/>
  <c r="H112" i="2" s="1"/>
  <c r="E111" i="2"/>
  <c r="H111" i="2" s="1"/>
  <c r="E110" i="2"/>
  <c r="H110" i="2" s="1"/>
  <c r="E108" i="2"/>
  <c r="H108" i="2" s="1"/>
  <c r="I108" i="2" s="1"/>
  <c r="E109" i="2"/>
  <c r="H109" i="2" s="1"/>
  <c r="E117" i="2"/>
  <c r="H117" i="2" s="1"/>
  <c r="G181" i="1"/>
  <c r="F181" i="1"/>
  <c r="H181" i="1" s="1"/>
  <c r="G180" i="1"/>
  <c r="F180" i="1"/>
  <c r="H180" i="1" s="1"/>
  <c r="G179" i="1"/>
  <c r="F179" i="1"/>
  <c r="H179" i="1" s="1"/>
  <c r="G178" i="1"/>
  <c r="F178" i="1"/>
  <c r="H178" i="1" s="1"/>
  <c r="G177" i="1"/>
  <c r="F177" i="1"/>
  <c r="H177" i="1" s="1"/>
  <c r="G176" i="1"/>
  <c r="F176" i="1"/>
  <c r="H176" i="1" s="1"/>
  <c r="G175" i="1"/>
  <c r="F175" i="1"/>
  <c r="H175" i="1" s="1"/>
  <c r="G174" i="1"/>
  <c r="F174" i="1"/>
  <c r="H174" i="1" s="1"/>
  <c r="G173" i="1"/>
  <c r="F173" i="1"/>
  <c r="H173" i="1" s="1"/>
  <c r="G172" i="1"/>
  <c r="F172" i="1"/>
  <c r="H172" i="1" s="1"/>
  <c r="G171" i="1"/>
  <c r="F171" i="1"/>
  <c r="H171" i="1" s="1"/>
  <c r="G170" i="1"/>
  <c r="F170" i="1"/>
  <c r="H170" i="1" s="1"/>
  <c r="G169" i="1"/>
  <c r="F169" i="1"/>
  <c r="H169" i="1" s="1"/>
  <c r="G168" i="1"/>
  <c r="F168" i="1"/>
  <c r="H168" i="1" s="1"/>
  <c r="K168" i="1" s="1"/>
  <c r="G167" i="1"/>
  <c r="F167" i="1"/>
  <c r="H167" i="1" s="1"/>
  <c r="K167" i="1" s="1"/>
  <c r="G166" i="1"/>
  <c r="F166" i="1"/>
  <c r="H166" i="1" s="1"/>
  <c r="E100" i="2"/>
  <c r="H100" i="2" s="1"/>
  <c r="I100" i="2" s="1"/>
  <c r="L100" i="2" s="1"/>
  <c r="E101" i="2"/>
  <c r="H101" i="2" s="1"/>
  <c r="E102" i="2"/>
  <c r="G165" i="1"/>
  <c r="F165" i="1"/>
  <c r="H165" i="1" s="1"/>
  <c r="G164" i="1"/>
  <c r="F164" i="1"/>
  <c r="H164" i="1" s="1"/>
  <c r="K164" i="1" s="1"/>
  <c r="G163" i="1"/>
  <c r="F163" i="1"/>
  <c r="H163" i="1" s="1"/>
  <c r="G90" i="10"/>
  <c r="F90" i="10"/>
  <c r="H90" i="10" s="1"/>
  <c r="G89" i="10"/>
  <c r="F89" i="10"/>
  <c r="H89" i="10" s="1"/>
  <c r="G88" i="10"/>
  <c r="F88" i="10"/>
  <c r="H88" i="10" s="1"/>
  <c r="G87" i="10"/>
  <c r="F87" i="10"/>
  <c r="H87" i="10" s="1"/>
  <c r="G86" i="10"/>
  <c r="F86" i="10"/>
  <c r="H86" i="10" s="1"/>
  <c r="G85" i="10"/>
  <c r="F85" i="10"/>
  <c r="H85" i="10" s="1"/>
  <c r="K85" i="10" s="1"/>
  <c r="G84" i="10"/>
  <c r="F84" i="10"/>
  <c r="H84" i="10" s="1"/>
  <c r="G83" i="10"/>
  <c r="F83" i="10"/>
  <c r="H83" i="10" s="1"/>
  <c r="E96" i="2"/>
  <c r="E99" i="2"/>
  <c r="H99" i="2" s="1"/>
  <c r="I99" i="2" s="1"/>
  <c r="M99" i="2" s="1"/>
  <c r="E98" i="2"/>
  <c r="H98" i="2" s="1"/>
  <c r="I98" i="2" s="1"/>
  <c r="L98" i="2" s="1"/>
  <c r="R263" i="1" l="1"/>
  <c r="Q159" i="2"/>
  <c r="Q158" i="2"/>
  <c r="Q160" i="2"/>
  <c r="Q157" i="2"/>
  <c r="Q150" i="2"/>
  <c r="R238" i="1"/>
  <c r="Q151" i="2"/>
  <c r="I130" i="2"/>
  <c r="N130" i="2" s="1"/>
  <c r="R228" i="1"/>
  <c r="R233" i="1"/>
  <c r="Q135" i="2"/>
  <c r="I138" i="2"/>
  <c r="K138" i="2" s="1"/>
  <c r="I136" i="2"/>
  <c r="N136" i="2" s="1"/>
  <c r="Q137" i="2"/>
  <c r="I134" i="2"/>
  <c r="M134" i="2" s="1"/>
  <c r="Q133" i="2"/>
  <c r="K207" i="1"/>
  <c r="L207" i="1" s="1"/>
  <c r="O207" i="1" s="1"/>
  <c r="K205" i="1"/>
  <c r="L205" i="1" s="1"/>
  <c r="O205" i="1" s="1"/>
  <c r="I126" i="2"/>
  <c r="N126" i="2" s="1"/>
  <c r="H128" i="2"/>
  <c r="H125" i="2"/>
  <c r="I125" i="2" s="1"/>
  <c r="M125" i="2" s="1"/>
  <c r="H129" i="2"/>
  <c r="I131" i="2"/>
  <c r="J131" i="2" s="1"/>
  <c r="I132" i="2"/>
  <c r="K132" i="2" s="1"/>
  <c r="I124" i="2"/>
  <c r="L124" i="2" s="1"/>
  <c r="I123" i="2"/>
  <c r="L123" i="2" s="1"/>
  <c r="I120" i="2"/>
  <c r="L120" i="2" s="1"/>
  <c r="H115" i="2"/>
  <c r="Q113" i="2"/>
  <c r="L114" i="2"/>
  <c r="K185" i="1"/>
  <c r="L185" i="1" s="1"/>
  <c r="O185" i="1" s="1"/>
  <c r="K184" i="1"/>
  <c r="L184" i="1" s="1"/>
  <c r="O184" i="1" s="1"/>
  <c r="K187" i="1"/>
  <c r="L187" i="1" s="1"/>
  <c r="O187" i="1" s="1"/>
  <c r="K186" i="1"/>
  <c r="L186" i="1" s="1"/>
  <c r="O186" i="1" s="1"/>
  <c r="H119" i="2"/>
  <c r="I119" i="2" s="1"/>
  <c r="I122" i="2"/>
  <c r="K122" i="2" s="1"/>
  <c r="H121" i="2"/>
  <c r="I110" i="2"/>
  <c r="L110" i="2" s="1"/>
  <c r="I105" i="2"/>
  <c r="L105" i="2" s="1"/>
  <c r="I111" i="2"/>
  <c r="K111" i="2" s="1"/>
  <c r="I117" i="2"/>
  <c r="K190" i="1"/>
  <c r="L190" i="1" s="1"/>
  <c r="O190" i="1" s="1"/>
  <c r="K193" i="1"/>
  <c r="L193" i="1" s="1"/>
  <c r="O193" i="1" s="1"/>
  <c r="K202" i="1"/>
  <c r="L202" i="1" s="1"/>
  <c r="O202" i="1" s="1"/>
  <c r="K198" i="1"/>
  <c r="L198" i="1" s="1"/>
  <c r="O198" i="1" s="1"/>
  <c r="K191" i="1"/>
  <c r="L191" i="1" s="1"/>
  <c r="O191" i="1" s="1"/>
  <c r="K196" i="1"/>
  <c r="L196" i="1" s="1"/>
  <c r="M196" i="1" s="1"/>
  <c r="K204" i="1"/>
  <c r="L204" i="1" s="1"/>
  <c r="O204" i="1" s="1"/>
  <c r="K192" i="1"/>
  <c r="L192" i="1" s="1"/>
  <c r="O192" i="1" s="1"/>
  <c r="K200" i="1"/>
  <c r="L200" i="1" s="1"/>
  <c r="O200" i="1" s="1"/>
  <c r="K197" i="1"/>
  <c r="L197" i="1" s="1"/>
  <c r="O197" i="1" s="1"/>
  <c r="L189" i="1"/>
  <c r="M189" i="1" s="1"/>
  <c r="L199" i="1"/>
  <c r="O199" i="1" s="1"/>
  <c r="L203" i="1"/>
  <c r="O203" i="1" s="1"/>
  <c r="K201" i="1"/>
  <c r="L201" i="1" s="1"/>
  <c r="M201" i="1" s="1"/>
  <c r="K194" i="1"/>
  <c r="L194" i="1" s="1"/>
  <c r="O194" i="1" s="1"/>
  <c r="I104" i="2"/>
  <c r="M104" i="2" s="1"/>
  <c r="I109" i="2"/>
  <c r="M109" i="2" s="1"/>
  <c r="N108" i="2"/>
  <c r="Q108" i="2"/>
  <c r="I112" i="2"/>
  <c r="K112" i="2" s="1"/>
  <c r="I106" i="2"/>
  <c r="J106" i="2" s="1"/>
  <c r="I103" i="2"/>
  <c r="N103" i="2" s="1"/>
  <c r="I107" i="2"/>
  <c r="K107" i="2" s="1"/>
  <c r="K176" i="1"/>
  <c r="L176" i="1" s="1"/>
  <c r="O176" i="1" s="1"/>
  <c r="K172" i="1"/>
  <c r="L172" i="1" s="1"/>
  <c r="O172" i="1" s="1"/>
  <c r="K179" i="1"/>
  <c r="L179" i="1" s="1"/>
  <c r="O179" i="1" s="1"/>
  <c r="K173" i="1"/>
  <c r="L173" i="1" s="1"/>
  <c r="O173" i="1" s="1"/>
  <c r="K177" i="1"/>
  <c r="L177" i="1" s="1"/>
  <c r="M177" i="1" s="1"/>
  <c r="K169" i="1"/>
  <c r="K180" i="1"/>
  <c r="L180" i="1" s="1"/>
  <c r="O180" i="1" s="1"/>
  <c r="K170" i="1"/>
  <c r="L170" i="1" s="1"/>
  <c r="O170" i="1" s="1"/>
  <c r="K181" i="1"/>
  <c r="L181" i="1" s="1"/>
  <c r="O181" i="1" s="1"/>
  <c r="K175" i="1"/>
  <c r="L175" i="1" s="1"/>
  <c r="O175" i="1" s="1"/>
  <c r="K171" i="1"/>
  <c r="L171" i="1" s="1"/>
  <c r="O171" i="1" s="1"/>
  <c r="K178" i="1"/>
  <c r="L178" i="1" s="1"/>
  <c r="M178" i="1" s="1"/>
  <c r="L168" i="1"/>
  <c r="O168" i="1" s="1"/>
  <c r="L167" i="1"/>
  <c r="M167" i="1" s="1"/>
  <c r="K174" i="1"/>
  <c r="L174" i="1" s="1"/>
  <c r="O174" i="1" s="1"/>
  <c r="K166" i="1"/>
  <c r="L166" i="1" s="1"/>
  <c r="O166" i="1" s="1"/>
  <c r="I101" i="2"/>
  <c r="J101" i="2" s="1"/>
  <c r="H102" i="2"/>
  <c r="K165" i="1"/>
  <c r="L165" i="1" s="1"/>
  <c r="O165" i="1" s="1"/>
  <c r="L164" i="1"/>
  <c r="M164" i="1" s="1"/>
  <c r="K163" i="1"/>
  <c r="L163" i="1" s="1"/>
  <c r="O163" i="1" s="1"/>
  <c r="K86" i="10"/>
  <c r="L86" i="10" s="1"/>
  <c r="M86" i="10" s="1"/>
  <c r="K89" i="10"/>
  <c r="L89" i="10" s="1"/>
  <c r="N89" i="10" s="1"/>
  <c r="K84" i="10"/>
  <c r="L84" i="10" s="1"/>
  <c r="O84" i="10" s="1"/>
  <c r="K90" i="10"/>
  <c r="L90" i="10" s="1"/>
  <c r="M90" i="10" s="1"/>
  <c r="K88" i="10"/>
  <c r="L88" i="10" s="1"/>
  <c r="N88" i="10" s="1"/>
  <c r="L85" i="10"/>
  <c r="O85" i="10" s="1"/>
  <c r="K83" i="10"/>
  <c r="L83" i="10" s="1"/>
  <c r="Q83" i="10" s="1"/>
  <c r="K87" i="10"/>
  <c r="L87" i="10" s="1"/>
  <c r="M87" i="10" s="1"/>
  <c r="H96" i="2"/>
  <c r="G162" i="1"/>
  <c r="G161" i="1"/>
  <c r="F162" i="1"/>
  <c r="H162" i="1" s="1"/>
  <c r="K162" i="1" s="1"/>
  <c r="L162" i="1" s="1"/>
  <c r="O162" i="1" s="1"/>
  <c r="F161" i="1"/>
  <c r="H161" i="1" s="1"/>
  <c r="G160" i="1"/>
  <c r="F160" i="1"/>
  <c r="H160" i="1" s="1"/>
  <c r="F159" i="1"/>
  <c r="H159" i="1" s="1"/>
  <c r="K159" i="1" s="1"/>
  <c r="G159" i="1"/>
  <c r="G158" i="1"/>
  <c r="F158" i="1"/>
  <c r="H158" i="1" s="1"/>
  <c r="Q130" i="2" l="1"/>
  <c r="Q138" i="2"/>
  <c r="Q136" i="2"/>
  <c r="Q134" i="2"/>
  <c r="I128" i="2"/>
  <c r="N128" i="2" s="1"/>
  <c r="Q126" i="2"/>
  <c r="Q125" i="2"/>
  <c r="I129" i="2"/>
  <c r="K129" i="2" s="1"/>
  <c r="Q131" i="2"/>
  <c r="Q132" i="2"/>
  <c r="Q124" i="2"/>
  <c r="Q123" i="2"/>
  <c r="Q120" i="2"/>
  <c r="I115" i="2"/>
  <c r="K115" i="2" s="1"/>
  <c r="N119" i="2"/>
  <c r="P119" i="2"/>
  <c r="Q119" i="2"/>
  <c r="I121" i="2"/>
  <c r="Q122" i="2"/>
  <c r="Q117" i="2"/>
  <c r="N117" i="2"/>
  <c r="Q105" i="2"/>
  <c r="Q111" i="2"/>
  <c r="Q110" i="2"/>
  <c r="R167" i="1"/>
  <c r="Q103" i="2"/>
  <c r="Q106" i="2"/>
  <c r="Q109" i="2"/>
  <c r="Q104" i="2"/>
  <c r="Q112" i="2"/>
  <c r="Q107" i="2"/>
  <c r="R168" i="1"/>
  <c r="L169" i="1"/>
  <c r="R170" i="1"/>
  <c r="R166" i="1"/>
  <c r="Q101" i="2"/>
  <c r="I102" i="2"/>
  <c r="K102" i="2" s="1"/>
  <c r="R165" i="1"/>
  <c r="R164" i="1"/>
  <c r="R163" i="1"/>
  <c r="I96" i="2"/>
  <c r="M96" i="2" s="1"/>
  <c r="K161" i="1"/>
  <c r="L161" i="1" s="1"/>
  <c r="M161" i="1" s="1"/>
  <c r="R162" i="1"/>
  <c r="K160" i="1"/>
  <c r="L159" i="1"/>
  <c r="O159" i="1" s="1"/>
  <c r="K158" i="1"/>
  <c r="Q128" i="2" l="1"/>
  <c r="Q129" i="2"/>
  <c r="Q115" i="2"/>
  <c r="Q121" i="2"/>
  <c r="J121" i="2"/>
  <c r="O169" i="1"/>
  <c r="Q169" i="1"/>
  <c r="R169" i="1"/>
  <c r="Q102" i="2"/>
  <c r="Q96" i="2"/>
  <c r="R161" i="1"/>
  <c r="R159" i="1"/>
  <c r="L160" i="1"/>
  <c r="O160" i="1" s="1"/>
  <c r="L158" i="1"/>
  <c r="M158" i="1" s="1"/>
  <c r="R160" i="1" l="1"/>
  <c r="R158" i="1"/>
  <c r="E93" i="2" l="1"/>
  <c r="G157" i="1"/>
  <c r="F157" i="1"/>
  <c r="H157" i="1" s="1"/>
  <c r="G156" i="1"/>
  <c r="F156" i="1"/>
  <c r="H156" i="1" s="1"/>
  <c r="G155" i="1"/>
  <c r="F155" i="1"/>
  <c r="H155" i="1" s="1"/>
  <c r="G154" i="1"/>
  <c r="F154" i="1"/>
  <c r="H154" i="1" s="1"/>
  <c r="G153" i="1"/>
  <c r="F153" i="1"/>
  <c r="H153" i="1" s="1"/>
  <c r="G152" i="1"/>
  <c r="F152" i="1"/>
  <c r="H152" i="1" s="1"/>
  <c r="G151" i="1"/>
  <c r="F151" i="1"/>
  <c r="H151" i="1" s="1"/>
  <c r="E94" i="2"/>
  <c r="G150" i="1"/>
  <c r="F150" i="1"/>
  <c r="H150" i="1" s="1"/>
  <c r="E92" i="2"/>
  <c r="G79" i="10"/>
  <c r="F79" i="10"/>
  <c r="H79" i="10" s="1"/>
  <c r="G78" i="10"/>
  <c r="F78" i="10"/>
  <c r="H78" i="10" s="1"/>
  <c r="G77" i="10"/>
  <c r="F77" i="10"/>
  <c r="H77" i="10" s="1"/>
  <c r="K77" i="10" s="1"/>
  <c r="G76" i="10"/>
  <c r="F76" i="10"/>
  <c r="H76" i="10" s="1"/>
  <c r="G75" i="10"/>
  <c r="F75" i="10"/>
  <c r="H75" i="10" s="1"/>
  <c r="G74" i="10"/>
  <c r="F74" i="10"/>
  <c r="H74" i="10" s="1"/>
  <c r="K74" i="10" s="1"/>
  <c r="L74" i="10" s="1"/>
  <c r="M74" i="10" s="1"/>
  <c r="G73" i="10"/>
  <c r="F73" i="10"/>
  <c r="H73" i="10" s="1"/>
  <c r="K73" i="10" s="1"/>
  <c r="G72" i="10"/>
  <c r="F72" i="10"/>
  <c r="H72" i="10" s="1"/>
  <c r="G71" i="10"/>
  <c r="F71" i="10"/>
  <c r="H71" i="10" s="1"/>
  <c r="E89" i="2"/>
  <c r="H89" i="2" s="1"/>
  <c r="G147" i="1"/>
  <c r="F147" i="1"/>
  <c r="H147" i="1" s="1"/>
  <c r="K147" i="1" s="1"/>
  <c r="E87" i="2"/>
  <c r="H87" i="2" s="1"/>
  <c r="E88" i="2"/>
  <c r="G149" i="1"/>
  <c r="F149" i="1"/>
  <c r="H149" i="1" s="1"/>
  <c r="K149" i="1" s="1"/>
  <c r="G148" i="1"/>
  <c r="F148" i="1"/>
  <c r="H148" i="1" s="1"/>
  <c r="G146" i="1"/>
  <c r="F146" i="1"/>
  <c r="H146" i="1" s="1"/>
  <c r="G145" i="1"/>
  <c r="F145" i="1"/>
  <c r="H145" i="1" s="1"/>
  <c r="G144" i="1"/>
  <c r="F144" i="1"/>
  <c r="H144" i="1" s="1"/>
  <c r="G143" i="1"/>
  <c r="F143" i="1"/>
  <c r="H143" i="1" s="1"/>
  <c r="K143" i="1" s="1"/>
  <c r="G142" i="1"/>
  <c r="F142" i="1"/>
  <c r="H142" i="1" s="1"/>
  <c r="G141" i="1"/>
  <c r="F141" i="1"/>
  <c r="H141" i="1" s="1"/>
  <c r="E85" i="2"/>
  <c r="G140" i="1"/>
  <c r="F140" i="1"/>
  <c r="H140" i="1" s="1"/>
  <c r="H93" i="2" l="1"/>
  <c r="I93" i="2" s="1"/>
  <c r="M93" i="2" s="1"/>
  <c r="K157" i="1"/>
  <c r="K156" i="1"/>
  <c r="K155" i="1"/>
  <c r="L155" i="1" s="1"/>
  <c r="O155" i="1" s="1"/>
  <c r="K153" i="1"/>
  <c r="K154" i="1"/>
  <c r="K151" i="1"/>
  <c r="L151" i="1" s="1"/>
  <c r="M151" i="1" s="1"/>
  <c r="K152" i="1"/>
  <c r="L152" i="1" s="1"/>
  <c r="O152" i="1" s="1"/>
  <c r="H94" i="2"/>
  <c r="K150" i="1"/>
  <c r="L150" i="1" s="1"/>
  <c r="M150" i="1" s="1"/>
  <c r="H92" i="2"/>
  <c r="I92" i="2" s="1"/>
  <c r="M92" i="2" s="1"/>
  <c r="K71" i="10"/>
  <c r="L71" i="10" s="1"/>
  <c r="Q71" i="10" s="1"/>
  <c r="K75" i="10"/>
  <c r="L75" i="10" s="1"/>
  <c r="M75" i="10" s="1"/>
  <c r="K78" i="10"/>
  <c r="L78" i="10" s="1"/>
  <c r="N78" i="10" s="1"/>
  <c r="K72" i="10"/>
  <c r="L72" i="10" s="1"/>
  <c r="O72" i="10" s="1"/>
  <c r="K79" i="10"/>
  <c r="L79" i="10" s="1"/>
  <c r="M79" i="10" s="1"/>
  <c r="K76" i="10"/>
  <c r="L76" i="10" s="1"/>
  <c r="O76" i="10" s="1"/>
  <c r="L73" i="10"/>
  <c r="O73" i="10" s="1"/>
  <c r="L77" i="10"/>
  <c r="N77" i="10" s="1"/>
  <c r="I89" i="2"/>
  <c r="L89" i="2" s="1"/>
  <c r="L147" i="1"/>
  <c r="O147" i="1" s="1"/>
  <c r="L149" i="1"/>
  <c r="O149" i="1" s="1"/>
  <c r="I87" i="2"/>
  <c r="K87" i="2" s="1"/>
  <c r="H88" i="2"/>
  <c r="I88" i="2" s="1"/>
  <c r="K88" i="2" s="1"/>
  <c r="K148" i="1"/>
  <c r="K146" i="1"/>
  <c r="L146" i="1" s="1"/>
  <c r="M146" i="1" s="1"/>
  <c r="L143" i="1"/>
  <c r="M143" i="1" s="1"/>
  <c r="K145" i="1"/>
  <c r="K144" i="1"/>
  <c r="K142" i="1"/>
  <c r="K141" i="1"/>
  <c r="H85" i="2"/>
  <c r="K140" i="1"/>
  <c r="G137" i="1"/>
  <c r="F137" i="1"/>
  <c r="H137" i="1" s="1"/>
  <c r="K137" i="1" s="1"/>
  <c r="L137" i="1" s="1"/>
  <c r="Q93" i="2" l="1"/>
  <c r="L157" i="1"/>
  <c r="O157" i="1" s="1"/>
  <c r="L156" i="1"/>
  <c r="O156" i="1" s="1"/>
  <c r="L154" i="1"/>
  <c r="O154" i="1" s="1"/>
  <c r="L153" i="1"/>
  <c r="R153" i="1" s="1"/>
  <c r="R152" i="1"/>
  <c r="R151" i="1"/>
  <c r="I94" i="2"/>
  <c r="K94" i="2" s="1"/>
  <c r="R150" i="1"/>
  <c r="Q92" i="2"/>
  <c r="Q89" i="2"/>
  <c r="R147" i="1"/>
  <c r="R149" i="1"/>
  <c r="Q87" i="2"/>
  <c r="Q88" i="2"/>
  <c r="L148" i="1"/>
  <c r="O148" i="1" s="1"/>
  <c r="R146" i="1"/>
  <c r="R143" i="1"/>
  <c r="L145" i="1"/>
  <c r="O145" i="1" s="1"/>
  <c r="L144" i="1"/>
  <c r="R144" i="1" s="1"/>
  <c r="L142" i="1"/>
  <c r="M142" i="1" s="1"/>
  <c r="L141" i="1"/>
  <c r="M141" i="1" s="1"/>
  <c r="I85" i="2"/>
  <c r="N85" i="2" s="1"/>
  <c r="L140" i="1"/>
  <c r="M140" i="1" s="1"/>
  <c r="O137" i="1"/>
  <c r="R137" i="1"/>
  <c r="E83" i="2"/>
  <c r="E81" i="2"/>
  <c r="E82" i="2"/>
  <c r="F139" i="1"/>
  <c r="H139" i="1" s="1"/>
  <c r="K139" i="1" s="1"/>
  <c r="L139" i="1" s="1"/>
  <c r="O139" i="1" s="1"/>
  <c r="G139" i="1"/>
  <c r="G138" i="1"/>
  <c r="F138" i="1"/>
  <c r="H138" i="1" s="1"/>
  <c r="K138" i="1" s="1"/>
  <c r="L138" i="1" s="1"/>
  <c r="O138" i="1" s="1"/>
  <c r="G136" i="1"/>
  <c r="F136" i="1"/>
  <c r="H136" i="1" s="1"/>
  <c r="G135" i="1"/>
  <c r="F135" i="1"/>
  <c r="H135" i="1" s="1"/>
  <c r="G134" i="1"/>
  <c r="F134" i="1"/>
  <c r="H134" i="1" s="1"/>
  <c r="G133" i="1"/>
  <c r="F133" i="1"/>
  <c r="H133" i="1" s="1"/>
  <c r="G132" i="1"/>
  <c r="F132" i="1"/>
  <c r="H132" i="1" s="1"/>
  <c r="G131" i="1"/>
  <c r="F131" i="1"/>
  <c r="H131" i="1" s="1"/>
  <c r="G130" i="1"/>
  <c r="F130" i="1"/>
  <c r="H130" i="1" s="1"/>
  <c r="G55" i="10"/>
  <c r="F55" i="10"/>
  <c r="H55" i="10" s="1"/>
  <c r="G66" i="10"/>
  <c r="F66" i="10"/>
  <c r="H66" i="10" s="1"/>
  <c r="G65" i="10"/>
  <c r="F65" i="10"/>
  <c r="H65" i="10" s="1"/>
  <c r="G64" i="10"/>
  <c r="F64" i="10"/>
  <c r="H64" i="10" s="1"/>
  <c r="G63" i="10"/>
  <c r="F63" i="10"/>
  <c r="H63" i="10" s="1"/>
  <c r="G62" i="10"/>
  <c r="F62" i="10"/>
  <c r="H62" i="10" s="1"/>
  <c r="G61" i="10"/>
  <c r="F61" i="10"/>
  <c r="H61" i="10" s="1"/>
  <c r="G60" i="10"/>
  <c r="F60" i="10"/>
  <c r="H60" i="10" s="1"/>
  <c r="G59" i="10"/>
  <c r="F59" i="10"/>
  <c r="H59" i="10" s="1"/>
  <c r="G58" i="10"/>
  <c r="F58" i="10"/>
  <c r="H58" i="10" s="1"/>
  <c r="G127" i="1"/>
  <c r="F127" i="1"/>
  <c r="H127" i="1" s="1"/>
  <c r="G126" i="1"/>
  <c r="F126" i="1"/>
  <c r="H126" i="1" s="1"/>
  <c r="G125" i="1"/>
  <c r="F125" i="1"/>
  <c r="H125" i="1" s="1"/>
  <c r="K125" i="1" s="1"/>
  <c r="E80" i="2"/>
  <c r="E77" i="2"/>
  <c r="H77" i="2" s="1"/>
  <c r="G129" i="1"/>
  <c r="F129" i="1"/>
  <c r="H129" i="1" s="1"/>
  <c r="G128" i="1"/>
  <c r="F128" i="1"/>
  <c r="H128" i="1" s="1"/>
  <c r="G124" i="1"/>
  <c r="F124" i="1"/>
  <c r="H124" i="1" s="1"/>
  <c r="G123" i="1"/>
  <c r="F123" i="1"/>
  <c r="H123" i="1" s="1"/>
  <c r="G122" i="1"/>
  <c r="F122" i="1"/>
  <c r="H122" i="1" s="1"/>
  <c r="K122" i="1" s="1"/>
  <c r="G121" i="1"/>
  <c r="F121" i="1"/>
  <c r="H121" i="1" s="1"/>
  <c r="K121" i="1" s="1"/>
  <c r="F120" i="1"/>
  <c r="H120" i="1" s="1"/>
  <c r="K120" i="1" s="1"/>
  <c r="L120" i="1" s="1"/>
  <c r="O120" i="1" s="1"/>
  <c r="G120" i="1"/>
  <c r="E74" i="2"/>
  <c r="R156" i="1" l="1"/>
  <c r="R157" i="1"/>
  <c r="Q153" i="1"/>
  <c r="O153" i="1"/>
  <c r="R154" i="1"/>
  <c r="Q94" i="2"/>
  <c r="R148" i="1"/>
  <c r="R145" i="1"/>
  <c r="R142" i="1"/>
  <c r="O144" i="1"/>
  <c r="Q144" i="1"/>
  <c r="R141" i="1"/>
  <c r="Q85" i="2"/>
  <c r="R140" i="1"/>
  <c r="H83" i="2"/>
  <c r="I83" i="2" s="1"/>
  <c r="K83" i="2" s="1"/>
  <c r="H81" i="2"/>
  <c r="I81" i="2" s="1"/>
  <c r="M81" i="2" s="1"/>
  <c r="H82" i="2"/>
  <c r="K136" i="1"/>
  <c r="L136" i="1" s="1"/>
  <c r="O136" i="1" s="1"/>
  <c r="K135" i="1"/>
  <c r="K134" i="1"/>
  <c r="L134" i="1" s="1"/>
  <c r="O134" i="1" s="1"/>
  <c r="K133" i="1"/>
  <c r="K132" i="1"/>
  <c r="K130" i="1"/>
  <c r="K131" i="1"/>
  <c r="L131" i="1" s="1"/>
  <c r="M131" i="1" s="1"/>
  <c r="K55" i="10"/>
  <c r="L55" i="10" s="1"/>
  <c r="O55" i="10" s="1"/>
  <c r="K58" i="10"/>
  <c r="L58" i="10" s="1"/>
  <c r="Q58" i="10" s="1"/>
  <c r="K65" i="10"/>
  <c r="L65" i="10" s="1"/>
  <c r="N65" i="10" s="1"/>
  <c r="K62" i="10"/>
  <c r="L62" i="10" s="1"/>
  <c r="M62" i="10" s="1"/>
  <c r="K61" i="10"/>
  <c r="L61" i="10" s="1"/>
  <c r="M61" i="10" s="1"/>
  <c r="K66" i="10"/>
  <c r="L66" i="10" s="1"/>
  <c r="M66" i="10" s="1"/>
  <c r="K59" i="10"/>
  <c r="L59" i="10" s="1"/>
  <c r="O59" i="10" s="1"/>
  <c r="K63" i="10"/>
  <c r="L63" i="10" s="1"/>
  <c r="O63" i="10" s="1"/>
  <c r="K60" i="10"/>
  <c r="L60" i="10" s="1"/>
  <c r="O60" i="10" s="1"/>
  <c r="K64" i="10"/>
  <c r="L64" i="10" s="1"/>
  <c r="N64" i="10" s="1"/>
  <c r="K127" i="1"/>
  <c r="L127" i="1" s="1"/>
  <c r="O127" i="1" s="1"/>
  <c r="K126" i="1"/>
  <c r="L125" i="1"/>
  <c r="O125" i="1" s="1"/>
  <c r="H80" i="2"/>
  <c r="I80" i="2" s="1"/>
  <c r="K80" i="2" s="1"/>
  <c r="I77" i="2"/>
  <c r="M77" i="2" s="1"/>
  <c r="K129" i="1"/>
  <c r="L129" i="1" s="1"/>
  <c r="O129" i="1" s="1"/>
  <c r="K128" i="1"/>
  <c r="L128" i="1" s="1"/>
  <c r="L121" i="1"/>
  <c r="O121" i="1" s="1"/>
  <c r="K124" i="1"/>
  <c r="L124" i="1" s="1"/>
  <c r="M124" i="1" s="1"/>
  <c r="L122" i="1"/>
  <c r="O122" i="1" s="1"/>
  <c r="K123" i="1"/>
  <c r="R120" i="1"/>
  <c r="H74" i="2"/>
  <c r="I74" i="2" s="1"/>
  <c r="M74" i="2" s="1"/>
  <c r="G112" i="1"/>
  <c r="F112" i="1"/>
  <c r="H112" i="1" s="1"/>
  <c r="G111" i="1"/>
  <c r="F111" i="1"/>
  <c r="H111" i="1" s="1"/>
  <c r="G115" i="1"/>
  <c r="F115" i="1"/>
  <c r="H115" i="1" s="1"/>
  <c r="G119" i="1"/>
  <c r="F119" i="1"/>
  <c r="H119" i="1" s="1"/>
  <c r="G118" i="1"/>
  <c r="F118" i="1"/>
  <c r="H118" i="1" s="1"/>
  <c r="G117" i="1"/>
  <c r="F117" i="1"/>
  <c r="H117" i="1" s="1"/>
  <c r="G116" i="1"/>
  <c r="F116" i="1"/>
  <c r="H116" i="1" s="1"/>
  <c r="G114" i="1"/>
  <c r="F114" i="1"/>
  <c r="H114" i="1" s="1"/>
  <c r="E73" i="2"/>
  <c r="E75" i="2"/>
  <c r="H75" i="2" s="1"/>
  <c r="G113" i="1"/>
  <c r="F113" i="1"/>
  <c r="H113" i="1" s="1"/>
  <c r="G110" i="1"/>
  <c r="F110" i="1"/>
  <c r="H110" i="1" s="1"/>
  <c r="G109" i="1"/>
  <c r="F109" i="1"/>
  <c r="H109" i="1" s="1"/>
  <c r="G106" i="1"/>
  <c r="F106" i="1"/>
  <c r="H106" i="1" s="1"/>
  <c r="G108" i="1"/>
  <c r="F108" i="1"/>
  <c r="H108" i="1" s="1"/>
  <c r="G107" i="1"/>
  <c r="F107" i="1"/>
  <c r="H107" i="1" s="1"/>
  <c r="K107" i="1" s="1"/>
  <c r="G105" i="1"/>
  <c r="F105" i="1"/>
  <c r="H105" i="1" s="1"/>
  <c r="E72" i="2"/>
  <c r="H72" i="2" s="1"/>
  <c r="E71" i="2"/>
  <c r="H71" i="2" s="1"/>
  <c r="G104" i="1"/>
  <c r="G103" i="1"/>
  <c r="F104" i="1"/>
  <c r="H104" i="1" s="1"/>
  <c r="F103" i="1"/>
  <c r="H103" i="1" s="1"/>
  <c r="K103" i="1" s="1"/>
  <c r="G102" i="1"/>
  <c r="F102" i="1"/>
  <c r="H102" i="1" s="1"/>
  <c r="G101" i="1"/>
  <c r="F101" i="1"/>
  <c r="H101" i="1" s="1"/>
  <c r="G100" i="1"/>
  <c r="F100" i="1"/>
  <c r="H100" i="1" s="1"/>
  <c r="Q83" i="2" l="1"/>
  <c r="Q81" i="2"/>
  <c r="I82" i="2"/>
  <c r="M82" i="2" s="1"/>
  <c r="R136" i="1"/>
  <c r="L135" i="1"/>
  <c r="O135" i="1" s="1"/>
  <c r="R134" i="1"/>
  <c r="L133" i="1"/>
  <c r="O133" i="1" s="1"/>
  <c r="L132" i="1"/>
  <c r="M132" i="1" s="1"/>
  <c r="R131" i="1"/>
  <c r="L130" i="1"/>
  <c r="M130" i="1" s="1"/>
  <c r="R127" i="1"/>
  <c r="L126" i="1"/>
  <c r="O126" i="1" s="1"/>
  <c r="R125" i="1"/>
  <c r="Q80" i="2"/>
  <c r="Q77" i="2"/>
  <c r="R129" i="1"/>
  <c r="Q128" i="1"/>
  <c r="O128" i="1"/>
  <c r="R128" i="1"/>
  <c r="R121" i="1"/>
  <c r="R122" i="1"/>
  <c r="R124" i="1"/>
  <c r="L123" i="1"/>
  <c r="M123" i="1" s="1"/>
  <c r="Q74" i="2"/>
  <c r="I75" i="2"/>
  <c r="J75" i="2" s="1"/>
  <c r="K111" i="1"/>
  <c r="L111" i="1" s="1"/>
  <c r="O111" i="1" s="1"/>
  <c r="K112" i="1"/>
  <c r="K115" i="1"/>
  <c r="K119" i="1"/>
  <c r="K117" i="1"/>
  <c r="L117" i="1" s="1"/>
  <c r="K118" i="1"/>
  <c r="L118" i="1" s="1"/>
  <c r="O118" i="1" s="1"/>
  <c r="K110" i="1"/>
  <c r="L110" i="1" s="1"/>
  <c r="M110" i="1" s="1"/>
  <c r="K113" i="1"/>
  <c r="L113" i="1" s="1"/>
  <c r="O113" i="1" s="1"/>
  <c r="K114" i="1"/>
  <c r="K116" i="1"/>
  <c r="H73" i="2"/>
  <c r="K109" i="1"/>
  <c r="K106" i="1"/>
  <c r="K108" i="1"/>
  <c r="L107" i="1"/>
  <c r="M107" i="1" s="1"/>
  <c r="K105" i="1"/>
  <c r="I72" i="2"/>
  <c r="K72" i="2" s="1"/>
  <c r="I71" i="2"/>
  <c r="M71" i="2" s="1"/>
  <c r="K102" i="1"/>
  <c r="K104" i="1"/>
  <c r="L104" i="1" s="1"/>
  <c r="O104" i="1" s="1"/>
  <c r="L103" i="1"/>
  <c r="K100" i="1"/>
  <c r="L100" i="1" s="1"/>
  <c r="O100" i="1" s="1"/>
  <c r="K101" i="1"/>
  <c r="F99" i="1"/>
  <c r="H99" i="1" s="1"/>
  <c r="F98" i="1"/>
  <c r="H98" i="1" s="1"/>
  <c r="G99" i="1"/>
  <c r="G98" i="1"/>
  <c r="Q82" i="2" l="1"/>
  <c r="R135" i="1"/>
  <c r="R133" i="1"/>
  <c r="R132" i="1"/>
  <c r="R130" i="1"/>
  <c r="R126" i="1"/>
  <c r="R123" i="1"/>
  <c r="Q75" i="2"/>
  <c r="L112" i="1"/>
  <c r="M112" i="1" s="1"/>
  <c r="R110" i="1"/>
  <c r="R111" i="1"/>
  <c r="L115" i="1"/>
  <c r="O115" i="1" s="1"/>
  <c r="L119" i="1"/>
  <c r="O119" i="1" s="1"/>
  <c r="O117" i="1"/>
  <c r="Q117" i="1"/>
  <c r="R118" i="1"/>
  <c r="R117" i="1"/>
  <c r="L116" i="1"/>
  <c r="O116" i="1" s="1"/>
  <c r="L114" i="1"/>
  <c r="O114" i="1" s="1"/>
  <c r="I73" i="2"/>
  <c r="M73" i="2" s="1"/>
  <c r="L109" i="1"/>
  <c r="M109" i="1" s="1"/>
  <c r="L106" i="1"/>
  <c r="O106" i="1" s="1"/>
  <c r="L108" i="1"/>
  <c r="O108" i="1" s="1"/>
  <c r="R107" i="1"/>
  <c r="O103" i="1"/>
  <c r="Q103" i="1"/>
  <c r="L105" i="1"/>
  <c r="O105" i="1" s="1"/>
  <c r="Q72" i="2"/>
  <c r="Q71" i="2"/>
  <c r="L102" i="1"/>
  <c r="O102" i="1" s="1"/>
  <c r="R104" i="1"/>
  <c r="R103" i="1"/>
  <c r="R100" i="1"/>
  <c r="L101" i="1"/>
  <c r="O101" i="1" s="1"/>
  <c r="K99" i="1"/>
  <c r="L99" i="1" s="1"/>
  <c r="O99" i="1" s="1"/>
  <c r="K98" i="1"/>
  <c r="L98" i="1" s="1"/>
  <c r="O98" i="1" s="1"/>
  <c r="U47" i="10"/>
  <c r="G52" i="10"/>
  <c r="F52" i="10"/>
  <c r="H52" i="10" s="1"/>
  <c r="G51" i="10"/>
  <c r="F51" i="10"/>
  <c r="H51" i="10" s="1"/>
  <c r="G50" i="10"/>
  <c r="F50" i="10"/>
  <c r="H50" i="10" s="1"/>
  <c r="K50" i="10" s="1"/>
  <c r="G49" i="10"/>
  <c r="F49" i="10"/>
  <c r="H49" i="10" s="1"/>
  <c r="G48" i="10"/>
  <c r="F48" i="10"/>
  <c r="H48" i="10" s="1"/>
  <c r="G47" i="10"/>
  <c r="F47" i="10"/>
  <c r="H47" i="10" s="1"/>
  <c r="G46" i="10"/>
  <c r="F46" i="10"/>
  <c r="H46" i="10" s="1"/>
  <c r="G45" i="10"/>
  <c r="F45" i="10"/>
  <c r="H45" i="10" s="1"/>
  <c r="G44" i="10"/>
  <c r="F44" i="10"/>
  <c r="H44" i="10" s="1"/>
  <c r="E67" i="2"/>
  <c r="E65" i="2"/>
  <c r="H65" i="2" s="1"/>
  <c r="E66" i="2"/>
  <c r="E62" i="2"/>
  <c r="H62" i="2" s="1"/>
  <c r="E63" i="2"/>
  <c r="G97" i="1"/>
  <c r="F97" i="1"/>
  <c r="H97" i="1" s="1"/>
  <c r="G96" i="1"/>
  <c r="F96" i="1"/>
  <c r="H96" i="1" s="1"/>
  <c r="G95" i="1"/>
  <c r="F95" i="1"/>
  <c r="H95" i="1" s="1"/>
  <c r="G84" i="1"/>
  <c r="F84" i="1"/>
  <c r="H84" i="1" s="1"/>
  <c r="K84" i="1" s="1"/>
  <c r="L84" i="1" s="1"/>
  <c r="R112" i="1" l="1"/>
  <c r="R115" i="1"/>
  <c r="R119" i="1"/>
  <c r="R116" i="1"/>
  <c r="R114" i="1"/>
  <c r="Q73" i="2"/>
  <c r="R109" i="1"/>
  <c r="R106" i="1"/>
  <c r="R108" i="1"/>
  <c r="R105" i="1"/>
  <c r="R102" i="1"/>
  <c r="R101" i="1"/>
  <c r="R99" i="1"/>
  <c r="R98" i="1"/>
  <c r="K45" i="10"/>
  <c r="L45" i="10" s="1"/>
  <c r="O45" i="10" s="1"/>
  <c r="K47" i="10"/>
  <c r="L47" i="10" s="1"/>
  <c r="M47" i="10" s="1"/>
  <c r="K52" i="10"/>
  <c r="L52" i="10" s="1"/>
  <c r="M52" i="10" s="1"/>
  <c r="K51" i="10"/>
  <c r="L51" i="10" s="1"/>
  <c r="N51" i="10" s="1"/>
  <c r="K49" i="10"/>
  <c r="L49" i="10" s="1"/>
  <c r="O49" i="10" s="1"/>
  <c r="K44" i="10"/>
  <c r="L44" i="10" s="1"/>
  <c r="Q44" i="10" s="1"/>
  <c r="K48" i="10"/>
  <c r="L48" i="10" s="1"/>
  <c r="M48" i="10" s="1"/>
  <c r="K46" i="10"/>
  <c r="L46" i="10" s="1"/>
  <c r="O46" i="10" s="1"/>
  <c r="L50" i="10"/>
  <c r="N50" i="10" s="1"/>
  <c r="H67" i="2"/>
  <c r="I67" i="2" s="1"/>
  <c r="H66" i="2"/>
  <c r="I62" i="2"/>
  <c r="M62" i="2" s="1"/>
  <c r="H63" i="2"/>
  <c r="I65" i="2"/>
  <c r="M65" i="2" s="1"/>
  <c r="K95" i="1"/>
  <c r="L95" i="1" s="1"/>
  <c r="O95" i="1" s="1"/>
  <c r="K96" i="1"/>
  <c r="K97" i="1"/>
  <c r="L97" i="1" s="1"/>
  <c r="M97" i="1" s="1"/>
  <c r="R84" i="1"/>
  <c r="M84" i="1"/>
  <c r="G94" i="1"/>
  <c r="F94" i="1"/>
  <c r="H94" i="1" s="1"/>
  <c r="G93" i="1"/>
  <c r="F93" i="1"/>
  <c r="H93" i="1" s="1"/>
  <c r="G92" i="1"/>
  <c r="F92" i="1"/>
  <c r="H92" i="1" s="1"/>
  <c r="G91" i="1"/>
  <c r="F91" i="1"/>
  <c r="H91" i="1" s="1"/>
  <c r="G90" i="1"/>
  <c r="F90" i="1"/>
  <c r="H90" i="1" s="1"/>
  <c r="G89" i="1"/>
  <c r="F89" i="1"/>
  <c r="H89" i="1" s="1"/>
  <c r="G88" i="1"/>
  <c r="F88" i="1"/>
  <c r="H88" i="1" s="1"/>
  <c r="G87" i="1"/>
  <c r="F87" i="1"/>
  <c r="H87" i="1" s="1"/>
  <c r="G86" i="1"/>
  <c r="F86" i="1"/>
  <c r="H86" i="1" s="1"/>
  <c r="G85" i="1"/>
  <c r="F85" i="1"/>
  <c r="H85" i="1" s="1"/>
  <c r="Q67" i="2" l="1"/>
  <c r="J67" i="2"/>
  <c r="Q62" i="2"/>
  <c r="I66" i="2"/>
  <c r="Q65" i="2"/>
  <c r="I63" i="2"/>
  <c r="R95" i="1"/>
  <c r="R97" i="1"/>
  <c r="L96" i="1"/>
  <c r="M96" i="1" s="1"/>
  <c r="K92" i="1"/>
  <c r="L92" i="1" s="1"/>
  <c r="O92" i="1" s="1"/>
  <c r="K93" i="1"/>
  <c r="L93" i="1" s="1"/>
  <c r="O93" i="1" s="1"/>
  <c r="K91" i="1"/>
  <c r="K94" i="1"/>
  <c r="L94" i="1" s="1"/>
  <c r="O94" i="1" s="1"/>
  <c r="K90" i="1"/>
  <c r="K86" i="1"/>
  <c r="L86" i="1" s="1"/>
  <c r="O86" i="1" s="1"/>
  <c r="K88" i="1"/>
  <c r="K87" i="1"/>
  <c r="L87" i="1" s="1"/>
  <c r="O87" i="1" s="1"/>
  <c r="K85" i="1"/>
  <c r="L85" i="1" s="1"/>
  <c r="O85" i="1" s="1"/>
  <c r="K89" i="1"/>
  <c r="G83" i="1"/>
  <c r="F83" i="1"/>
  <c r="H83" i="1" s="1"/>
  <c r="G82" i="1"/>
  <c r="F82" i="1"/>
  <c r="H82" i="1" s="1"/>
  <c r="G81" i="1"/>
  <c r="F81" i="1"/>
  <c r="H81" i="1" s="1"/>
  <c r="D18" i="3"/>
  <c r="D19" i="3" s="1"/>
  <c r="B18" i="3"/>
  <c r="B19" i="3" s="1"/>
  <c r="E13" i="3"/>
  <c r="C13" i="3"/>
  <c r="E12" i="3"/>
  <c r="C12" i="3"/>
  <c r="E11" i="3"/>
  <c r="C11" i="3"/>
  <c r="G80" i="1"/>
  <c r="F80" i="1"/>
  <c r="H80" i="1" s="1"/>
  <c r="G79" i="1"/>
  <c r="F79" i="1"/>
  <c r="H79" i="1" s="1"/>
  <c r="K79" i="1" s="1"/>
  <c r="G78" i="1"/>
  <c r="F78" i="1"/>
  <c r="H78" i="1" s="1"/>
  <c r="G77" i="1"/>
  <c r="F77" i="1"/>
  <c r="H77" i="1" s="1"/>
  <c r="K77" i="1" s="1"/>
  <c r="G76" i="1"/>
  <c r="F76" i="1"/>
  <c r="H76" i="1" s="1"/>
  <c r="G75" i="1"/>
  <c r="F75" i="1"/>
  <c r="H75" i="1" s="1"/>
  <c r="G69" i="1"/>
  <c r="F69" i="1"/>
  <c r="H69" i="1" s="1"/>
  <c r="K69" i="1" s="1"/>
  <c r="L69" i="1" s="1"/>
  <c r="O69" i="1" s="1"/>
  <c r="Q66" i="2" l="1"/>
  <c r="L66" i="2"/>
  <c r="Q63" i="2"/>
  <c r="L63" i="2"/>
  <c r="R96" i="1"/>
  <c r="K83" i="1"/>
  <c r="K82" i="1"/>
  <c r="R94" i="1"/>
  <c r="R92" i="1"/>
  <c r="R93" i="1"/>
  <c r="L91" i="1"/>
  <c r="O91" i="1" s="1"/>
  <c r="R85" i="1"/>
  <c r="L88" i="1"/>
  <c r="O88" i="1" s="1"/>
  <c r="L90" i="1"/>
  <c r="O90" i="1" s="1"/>
  <c r="R87" i="1"/>
  <c r="R86" i="1"/>
  <c r="L89" i="1"/>
  <c r="O89" i="1" s="1"/>
  <c r="K81" i="1"/>
  <c r="L79" i="1"/>
  <c r="O79" i="1" s="1"/>
  <c r="L77" i="1"/>
  <c r="O77" i="1" s="1"/>
  <c r="K76" i="1"/>
  <c r="K80" i="1"/>
  <c r="L80" i="1" s="1"/>
  <c r="O80" i="1" s="1"/>
  <c r="K78" i="1"/>
  <c r="K75" i="1"/>
  <c r="L75" i="1" s="1"/>
  <c r="N75" i="1" s="1"/>
  <c r="G74" i="1"/>
  <c r="F74" i="1"/>
  <c r="H74" i="1" s="1"/>
  <c r="K74" i="1" s="1"/>
  <c r="L74" i="1" s="1"/>
  <c r="M74" i="1" s="1"/>
  <c r="F72" i="1"/>
  <c r="H72" i="1" s="1"/>
  <c r="K72" i="1" s="1"/>
  <c r="L72" i="1" s="1"/>
  <c r="G72" i="1"/>
  <c r="G73" i="1"/>
  <c r="F73" i="1"/>
  <c r="H73" i="1" s="1"/>
  <c r="G71" i="1"/>
  <c r="F71" i="1"/>
  <c r="H71" i="1" s="1"/>
  <c r="K71" i="1" s="1"/>
  <c r="G70" i="1"/>
  <c r="F70" i="1"/>
  <c r="H70" i="1" s="1"/>
  <c r="K70" i="1" s="1"/>
  <c r="G68" i="1"/>
  <c r="F68" i="1"/>
  <c r="H68" i="1" s="1"/>
  <c r="G67" i="1"/>
  <c r="F67" i="1"/>
  <c r="H67" i="1" s="1"/>
  <c r="F66" i="1"/>
  <c r="H66" i="1" s="1"/>
  <c r="G66" i="1"/>
  <c r="G65" i="1"/>
  <c r="F65" i="1"/>
  <c r="H65" i="1" s="1"/>
  <c r="G64" i="1"/>
  <c r="F64" i="1"/>
  <c r="H64" i="1" s="1"/>
  <c r="K64" i="1" s="1"/>
  <c r="F63" i="1"/>
  <c r="H63" i="1" s="1"/>
  <c r="G63" i="1"/>
  <c r="F62" i="1"/>
  <c r="H62" i="1" s="1"/>
  <c r="G62" i="1"/>
  <c r="E101" i="10"/>
  <c r="F101" i="10" s="1"/>
  <c r="G36" i="10"/>
  <c r="F36" i="10"/>
  <c r="H36" i="10" s="1"/>
  <c r="K36" i="10" s="1"/>
  <c r="G35" i="10"/>
  <c r="F35" i="10"/>
  <c r="H35" i="10" s="1"/>
  <c r="G34" i="10"/>
  <c r="F34" i="10"/>
  <c r="H34" i="10" s="1"/>
  <c r="G33" i="10"/>
  <c r="F33" i="10"/>
  <c r="H33" i="10" s="1"/>
  <c r="G32" i="10"/>
  <c r="F32" i="10"/>
  <c r="H32" i="10" s="1"/>
  <c r="G31" i="10"/>
  <c r="F31" i="10"/>
  <c r="H31" i="10" s="1"/>
  <c r="G30" i="10"/>
  <c r="F30" i="10"/>
  <c r="H30" i="10" s="1"/>
  <c r="G29" i="10"/>
  <c r="F29" i="10"/>
  <c r="H29" i="10" s="1"/>
  <c r="G28" i="10"/>
  <c r="F28" i="10"/>
  <c r="H28" i="10" s="1"/>
  <c r="K28" i="10" s="1"/>
  <c r="G60" i="1"/>
  <c r="F60" i="1"/>
  <c r="H60" i="1" s="1"/>
  <c r="G59" i="1"/>
  <c r="F59" i="1"/>
  <c r="H59" i="1" s="1"/>
  <c r="G58" i="1"/>
  <c r="F58" i="1"/>
  <c r="H58" i="1" s="1"/>
  <c r="G57" i="1"/>
  <c r="F57" i="1"/>
  <c r="H57" i="1" s="1"/>
  <c r="G56" i="1"/>
  <c r="F56" i="1"/>
  <c r="H56" i="1" s="1"/>
  <c r="G61" i="1"/>
  <c r="F61" i="1"/>
  <c r="H61" i="1" s="1"/>
  <c r="F55" i="1"/>
  <c r="H55" i="1" s="1"/>
  <c r="K55" i="1" s="1"/>
  <c r="L55" i="1" s="1"/>
  <c r="M55" i="1" s="1"/>
  <c r="G55" i="1"/>
  <c r="R90" i="1" l="1"/>
  <c r="R88" i="1"/>
  <c r="L82" i="1"/>
  <c r="M82" i="1" s="1"/>
  <c r="L83" i="1"/>
  <c r="O83" i="1" s="1"/>
  <c r="R91" i="1"/>
  <c r="R89" i="1"/>
  <c r="L81" i="1"/>
  <c r="R80" i="1"/>
  <c r="R79" i="1"/>
  <c r="R77" i="1"/>
  <c r="L78" i="1"/>
  <c r="O78" i="1" s="1"/>
  <c r="L76" i="1"/>
  <c r="O76" i="1" s="1"/>
  <c r="R75" i="1"/>
  <c r="R55" i="1"/>
  <c r="R74" i="1"/>
  <c r="M72" i="1"/>
  <c r="R72" i="1"/>
  <c r="K67" i="1"/>
  <c r="K68" i="1"/>
  <c r="K73" i="1"/>
  <c r="L73" i="1" s="1"/>
  <c r="M73" i="1" s="1"/>
  <c r="L71" i="1"/>
  <c r="O71" i="1" s="1"/>
  <c r="L70" i="1"/>
  <c r="M70" i="1" s="1"/>
  <c r="K66" i="1"/>
  <c r="L66" i="1" s="1"/>
  <c r="O66" i="1" s="1"/>
  <c r="K65" i="1"/>
  <c r="L64" i="1"/>
  <c r="O64" i="1" s="1"/>
  <c r="K63" i="1"/>
  <c r="K62" i="1"/>
  <c r="L62" i="1" s="1"/>
  <c r="M62" i="1" s="1"/>
  <c r="K32" i="10"/>
  <c r="L32" i="10" s="1"/>
  <c r="M32" i="10" s="1"/>
  <c r="L36" i="10"/>
  <c r="M36" i="10" s="1"/>
  <c r="L28" i="10"/>
  <c r="Q28" i="10" s="1"/>
  <c r="K34" i="10"/>
  <c r="L34" i="10" s="1"/>
  <c r="N34" i="10" s="1"/>
  <c r="K31" i="10"/>
  <c r="L31" i="10" s="1"/>
  <c r="M31" i="10" s="1"/>
  <c r="K30" i="10"/>
  <c r="L30" i="10" s="1"/>
  <c r="O30" i="10" s="1"/>
  <c r="K35" i="10"/>
  <c r="L35" i="10" s="1"/>
  <c r="N35" i="10" s="1"/>
  <c r="K29" i="10"/>
  <c r="L29" i="10" s="1"/>
  <c r="O29" i="10" s="1"/>
  <c r="K33" i="10"/>
  <c r="L33" i="10" s="1"/>
  <c r="O33" i="10" s="1"/>
  <c r="K60" i="1"/>
  <c r="K59" i="1"/>
  <c r="K58" i="1"/>
  <c r="K57" i="1"/>
  <c r="K56" i="1"/>
  <c r="K61" i="1"/>
  <c r="G49" i="1"/>
  <c r="F49" i="1"/>
  <c r="H49" i="1" s="1"/>
  <c r="K49" i="1" s="1"/>
  <c r="G54" i="1"/>
  <c r="F54" i="1"/>
  <c r="H54" i="1" s="1"/>
  <c r="F53" i="1"/>
  <c r="H53" i="1" s="1"/>
  <c r="K53" i="1" s="1"/>
  <c r="L53" i="1" s="1"/>
  <c r="O53" i="1" s="1"/>
  <c r="G53" i="1"/>
  <c r="F52" i="1"/>
  <c r="H52" i="1" s="1"/>
  <c r="K52" i="1" s="1"/>
  <c r="L52" i="1" s="1"/>
  <c r="O52" i="1" s="1"/>
  <c r="G52" i="1"/>
  <c r="R83" i="1" l="1"/>
  <c r="R82" i="1"/>
  <c r="M81" i="1"/>
  <c r="R81" i="1"/>
  <c r="R78" i="1"/>
  <c r="R76" i="1"/>
  <c r="R73" i="1"/>
  <c r="L60" i="1"/>
  <c r="O60" i="1" s="1"/>
  <c r="L61" i="1"/>
  <c r="O61" i="1" s="1"/>
  <c r="L56" i="1"/>
  <c r="O56" i="1" s="1"/>
  <c r="L68" i="1"/>
  <c r="O68" i="1" s="1"/>
  <c r="L59" i="1"/>
  <c r="O59" i="1" s="1"/>
  <c r="L49" i="1"/>
  <c r="O49" i="1" s="1"/>
  <c r="L57" i="1"/>
  <c r="O57" i="1" s="1"/>
  <c r="L58" i="1"/>
  <c r="O58" i="1" s="1"/>
  <c r="L67" i="1"/>
  <c r="O67" i="1" s="1"/>
  <c r="R71" i="1"/>
  <c r="R70" i="1"/>
  <c r="R66" i="1"/>
  <c r="R64" i="1"/>
  <c r="L65" i="1"/>
  <c r="O65" i="1" s="1"/>
  <c r="L63" i="1"/>
  <c r="O63" i="1" s="1"/>
  <c r="R62" i="1"/>
  <c r="R53" i="1"/>
  <c r="R52" i="1"/>
  <c r="K54" i="1"/>
  <c r="G37" i="1"/>
  <c r="F37" i="1"/>
  <c r="H37" i="1" s="1"/>
  <c r="K37" i="1" s="1"/>
  <c r="G36" i="1"/>
  <c r="F36" i="1"/>
  <c r="H36" i="1" s="1"/>
  <c r="K36" i="1" s="1"/>
  <c r="L36" i="1" s="1"/>
  <c r="O36" i="1" s="1"/>
  <c r="F35" i="1"/>
  <c r="H35" i="1" s="1"/>
  <c r="K35" i="1" s="1"/>
  <c r="G35" i="1"/>
  <c r="R56" i="1" l="1"/>
  <c r="R58" i="1"/>
  <c r="R57" i="1"/>
  <c r="R49" i="1"/>
  <c r="R61" i="1"/>
  <c r="R67" i="1"/>
  <c r="R59" i="1"/>
  <c r="R68" i="1"/>
  <c r="L54" i="1"/>
  <c r="O54" i="1" s="1"/>
  <c r="R60" i="1"/>
  <c r="R65" i="1"/>
  <c r="R63" i="1"/>
  <c r="L37" i="1"/>
  <c r="O37" i="1" s="1"/>
  <c r="R36" i="1"/>
  <c r="L35" i="1"/>
  <c r="O35" i="1" s="1"/>
  <c r="E15" i="2"/>
  <c r="H15" i="2" s="1"/>
  <c r="I15" i="2" s="1"/>
  <c r="L15" i="2" s="1"/>
  <c r="E16" i="2"/>
  <c r="H16" i="2" s="1"/>
  <c r="I16" i="2" s="1"/>
  <c r="K16" i="2" s="1"/>
  <c r="R54" i="1" l="1"/>
  <c r="R37" i="1"/>
  <c r="R35" i="1"/>
  <c r="E118" i="2"/>
  <c r="E116" i="2"/>
  <c r="G25" i="10"/>
  <c r="F25" i="10"/>
  <c r="H25" i="10" s="1"/>
  <c r="K25" i="10" s="1"/>
  <c r="L25" i="10" s="1"/>
  <c r="F24" i="10"/>
  <c r="H24" i="10" s="1"/>
  <c r="K24" i="10" s="1"/>
  <c r="G24" i="10"/>
  <c r="F26" i="10"/>
  <c r="H26" i="10" s="1"/>
  <c r="G26" i="10"/>
  <c r="G23" i="10"/>
  <c r="F23" i="10"/>
  <c r="H23" i="10" s="1"/>
  <c r="G22" i="10"/>
  <c r="G21" i="10"/>
  <c r="G20" i="10"/>
  <c r="G19" i="10"/>
  <c r="F22" i="10"/>
  <c r="H22" i="10" s="1"/>
  <c r="K22" i="10" s="1"/>
  <c r="F21" i="10"/>
  <c r="H21" i="10" s="1"/>
  <c r="K21" i="10" s="1"/>
  <c r="F20" i="10"/>
  <c r="H20" i="10" s="1"/>
  <c r="K20" i="10" s="1"/>
  <c r="F19" i="10"/>
  <c r="H19" i="10" s="1"/>
  <c r="K19" i="10" s="1"/>
  <c r="G18" i="10"/>
  <c r="F18" i="10"/>
  <c r="H18" i="10" s="1"/>
  <c r="E95" i="2"/>
  <c r="E97" i="2"/>
  <c r="H97" i="2" s="1"/>
  <c r="I97" i="2" s="1"/>
  <c r="L97" i="2" s="1"/>
  <c r="E90" i="2"/>
  <c r="E91" i="2"/>
  <c r="H91" i="2" s="1"/>
  <c r="I91" i="2" s="1"/>
  <c r="N91" i="2" s="1"/>
  <c r="H116" i="2" l="1"/>
  <c r="I116" i="2" s="1"/>
  <c r="M116" i="2" s="1"/>
  <c r="H118" i="2"/>
  <c r="I118" i="2" s="1"/>
  <c r="M118" i="2" s="1"/>
  <c r="O25" i="10"/>
  <c r="R25" i="10"/>
  <c r="L24" i="10"/>
  <c r="N24" i="10" s="1"/>
  <c r="L22" i="10"/>
  <c r="M22" i="10" s="1"/>
  <c r="L19" i="10"/>
  <c r="O19" i="10" s="1"/>
  <c r="L21" i="10"/>
  <c r="M21" i="10" s="1"/>
  <c r="L20" i="10"/>
  <c r="N20" i="10" s="1"/>
  <c r="K26" i="10"/>
  <c r="K23" i="10"/>
  <c r="K18" i="10"/>
  <c r="L18" i="10" s="1"/>
  <c r="H95" i="2"/>
  <c r="Q97" i="2"/>
  <c r="H90" i="2"/>
  <c r="Q91" i="2"/>
  <c r="R21" i="10" l="1"/>
  <c r="R20" i="10"/>
  <c r="Q118" i="2"/>
  <c r="Q116" i="2"/>
  <c r="R24" i="10"/>
  <c r="R19" i="10"/>
  <c r="R22" i="10"/>
  <c r="L26" i="10"/>
  <c r="M26" i="10" s="1"/>
  <c r="M18" i="10"/>
  <c r="O18" i="10"/>
  <c r="N18" i="10"/>
  <c r="L23" i="10"/>
  <c r="O23" i="10" s="1"/>
  <c r="R18" i="10"/>
  <c r="I95" i="2"/>
  <c r="N95" i="2" s="1"/>
  <c r="I90" i="2"/>
  <c r="N90" i="2" s="1"/>
  <c r="R26" i="10" l="1"/>
  <c r="R23" i="10"/>
  <c r="Q95" i="2"/>
  <c r="Q90" i="2"/>
  <c r="E44" i="2" l="1"/>
  <c r="H44" i="2" s="1"/>
  <c r="I44" i="2" l="1"/>
  <c r="M44" i="2" s="1"/>
  <c r="E36" i="2"/>
  <c r="H36" i="2" s="1"/>
  <c r="Q44" i="2" l="1"/>
  <c r="I36" i="2"/>
  <c r="K36" i="2" s="1"/>
  <c r="E38" i="2"/>
  <c r="H38" i="2" s="1"/>
  <c r="E37" i="2"/>
  <c r="E35" i="2"/>
  <c r="H35" i="2" s="1"/>
  <c r="Q36" i="2" l="1"/>
  <c r="I38" i="2"/>
  <c r="J38" i="2" s="1"/>
  <c r="I35" i="2"/>
  <c r="K35" i="2" s="1"/>
  <c r="H37" i="2"/>
  <c r="Q38" i="2" l="1"/>
  <c r="I37" i="2"/>
  <c r="K37" i="2" s="1"/>
  <c r="Q35" i="2"/>
  <c r="E34" i="2"/>
  <c r="G51" i="1"/>
  <c r="F51" i="1"/>
  <c r="H51" i="1" s="1"/>
  <c r="G50" i="1"/>
  <c r="F50" i="1"/>
  <c r="H50" i="1" s="1"/>
  <c r="G48" i="1"/>
  <c r="F48" i="1"/>
  <c r="H48" i="1" s="1"/>
  <c r="G45" i="1"/>
  <c r="F45" i="1"/>
  <c r="H45" i="1" s="1"/>
  <c r="K45" i="1" s="1"/>
  <c r="Q37" i="2" l="1"/>
  <c r="K51" i="1"/>
  <c r="K50" i="1"/>
  <c r="L50" i="1" s="1"/>
  <c r="M50" i="1" s="1"/>
  <c r="H34" i="2"/>
  <c r="K48" i="1"/>
  <c r="L45" i="1"/>
  <c r="M45" i="1" s="1"/>
  <c r="G47" i="1"/>
  <c r="F47" i="1"/>
  <c r="H47" i="1" s="1"/>
  <c r="G46" i="1"/>
  <c r="F46" i="1"/>
  <c r="H46" i="1" s="1"/>
  <c r="F44" i="1"/>
  <c r="H44" i="1" s="1"/>
  <c r="K44" i="1" s="1"/>
  <c r="L44" i="1" s="1"/>
  <c r="O44" i="1" s="1"/>
  <c r="G44" i="1"/>
  <c r="F25" i="1"/>
  <c r="R45" i="1" l="1"/>
  <c r="I34" i="2"/>
  <c r="M34" i="2" s="1"/>
  <c r="R50" i="1"/>
  <c r="L51" i="1"/>
  <c r="O51" i="1" s="1"/>
  <c r="L48" i="1"/>
  <c r="K46" i="1"/>
  <c r="K47" i="1"/>
  <c r="R44" i="1"/>
  <c r="G15" i="1"/>
  <c r="F15" i="1"/>
  <c r="H15" i="1" s="1"/>
  <c r="M48" i="1" l="1"/>
  <c r="Q34" i="2"/>
  <c r="R51" i="1"/>
  <c r="R48" i="1"/>
  <c r="L46" i="1"/>
  <c r="O46" i="1" s="1"/>
  <c r="L47" i="1"/>
  <c r="O47" i="1" s="1"/>
  <c r="K15" i="1"/>
  <c r="E84" i="2"/>
  <c r="H84" i="2" s="1"/>
  <c r="E86" i="2"/>
  <c r="H86" i="2" s="1"/>
  <c r="I86" i="2" s="1"/>
  <c r="L86" i="2" s="1"/>
  <c r="R46" i="1" l="1"/>
  <c r="R47" i="1"/>
  <c r="L15" i="1"/>
  <c r="O15" i="1" s="1"/>
  <c r="I84" i="2"/>
  <c r="L84" i="2" s="1"/>
  <c r="Q86" i="2"/>
  <c r="R15" i="1" l="1"/>
  <c r="Q84" i="2"/>
  <c r="E79" i="2" l="1"/>
  <c r="H79" i="2" s="1"/>
  <c r="I79" i="2" l="1"/>
  <c r="M79" i="2" s="1"/>
  <c r="Q79" i="2" l="1"/>
  <c r="F42" i="1"/>
  <c r="H42" i="1" s="1"/>
  <c r="K42" i="1" s="1"/>
  <c r="F41" i="1"/>
  <c r="H41" i="1" s="1"/>
  <c r="K41" i="1" s="1"/>
  <c r="G42" i="1"/>
  <c r="G41" i="1"/>
  <c r="G40" i="1"/>
  <c r="F40" i="1"/>
  <c r="H40" i="1" s="1"/>
  <c r="G39" i="1"/>
  <c r="F39" i="1"/>
  <c r="H39" i="1" s="1"/>
  <c r="K39" i="1" s="1"/>
  <c r="G43" i="1"/>
  <c r="F43" i="1"/>
  <c r="H43" i="1" s="1"/>
  <c r="G38" i="1"/>
  <c r="F38" i="1"/>
  <c r="H38" i="1" s="1"/>
  <c r="L42" i="1" l="1"/>
  <c r="O42" i="1" s="1"/>
  <c r="L41" i="1"/>
  <c r="M41" i="1" s="1"/>
  <c r="K40" i="1"/>
  <c r="L39" i="1"/>
  <c r="O39" i="1" s="1"/>
  <c r="K43" i="1"/>
  <c r="L43" i="1" s="1"/>
  <c r="O43" i="1" s="1"/>
  <c r="K38" i="1"/>
  <c r="R42" i="1" l="1"/>
  <c r="R41" i="1"/>
  <c r="R39" i="1"/>
  <c r="L40" i="1"/>
  <c r="M40" i="1" s="1"/>
  <c r="L38" i="1"/>
  <c r="R43" i="1"/>
  <c r="R38" i="1" l="1"/>
  <c r="M38" i="1"/>
  <c r="R40" i="1"/>
  <c r="E20" i="2" l="1"/>
  <c r="H20" i="2" s="1"/>
  <c r="I20" i="2" s="1"/>
  <c r="N20" i="2" s="1"/>
  <c r="E22" i="2"/>
  <c r="H22" i="2" s="1"/>
  <c r="I22" i="2" l="1"/>
  <c r="L22" i="2" s="1"/>
  <c r="E24" i="2"/>
  <c r="H24" i="2" l="1"/>
  <c r="I24" i="2" l="1"/>
  <c r="F34" i="1"/>
  <c r="H34" i="1" s="1"/>
  <c r="G34" i="1"/>
  <c r="G33" i="1"/>
  <c r="F33" i="1"/>
  <c r="H33" i="1" s="1"/>
  <c r="K33" i="1" s="1"/>
  <c r="L33" i="1" s="1"/>
  <c r="O33" i="1" s="1"/>
  <c r="G32" i="1"/>
  <c r="F32" i="1"/>
  <c r="H32" i="1" s="1"/>
  <c r="F23" i="1"/>
  <c r="H23" i="1" s="1"/>
  <c r="K23" i="1" s="1"/>
  <c r="F22" i="1"/>
  <c r="H22" i="1" s="1"/>
  <c r="G23" i="1"/>
  <c r="G22" i="1"/>
  <c r="G31" i="1"/>
  <c r="F31" i="1"/>
  <c r="H31" i="1" s="1"/>
  <c r="F30" i="1"/>
  <c r="H30" i="1" s="1"/>
  <c r="K30" i="1" s="1"/>
  <c r="G30" i="1"/>
  <c r="F29" i="1"/>
  <c r="H29" i="1" s="1"/>
  <c r="G29" i="1"/>
  <c r="G28" i="1"/>
  <c r="F28" i="1"/>
  <c r="H28" i="1" s="1"/>
  <c r="G27" i="1"/>
  <c r="F27" i="1"/>
  <c r="H27" i="1" s="1"/>
  <c r="K27" i="1" s="1"/>
  <c r="F26" i="1"/>
  <c r="H26" i="1" s="1"/>
  <c r="K26" i="1" s="1"/>
  <c r="G26" i="1"/>
  <c r="G25" i="1"/>
  <c r="G24" i="1"/>
  <c r="H25" i="1"/>
  <c r="K25" i="1" s="1"/>
  <c r="F24" i="1"/>
  <c r="H24" i="1" s="1"/>
  <c r="K24" i="1" s="1"/>
  <c r="F21" i="1"/>
  <c r="H21" i="1" s="1"/>
  <c r="G21" i="1"/>
  <c r="F20" i="1"/>
  <c r="H20" i="1" s="1"/>
  <c r="F19" i="1"/>
  <c r="H19" i="1" s="1"/>
  <c r="K19" i="1" s="1"/>
  <c r="L19" i="1" s="1"/>
  <c r="O19" i="1" s="1"/>
  <c r="G20" i="1"/>
  <c r="G19" i="1"/>
  <c r="G18" i="1"/>
  <c r="F18" i="1"/>
  <c r="H18" i="1" s="1"/>
  <c r="F17" i="1"/>
  <c r="H17" i="1" s="1"/>
  <c r="G17" i="1"/>
  <c r="G16" i="1"/>
  <c r="F16" i="1"/>
  <c r="H16" i="1" s="1"/>
  <c r="K16" i="1" s="1"/>
  <c r="L16" i="1" s="1"/>
  <c r="O16" i="1" s="1"/>
  <c r="F14" i="1"/>
  <c r="H14" i="1" s="1"/>
  <c r="G14" i="1"/>
  <c r="G16" i="10"/>
  <c r="F16" i="10"/>
  <c r="H16" i="10" s="1"/>
  <c r="K16" i="10" s="1"/>
  <c r="L16" i="10" s="1"/>
  <c r="F15" i="10"/>
  <c r="H15" i="10" s="1"/>
  <c r="K15" i="10" s="1"/>
  <c r="L15" i="10" s="1"/>
  <c r="G15" i="10"/>
  <c r="F14" i="10"/>
  <c r="H14" i="10" s="1"/>
  <c r="K14" i="10" s="1"/>
  <c r="G14" i="10"/>
  <c r="F13" i="1"/>
  <c r="H13" i="1" s="1"/>
  <c r="K13" i="1" s="1"/>
  <c r="G13" i="1"/>
  <c r="Q24" i="2" l="1"/>
  <c r="L24" i="2"/>
  <c r="K34" i="1"/>
  <c r="K32" i="1"/>
  <c r="R33" i="1"/>
  <c r="L23" i="1"/>
  <c r="O23" i="1" s="1"/>
  <c r="K22" i="1"/>
  <c r="L30" i="1"/>
  <c r="O30" i="1" s="1"/>
  <c r="K31" i="1"/>
  <c r="L31" i="1" s="1"/>
  <c r="O31" i="1" s="1"/>
  <c r="K29" i="1"/>
  <c r="K28" i="1"/>
  <c r="L28" i="1" s="1"/>
  <c r="M28" i="1" s="1"/>
  <c r="L27" i="1"/>
  <c r="O27" i="1" s="1"/>
  <c r="L26" i="1"/>
  <c r="O26" i="1" s="1"/>
  <c r="L25" i="1"/>
  <c r="O25" i="1" s="1"/>
  <c r="L24" i="1"/>
  <c r="M24" i="1" s="1"/>
  <c r="K21" i="1"/>
  <c r="L21" i="1" s="1"/>
  <c r="M21" i="1" s="1"/>
  <c r="K20" i="1"/>
  <c r="R19" i="1"/>
  <c r="K18" i="1"/>
  <c r="K17" i="1"/>
  <c r="R16" i="1"/>
  <c r="K14" i="1"/>
  <c r="L14" i="1" s="1"/>
  <c r="O14" i="1" s="1"/>
  <c r="M16" i="10"/>
  <c r="Q16" i="10"/>
  <c r="O16" i="10"/>
  <c r="R16" i="10"/>
  <c r="O15" i="10"/>
  <c r="M15" i="10"/>
  <c r="Q15" i="10"/>
  <c r="R15" i="10"/>
  <c r="L14" i="10"/>
  <c r="R14" i="10" s="1"/>
  <c r="L13" i="1"/>
  <c r="O13" i="1" s="1"/>
  <c r="G12" i="1"/>
  <c r="F12" i="1"/>
  <c r="H12" i="1" s="1"/>
  <c r="H11" i="1"/>
  <c r="G11" i="1"/>
  <c r="G10" i="1"/>
  <c r="F10" i="1"/>
  <c r="H10" i="1" s="1"/>
  <c r="R31" i="1" l="1"/>
  <c r="L34" i="1"/>
  <c r="O34" i="1" s="1"/>
  <c r="L32" i="1"/>
  <c r="O32" i="1" s="1"/>
  <c r="R23" i="1"/>
  <c r="L22" i="1"/>
  <c r="O22" i="1" s="1"/>
  <c r="R30" i="1"/>
  <c r="L29" i="1"/>
  <c r="O29" i="1" s="1"/>
  <c r="R28" i="1"/>
  <c r="R27" i="1"/>
  <c r="R26" i="1"/>
  <c r="R25" i="1"/>
  <c r="R24" i="1"/>
  <c r="R21" i="1"/>
  <c r="L20" i="1"/>
  <c r="M20" i="1" s="1"/>
  <c r="L18" i="1"/>
  <c r="L17" i="1"/>
  <c r="R14" i="1"/>
  <c r="O14" i="10"/>
  <c r="M14" i="10"/>
  <c r="Q14" i="10"/>
  <c r="R13" i="1"/>
  <c r="K12" i="1"/>
  <c r="K11" i="1"/>
  <c r="K10" i="1"/>
  <c r="L10" i="1" s="1"/>
  <c r="M10" i="1" s="1"/>
  <c r="R34" i="1" l="1"/>
  <c r="R32" i="1"/>
  <c r="R22" i="1"/>
  <c r="R29" i="1"/>
  <c r="R20" i="1"/>
  <c r="O18" i="1"/>
  <c r="R18" i="1"/>
  <c r="O17" i="1"/>
  <c r="R17" i="1"/>
  <c r="L12" i="1"/>
  <c r="O12" i="1" s="1"/>
  <c r="L11" i="1"/>
  <c r="O11" i="1" s="1"/>
  <c r="R10" i="1"/>
  <c r="R12" i="1" l="1"/>
  <c r="R11" i="1"/>
  <c r="F8" i="1"/>
  <c r="H8" i="1" s="1"/>
  <c r="G8" i="1"/>
  <c r="E5" i="2"/>
  <c r="H5" i="2" s="1"/>
  <c r="G9" i="1"/>
  <c r="F9" i="1"/>
  <c r="H9" i="1" s="1"/>
  <c r="E78" i="2"/>
  <c r="K8" i="1" l="1"/>
  <c r="L8" i="1" s="1"/>
  <c r="I5" i="2"/>
  <c r="L5" i="2" s="1"/>
  <c r="K9" i="1"/>
  <c r="H78" i="2"/>
  <c r="L9" i="1" l="1"/>
  <c r="R9" i="1" s="1"/>
  <c r="M8" i="1"/>
  <c r="R8" i="1"/>
  <c r="Q5" i="2"/>
  <c r="I78" i="2"/>
  <c r="P78" i="2" s="1"/>
  <c r="O9" i="1" l="1"/>
  <c r="Q78" i="2"/>
  <c r="E76" i="2" l="1"/>
  <c r="H76" i="2" s="1"/>
  <c r="I76" i="2" s="1"/>
  <c r="P76" i="2" l="1"/>
  <c r="Q76" i="2"/>
  <c r="E68" i="2"/>
  <c r="H68" i="2" s="1"/>
  <c r="E70" i="2"/>
  <c r="I68" i="2" l="1"/>
  <c r="N68" i="2" s="1"/>
  <c r="H70" i="2"/>
  <c r="I70" i="2" s="1"/>
  <c r="L70" i="2" s="1"/>
  <c r="E69" i="2"/>
  <c r="H69" i="2" s="1"/>
  <c r="E64" i="2"/>
  <c r="H64" i="2" s="1"/>
  <c r="E61" i="2"/>
  <c r="E59" i="2"/>
  <c r="H59" i="2" s="1"/>
  <c r="I59" i="2" s="1"/>
  <c r="L59" i="2" s="1"/>
  <c r="E60" i="2"/>
  <c r="H60" i="2" s="1"/>
  <c r="E58" i="2"/>
  <c r="H58" i="2" s="1"/>
  <c r="E56" i="2"/>
  <c r="E55" i="2"/>
  <c r="H55" i="2" s="1"/>
  <c r="E54" i="2"/>
  <c r="H54" i="2" s="1"/>
  <c r="E53" i="2"/>
  <c r="H53" i="2" s="1"/>
  <c r="E57" i="2"/>
  <c r="H57" i="2" s="1"/>
  <c r="I57" i="2" s="1"/>
  <c r="J57" i="2" s="1"/>
  <c r="H61" i="2" l="1"/>
  <c r="I61" i="2" s="1"/>
  <c r="K61" i="2" s="1"/>
  <c r="Q68" i="2"/>
  <c r="I53" i="2"/>
  <c r="M53" i="2" s="1"/>
  <c r="Q70" i="2"/>
  <c r="I69" i="2"/>
  <c r="M69" i="2" s="1"/>
  <c r="I64" i="2"/>
  <c r="L64" i="2" s="1"/>
  <c r="Q59" i="2"/>
  <c r="I60" i="2"/>
  <c r="L60" i="2" s="1"/>
  <c r="I58" i="2"/>
  <c r="J58" i="2" s="1"/>
  <c r="H56" i="2"/>
  <c r="I56" i="2" s="1"/>
  <c r="L56" i="2" s="1"/>
  <c r="I55" i="2"/>
  <c r="L55" i="2" s="1"/>
  <c r="I54" i="2"/>
  <c r="M54" i="2" s="1"/>
  <c r="Q57" i="2"/>
  <c r="E50" i="2"/>
  <c r="H50" i="2" s="1"/>
  <c r="E52" i="2"/>
  <c r="H52" i="2" s="1"/>
  <c r="E51" i="2"/>
  <c r="E48" i="2"/>
  <c r="H48" i="2" s="1"/>
  <c r="I48" i="2" s="1"/>
  <c r="M48" i="2" s="1"/>
  <c r="Q61" i="2" l="1"/>
  <c r="Q60" i="2"/>
  <c r="Q54" i="2"/>
  <c r="Q53" i="2"/>
  <c r="Q69" i="2"/>
  <c r="Q64" i="2"/>
  <c r="Q58" i="2"/>
  <c r="Q56" i="2"/>
  <c r="Q55" i="2"/>
  <c r="I50" i="2"/>
  <c r="M50" i="2" s="1"/>
  <c r="I52" i="2"/>
  <c r="K52" i="2" s="1"/>
  <c r="H51" i="2"/>
  <c r="Q48" i="2"/>
  <c r="E49" i="2"/>
  <c r="H49" i="2" s="1"/>
  <c r="E45" i="2"/>
  <c r="H45" i="2" s="1"/>
  <c r="E46" i="2"/>
  <c r="E47" i="2"/>
  <c r="H47" i="2" s="1"/>
  <c r="I51" i="2" l="1"/>
  <c r="J51" i="2" s="1"/>
  <c r="I49" i="2"/>
  <c r="L49" i="2" s="1"/>
  <c r="I45" i="2"/>
  <c r="L45" i="2" s="1"/>
  <c r="Q50" i="2"/>
  <c r="Q52" i="2"/>
  <c r="H46" i="2"/>
  <c r="I47" i="2"/>
  <c r="K47" i="2" s="1"/>
  <c r="E43" i="2"/>
  <c r="H43" i="2" s="1"/>
  <c r="E42" i="2"/>
  <c r="H42" i="2" s="1"/>
  <c r="E40" i="2"/>
  <c r="E39" i="2"/>
  <c r="E41" i="2"/>
  <c r="H41" i="2" s="1"/>
  <c r="E32" i="2"/>
  <c r="H32" i="2" s="1"/>
  <c r="E33" i="2"/>
  <c r="E29" i="2"/>
  <c r="H29" i="2" s="1"/>
  <c r="E28" i="2"/>
  <c r="H28" i="2" s="1"/>
  <c r="Q51" i="2" l="1"/>
  <c r="Q49" i="2"/>
  <c r="Q45" i="2"/>
  <c r="Q47" i="2"/>
  <c r="I41" i="2"/>
  <c r="K41" i="2" s="1"/>
  <c r="I29" i="2"/>
  <c r="N29" i="2" s="1"/>
  <c r="I43" i="2"/>
  <c r="N43" i="2" s="1"/>
  <c r="I46" i="2"/>
  <c r="K46" i="2" s="1"/>
  <c r="I42" i="2"/>
  <c r="N42" i="2" s="1"/>
  <c r="H40" i="2"/>
  <c r="H39" i="2"/>
  <c r="I32" i="2"/>
  <c r="L32" i="2" s="1"/>
  <c r="H33" i="2"/>
  <c r="I28" i="2"/>
  <c r="L28" i="2" s="1"/>
  <c r="E31" i="2"/>
  <c r="H31" i="2" s="1"/>
  <c r="E30" i="2"/>
  <c r="Q41" i="2" l="1"/>
  <c r="Q46" i="2"/>
  <c r="Q20" i="2"/>
  <c r="I40" i="2"/>
  <c r="L40" i="2" s="1"/>
  <c r="Q43" i="2"/>
  <c r="I39" i="2"/>
  <c r="M39" i="2" s="1"/>
  <c r="I33" i="2"/>
  <c r="K33" i="2" s="1"/>
  <c r="Q28" i="2"/>
  <c r="I31" i="2"/>
  <c r="K31" i="2" s="1"/>
  <c r="H30" i="2"/>
  <c r="E25" i="2"/>
  <c r="H25" i="2" s="1"/>
  <c r="I25" i="2" s="1"/>
  <c r="M25" i="2" s="1"/>
  <c r="Q39" i="2" l="1"/>
  <c r="Q22" i="2"/>
  <c r="Q31" i="2"/>
  <c r="I30" i="2"/>
  <c r="J30" i="2" s="1"/>
  <c r="Q25" i="2"/>
  <c r="G10" i="3"/>
  <c r="E10" i="3"/>
  <c r="C10" i="3"/>
  <c r="G9" i="3"/>
  <c r="E9" i="3"/>
  <c r="C9" i="3"/>
  <c r="H9" i="3" l="1"/>
  <c r="H10" i="3"/>
  <c r="J10" i="3" s="1"/>
  <c r="K10" i="3" s="1"/>
  <c r="G13" i="10" l="1"/>
  <c r="F13" i="10"/>
  <c r="H13" i="10" s="1"/>
  <c r="K13" i="10" s="1"/>
  <c r="G11" i="10"/>
  <c r="F11" i="10"/>
  <c r="H11" i="10" s="1"/>
  <c r="G10" i="10"/>
  <c r="F10" i="10"/>
  <c r="H10" i="10" s="1"/>
  <c r="G9" i="10"/>
  <c r="F9" i="10"/>
  <c r="H9" i="10" s="1"/>
  <c r="G8" i="10"/>
  <c r="F8" i="10"/>
  <c r="H8" i="10" s="1"/>
  <c r="G7" i="10"/>
  <c r="F7" i="10"/>
  <c r="H7" i="10" s="1"/>
  <c r="G6" i="10"/>
  <c r="F6" i="10"/>
  <c r="H6" i="10" s="1"/>
  <c r="G5" i="10"/>
  <c r="F5" i="10"/>
  <c r="H5" i="10" s="1"/>
  <c r="K5" i="10" s="1"/>
  <c r="G4" i="10"/>
  <c r="F4" i="10"/>
  <c r="H4" i="10" s="1"/>
  <c r="K4" i="10" s="1"/>
  <c r="G3" i="10"/>
  <c r="F3" i="10"/>
  <c r="H3" i="10" s="1"/>
  <c r="K11" i="10" l="1"/>
  <c r="L13" i="10"/>
  <c r="K9" i="10"/>
  <c r="K3" i="10"/>
  <c r="K10" i="10"/>
  <c r="L10" i="10" s="1"/>
  <c r="O10" i="10" s="1"/>
  <c r="K7" i="10"/>
  <c r="L7" i="10" s="1"/>
  <c r="O7" i="10" s="1"/>
  <c r="K8" i="10"/>
  <c r="K6" i="10"/>
  <c r="L6" i="10" s="1"/>
  <c r="O6" i="10" s="1"/>
  <c r="L4" i="10"/>
  <c r="O4" i="10" s="1"/>
  <c r="L5" i="10"/>
  <c r="M5" i="10" s="1"/>
  <c r="Q13" i="10" l="1"/>
  <c r="O13" i="10"/>
  <c r="M13" i="10"/>
  <c r="R13" i="10"/>
  <c r="L11" i="10"/>
  <c r="R5" i="10"/>
  <c r="R10" i="10"/>
  <c r="R4" i="10"/>
  <c r="L8" i="10"/>
  <c r="O8" i="10" s="1"/>
  <c r="R6" i="10"/>
  <c r="L3" i="10"/>
  <c r="O3" i="10" s="1"/>
  <c r="R7" i="10"/>
  <c r="L9" i="10"/>
  <c r="O9" i="10" s="1"/>
  <c r="R9" i="10" l="1"/>
  <c r="R3" i="10"/>
  <c r="Q11" i="10"/>
  <c r="M11" i="10"/>
  <c r="R11" i="10"/>
  <c r="R8" i="10"/>
  <c r="E27" i="2"/>
  <c r="E23" i="2"/>
  <c r="H23" i="2" s="1"/>
  <c r="I23" i="2" s="1"/>
  <c r="J23" i="2" s="1"/>
  <c r="E26" i="2"/>
  <c r="E21" i="2"/>
  <c r="E19" i="2"/>
  <c r="H19" i="2" s="1"/>
  <c r="E18" i="2"/>
  <c r="H18" i="2" s="1"/>
  <c r="E8" i="2"/>
  <c r="E13" i="2"/>
  <c r="H13" i="2" s="1"/>
  <c r="E12" i="2"/>
  <c r="H12" i="2" s="1"/>
  <c r="E14" i="2"/>
  <c r="H14" i="2" s="1"/>
  <c r="E17" i="2"/>
  <c r="E7" i="2"/>
  <c r="H7" i="2" s="1"/>
  <c r="J9" i="3"/>
  <c r="K9" i="3" s="1"/>
  <c r="G8" i="3"/>
  <c r="G7" i="3"/>
  <c r="E8" i="3"/>
  <c r="E7" i="3"/>
  <c r="C8" i="3"/>
  <c r="C7" i="3"/>
  <c r="I19" i="2" l="1"/>
  <c r="M19" i="2" s="1"/>
  <c r="H7" i="3"/>
  <c r="J7" i="3" s="1"/>
  <c r="K7" i="3" s="1"/>
  <c r="H8" i="3"/>
  <c r="J8" i="3" s="1"/>
  <c r="K8" i="3" s="1"/>
  <c r="H27" i="2"/>
  <c r="I18" i="2"/>
  <c r="L18" i="2" s="1"/>
  <c r="H21" i="2"/>
  <c r="H26" i="2"/>
  <c r="H17" i="2"/>
  <c r="I13" i="2"/>
  <c r="N13" i="2" s="1"/>
  <c r="I12" i="2"/>
  <c r="M12" i="2" s="1"/>
  <c r="I14" i="2"/>
  <c r="L14" i="2" s="1"/>
  <c r="I7" i="2"/>
  <c r="M7" i="2" s="1"/>
  <c r="Q19" i="2" l="1"/>
  <c r="Q42" i="2"/>
  <c r="Q33" i="2"/>
  <c r="Q30" i="2"/>
  <c r="I26" i="2"/>
  <c r="L26" i="2" s="1"/>
  <c r="Q13" i="2"/>
  <c r="Q7" i="2"/>
  <c r="I27" i="2"/>
  <c r="L27" i="2" s="1"/>
  <c r="Q23" i="2"/>
  <c r="I21" i="2"/>
  <c r="L21" i="2" s="1"/>
  <c r="I17" i="2"/>
  <c r="L17" i="2" s="1"/>
  <c r="Q12" i="2"/>
  <c r="Q14" i="2"/>
  <c r="E6" i="2"/>
  <c r="H6" i="2" s="1"/>
  <c r="Q27" i="2" l="1"/>
  <c r="Q26" i="2"/>
  <c r="Q18" i="2"/>
  <c r="Q21" i="2"/>
  <c r="I6" i="2"/>
  <c r="N6" i="2" s="1"/>
  <c r="E11" i="9"/>
  <c r="G11" i="9" s="1"/>
  <c r="G23" i="9"/>
  <c r="G24" i="9"/>
  <c r="G25" i="9"/>
  <c r="G26" i="9"/>
  <c r="D23" i="9"/>
  <c r="E22" i="9"/>
  <c r="G22" i="9" s="1"/>
  <c r="E5" i="9"/>
  <c r="G5" i="9" s="1"/>
  <c r="E6" i="9"/>
  <c r="G6" i="9" s="1"/>
  <c r="E7" i="9"/>
  <c r="G7" i="9" s="1"/>
  <c r="E8" i="9"/>
  <c r="G8" i="9" s="1"/>
  <c r="E9" i="9"/>
  <c r="G9" i="9" s="1"/>
  <c r="E10" i="9"/>
  <c r="G10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4" i="9"/>
  <c r="G4" i="9" s="1"/>
  <c r="Q40" i="2" l="1"/>
  <c r="Q6" i="2"/>
  <c r="G27" i="9"/>
  <c r="E27" i="9"/>
  <c r="H7" i="9"/>
  <c r="G19" i="9"/>
  <c r="E19" i="9"/>
  <c r="E9" i="2"/>
  <c r="H9" i="2" s="1"/>
  <c r="G28" i="9" l="1"/>
  <c r="I9" i="2"/>
  <c r="K9" i="2" s="1"/>
  <c r="G20" i="9"/>
  <c r="Q9" i="2" l="1"/>
  <c r="G6" i="3" l="1"/>
  <c r="G5" i="3"/>
  <c r="E6" i="3"/>
  <c r="E5" i="3"/>
  <c r="C6" i="3"/>
  <c r="C5" i="3"/>
  <c r="H5" i="3" l="1"/>
  <c r="J5" i="3" s="1"/>
  <c r="K5" i="3" s="1"/>
  <c r="H6" i="3"/>
  <c r="J6" i="3" s="1"/>
  <c r="K6" i="3" s="1"/>
  <c r="E10" i="2"/>
  <c r="H10" i="2" s="1"/>
  <c r="E11" i="2"/>
  <c r="I10" i="2" l="1"/>
  <c r="J10" i="2" s="1"/>
  <c r="H8" i="2"/>
  <c r="H11" i="2"/>
  <c r="Q29" i="2" l="1"/>
  <c r="Q32" i="2"/>
  <c r="Q10" i="2"/>
  <c r="I8" i="2"/>
  <c r="L8" i="2" s="1"/>
  <c r="I11" i="2"/>
  <c r="K11" i="2" s="1"/>
  <c r="Q17" i="2" l="1"/>
  <c r="Q8" i="2"/>
  <c r="Q11" i="2"/>
  <c r="D3" i="4"/>
  <c r="E3" i="4" s="1"/>
  <c r="D2" i="4"/>
  <c r="E2" i="4" s="1"/>
  <c r="G3" i="3"/>
  <c r="G2" i="3"/>
  <c r="E3" i="3"/>
  <c r="E2" i="3"/>
  <c r="C3" i="3"/>
  <c r="C2" i="3"/>
  <c r="D4" i="4"/>
  <c r="E4" i="4" s="1"/>
  <c r="G4" i="3"/>
  <c r="C4" i="3"/>
  <c r="E4" i="3"/>
  <c r="H3" i="3" l="1"/>
  <c r="J3" i="3" s="1"/>
  <c r="K3" i="3" s="1"/>
  <c r="H2" i="3"/>
  <c r="J2" i="3" s="1"/>
  <c r="K2" i="3" s="1"/>
  <c r="H4" i="3"/>
  <c r="J4" i="3" s="1"/>
  <c r="K4" i="3" s="1"/>
  <c r="N1" i="3" l="1"/>
  <c r="K1363" i="1"/>
  <c r="L1363" i="1" s="1"/>
  <c r="Q1363" i="1" l="1"/>
  <c r="O1363" i="1"/>
</calcChain>
</file>

<file path=xl/comments1.xml><?xml version="1.0" encoding="utf-8"?>
<comments xmlns="http://schemas.openxmlformats.org/spreadsheetml/2006/main">
  <authors>
    <author>USER</author>
    <author>Admin</author>
  </authors>
  <commentList>
    <comment ref="A12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22 &amp; 23 BOMBIL COMBINED 
</t>
        </r>
      </text>
    </comment>
    <comment ref="A12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22 &amp; 23 BOMBIL COMBINED </t>
        </r>
      </text>
    </comment>
    <comment ref="D1437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<sst xmlns="http://schemas.openxmlformats.org/spreadsheetml/2006/main" count="2909" uniqueCount="252">
  <si>
    <t xml:space="preserve">Product Name </t>
  </si>
  <si>
    <t xml:space="preserve">Wastage </t>
  </si>
  <si>
    <t>Buy Price</t>
  </si>
  <si>
    <t>Margin</t>
  </si>
  <si>
    <t xml:space="preserve">price per gram </t>
  </si>
  <si>
    <t>price per gram after wastage</t>
  </si>
  <si>
    <t xml:space="preserve">Actual Sale-able weight </t>
  </si>
  <si>
    <t xml:space="preserve">Margin Price per gram </t>
  </si>
  <si>
    <t>250 gm</t>
  </si>
  <si>
    <t>500 gm</t>
  </si>
  <si>
    <t xml:space="preserve">750 gm </t>
  </si>
  <si>
    <t>1000 gm</t>
  </si>
  <si>
    <t xml:space="preserve">Sale Price per gram </t>
  </si>
  <si>
    <t xml:space="preserve">Price on Net weight </t>
  </si>
  <si>
    <t xml:space="preserve">Price on Gross Weight </t>
  </si>
  <si>
    <t xml:space="preserve">DO NOT EDIT THIS COLUMNS </t>
  </si>
  <si>
    <t>PRICE</t>
  </si>
  <si>
    <t>300 gm</t>
  </si>
  <si>
    <t>1250 gm</t>
  </si>
  <si>
    <t>BIG VP BAGS (QTY)</t>
  </si>
  <si>
    <t>SMALL VP BAGS (QTY)</t>
  </si>
  <si>
    <t>PICKUP BAGS (QTY)</t>
  </si>
  <si>
    <t>COST PER BAG (10.62)</t>
  </si>
  <si>
    <t>COST PER BAG (9.44)</t>
  </si>
  <si>
    <t>COST PER KG (110)</t>
  </si>
  <si>
    <t>TOTAL PACKAGING COST</t>
  </si>
  <si>
    <t>TOTAL INWARD RAW MATERIAL (KG)</t>
  </si>
  <si>
    <t>MONTH</t>
  </si>
  <si>
    <t>PACKAGING COST PER KG</t>
  </si>
  <si>
    <t>TOTAL DELIVERY COST</t>
  </si>
  <si>
    <t>DELIVERY COST PER KG</t>
  </si>
  <si>
    <t>PACKAGING COST PER GRAM</t>
  </si>
  <si>
    <t>DELIVERY COST PER GRAM</t>
  </si>
  <si>
    <t>AVERAGE PRICE PER GRAM</t>
  </si>
  <si>
    <t>Packaging cost price per gram</t>
  </si>
  <si>
    <t>Delivery cost price per gram</t>
  </si>
  <si>
    <t xml:space="preserve">SAUNDALE </t>
  </si>
  <si>
    <t>Date</t>
  </si>
  <si>
    <t>RAWAS BONELESS (SAKLA)</t>
  </si>
  <si>
    <t>FRESH WATER PRAWNS (S)</t>
  </si>
  <si>
    <t>CLAMS</t>
  </si>
  <si>
    <t>FRESH KARDI</t>
  </si>
  <si>
    <t>silver pomfret small</t>
  </si>
  <si>
    <t>red prawns small</t>
  </si>
  <si>
    <t xml:space="preserve">bombil fry cut </t>
  </si>
  <si>
    <t>chicken cc</t>
  </si>
  <si>
    <t>bombil curry cut</t>
  </si>
  <si>
    <t xml:space="preserve">white prawns medium </t>
  </si>
  <si>
    <t>surmai slices small mini</t>
  </si>
  <si>
    <t>fresh water prawns small</t>
  </si>
  <si>
    <t xml:space="preserve">fresh water prawns medium </t>
  </si>
  <si>
    <t xml:space="preserve">surmai slices medium </t>
  </si>
  <si>
    <t>bangda cc</t>
  </si>
  <si>
    <t>silver pomfret large</t>
  </si>
  <si>
    <t>silver pomfret medium sliced</t>
  </si>
  <si>
    <t xml:space="preserve">silver pomfret medium whole </t>
  </si>
  <si>
    <t>no of orders</t>
  </si>
  <si>
    <t>Price per order</t>
  </si>
  <si>
    <t>Sale value</t>
  </si>
  <si>
    <t>CM</t>
  </si>
  <si>
    <t>GOAT CURRY CUT</t>
  </si>
  <si>
    <t>GOAT MUTTON KEEMA</t>
  </si>
  <si>
    <t>300/350 gm</t>
  </si>
  <si>
    <t xml:space="preserve">CHICKEN CURRY CUT </t>
  </si>
  <si>
    <t xml:space="preserve">CHICKEN BREAST BONELESS </t>
  </si>
  <si>
    <t xml:space="preserve">CHICKEN LIVER </t>
  </si>
  <si>
    <t xml:space="preserve">CHICKEN LOLLIPOP </t>
  </si>
  <si>
    <t xml:space="preserve">CHICKEN KHEEMA </t>
  </si>
  <si>
    <t xml:space="preserve">CHICKEN DRUMSTICKS </t>
  </si>
  <si>
    <t xml:space="preserve">CHICKEN THIGH BONELESS </t>
  </si>
  <si>
    <t xml:space="preserve">CHICKEN WHOLE LEG </t>
  </si>
  <si>
    <t>wastage %</t>
  </si>
  <si>
    <t xml:space="preserve"> </t>
  </si>
  <si>
    <t>GOAT BONELESS</t>
  </si>
  <si>
    <t xml:space="preserve">GOAT LIVER </t>
  </si>
  <si>
    <t>GOAT SHOULDER CUT</t>
  </si>
  <si>
    <t>CHICKEN CURRY CUT</t>
  </si>
  <si>
    <t>CHICKEN GIZZARD</t>
  </si>
  <si>
    <t>CHICKEN WHOLE BIRD</t>
  </si>
  <si>
    <t>CHICKEN BREAST BONELESS (500 GM)</t>
  </si>
  <si>
    <t>MARINATED CHICKEN TIKKA (250 GM)</t>
  </si>
  <si>
    <t>CHICKEN BREAST BONELESS (450 GM)</t>
  </si>
  <si>
    <t>CHICKEN DRUMSTICK</t>
  </si>
  <si>
    <t>CHICKEN LOLLIPOP</t>
  </si>
  <si>
    <t>CRABS (F)</t>
  </si>
  <si>
    <t>SILVER POMFRET SMALL</t>
  </si>
  <si>
    <t>SILVER POMFRET MEDIUM</t>
  </si>
  <si>
    <t xml:space="preserve">SILVER POMFRET LARGE </t>
  </si>
  <si>
    <t>JITADA LARGE</t>
  </si>
  <si>
    <t xml:space="preserve">JITADA MEDIUM </t>
  </si>
  <si>
    <t>RED PRAWNS (S)</t>
  </si>
  <si>
    <t>RED PRAWNS (M)</t>
  </si>
  <si>
    <t>FRESH WATER PRAWNS (M)</t>
  </si>
  <si>
    <t>WHITE PRAWNS (BIG TAIL ON)</t>
  </si>
  <si>
    <t xml:space="preserve">BOMBIL CURRY CUT </t>
  </si>
  <si>
    <t>BOMBIL FRY CUT</t>
  </si>
  <si>
    <t>SILVER POMFRET XL</t>
  </si>
  <si>
    <t>LEPA</t>
  </si>
  <si>
    <t>HALWA MEDIUM</t>
  </si>
  <si>
    <t>JITADA SMALL</t>
  </si>
  <si>
    <t>CRABS (M)</t>
  </si>
  <si>
    <t>ROHU</t>
  </si>
  <si>
    <t>JITADA BONELESS CUBES (250 GM)</t>
  </si>
  <si>
    <t>MODKA</t>
  </si>
  <si>
    <t>INDIAN BASA BONELESS CUBES (250 GM)</t>
  </si>
  <si>
    <t>INDIAN BASA BONELESS FILLET (250 GM)</t>
  </si>
  <si>
    <t>BANGDA CURRY CUT</t>
  </si>
  <si>
    <t xml:space="preserve">FRESH WATER PRAWNS (M) </t>
  </si>
  <si>
    <t xml:space="preserve">FRESH WATER PRAWNS (S) </t>
  </si>
  <si>
    <t>HALWA LARGE</t>
  </si>
  <si>
    <t>MANDELI</t>
  </si>
  <si>
    <t>SURMAI SLICES SMALL (250 GM)</t>
  </si>
  <si>
    <t>SURMAI SLICES SMALL (500 GM)</t>
  </si>
  <si>
    <t>SURMAI BONELESS CUBES (250 GM)</t>
  </si>
  <si>
    <t>GHOL BONELESS CUBES (250 GM)</t>
  </si>
  <si>
    <t>TUNA BONELESS CUBES (250 GM)</t>
  </si>
  <si>
    <t>FRESH KARANDI</t>
  </si>
  <si>
    <t>10  &amp; 11 AUG</t>
  </si>
  <si>
    <t>KARLI SLICES (250 GM)</t>
  </si>
  <si>
    <t>BABY RAWAS MEDIUM</t>
  </si>
  <si>
    <t>SHARK CUBES (250 GM)</t>
  </si>
  <si>
    <t xml:space="preserve">BABY RAWAS MEDIUM </t>
  </si>
  <si>
    <t>HALWA SMALL</t>
  </si>
  <si>
    <t xml:space="preserve">KHAPRI POMFRET LARGE </t>
  </si>
  <si>
    <t>RED SNAPPER CUBES (250 GM)</t>
  </si>
  <si>
    <t>RANI FISH (PINK PERCH)</t>
  </si>
  <si>
    <t>BLACK TIGER (BIG TAIL ON)</t>
  </si>
  <si>
    <t xml:space="preserve">BABY RAWAS SMALL </t>
  </si>
  <si>
    <t>SAUNDALE</t>
  </si>
  <si>
    <t xml:space="preserve">LADY FISH </t>
  </si>
  <si>
    <t>SQUIDS</t>
  </si>
  <si>
    <t>KHAPRI POMFRET MEDIUM</t>
  </si>
  <si>
    <t xml:space="preserve">KHAPRI POMFRET XL </t>
  </si>
  <si>
    <t xml:space="preserve">HILSA </t>
  </si>
  <si>
    <t>24-25 AUG</t>
  </si>
  <si>
    <t xml:space="preserve">BABY SURMAI LARGE </t>
  </si>
  <si>
    <t>BABY RAWAS LARGE</t>
  </si>
  <si>
    <t xml:space="preserve">BANGDA CURRY CUT </t>
  </si>
  <si>
    <t>RAWAS BONELESS CUBES (SAKLA 250 GM)</t>
  </si>
  <si>
    <t>SILVER POMFRET LARGE</t>
  </si>
  <si>
    <t>SHARK CUBES (500 GM)</t>
  </si>
  <si>
    <t>BABY SURMAI LARGE</t>
  </si>
  <si>
    <t>KUPA BONELESS CUBES (250 GM)</t>
  </si>
  <si>
    <t>RAWAS BONELESS CUBES (SAKLA 500 GM)</t>
  </si>
  <si>
    <t>CRABS (B)</t>
  </si>
  <si>
    <t>RED PRAWNS (TINY)</t>
  </si>
  <si>
    <t>FRESH WATER PRAWNS (BIG)</t>
  </si>
  <si>
    <t>KHAT KHUT (JITADA) 500 GM</t>
  </si>
  <si>
    <t>KHAT KHUT (JITADA) 250 GM</t>
  </si>
  <si>
    <t>KHAPRI POMFRET XL</t>
  </si>
  <si>
    <t>KHAPRI POMFRET XXL</t>
  </si>
  <si>
    <t>YELLOW VAAM</t>
  </si>
  <si>
    <t>BANGDA WHOLE</t>
  </si>
  <si>
    <t xml:space="preserve">BANGDA WHOLE </t>
  </si>
  <si>
    <t xml:space="preserve">BOMBIL FRY CUT </t>
  </si>
  <si>
    <t>KUPA BONELESS CUBES (250 GM) TUKDI</t>
  </si>
  <si>
    <t>KUPA BONELESS CUBES (500 GM) TUKDI</t>
  </si>
  <si>
    <t>WHITE PRAWNES (JUMBO)</t>
  </si>
  <si>
    <t xml:space="preserve">FRESH KARANDI </t>
  </si>
  <si>
    <t>LADY FISH</t>
  </si>
  <si>
    <t>SURMAI SLICES MEDIUM (500 GM)</t>
  </si>
  <si>
    <t>SILVER POMFRET XXL</t>
  </si>
  <si>
    <t>TARLI</t>
  </si>
  <si>
    <t>CRABS (S)</t>
  </si>
  <si>
    <t>BABY SURMAI MEDIUM</t>
  </si>
  <si>
    <t>BABY SURMAI XXl</t>
  </si>
  <si>
    <t>INDIAN BASA BONELESS CUBES  (250 GM)</t>
  </si>
  <si>
    <t>BABY RAWAS XL</t>
  </si>
  <si>
    <t>GOAT CURRY CUT (500)</t>
  </si>
  <si>
    <t>GHOL CURRY CUT CUBES (250 GM)</t>
  </si>
  <si>
    <t>SURMAI SLICES MEDIUM (250 GM)</t>
  </si>
  <si>
    <t>BABY SURMAI SMALL</t>
  </si>
  <si>
    <t>SEAWATER TIGER JUMBO (BIG TAIL ON)</t>
  </si>
  <si>
    <t>SURMAI SLICES BIG (300 GM)</t>
  </si>
  <si>
    <t xml:space="preserve">SEAWATER TIGER JUMBO (BIG TAIL ON) </t>
  </si>
  <si>
    <t>HALWA XL</t>
  </si>
  <si>
    <t>DRY JAVALA</t>
  </si>
  <si>
    <t>200 gm</t>
  </si>
  <si>
    <t>BABY SURMAI XL</t>
  </si>
  <si>
    <t xml:space="preserve">BABY SURMAI SLICES </t>
  </si>
  <si>
    <t>DRY BOMBIL</t>
  </si>
  <si>
    <t xml:space="preserve">CRABS (B) </t>
  </si>
  <si>
    <t>DRY KARANDI</t>
  </si>
  <si>
    <t xml:space="preserve">HALWA MEDIUM </t>
  </si>
  <si>
    <t>CRABS (JUMBO)</t>
  </si>
  <si>
    <t>WHITE PRAWNS (TINY)</t>
  </si>
  <si>
    <t>GHOL BONELESS CUBES (500 GM)</t>
  </si>
  <si>
    <t xml:space="preserve">ROHU </t>
  </si>
  <si>
    <t>BABY RAWAS XXL</t>
  </si>
  <si>
    <t>RED PARAWNS (S)</t>
  </si>
  <si>
    <t>SURMAI SLICES  SMALL (500 GM)</t>
  </si>
  <si>
    <t>LOBSTER</t>
  </si>
  <si>
    <t>WHITE PRAWNS (M)</t>
  </si>
  <si>
    <t>SILVER POMFRET XXXL</t>
  </si>
  <si>
    <t>SURMAI SLICES  MEDIUM (500 GM)</t>
  </si>
  <si>
    <t xml:space="preserve">GHOL BONELESS CUBES (250 GM) </t>
  </si>
  <si>
    <t>WHITE PRAWNS (S)</t>
  </si>
  <si>
    <t xml:space="preserve">WHITE PRAWNS (M) </t>
  </si>
  <si>
    <t>SODE</t>
  </si>
  <si>
    <t>INDIAN BASA BONELESS FILLET (500 GM)</t>
  </si>
  <si>
    <t>BABY RAWAS SMALL</t>
  </si>
  <si>
    <t>GABHOLI</t>
  </si>
  <si>
    <t>KUPA BONELESS CUBES (500 GM)</t>
  </si>
  <si>
    <t>05-02-2025/04-02-2025</t>
  </si>
  <si>
    <t>RAWAS SLICES MEDIUM (500 GM)</t>
  </si>
  <si>
    <t>RAWAS SLICES SMALL (250 GM)</t>
  </si>
  <si>
    <t>BOMBIL CURRY CUT</t>
  </si>
  <si>
    <t>GHOL BONELESS CUBES (250 GM) TUKDI</t>
  </si>
  <si>
    <t>SURMAI SLICES SMALL (250 GM )</t>
  </si>
  <si>
    <t>DRY JAVLA</t>
  </si>
  <si>
    <t xml:space="preserve">MANDELI </t>
  </si>
  <si>
    <t>GHOL BONELESS CUBES (500 GM) TUKDI</t>
  </si>
  <si>
    <t>HALWA XXL</t>
  </si>
  <si>
    <t>DRY KARDI</t>
  </si>
  <si>
    <t>BOMBIL</t>
  </si>
  <si>
    <t xml:space="preserve">FRESH WATER PRAWNS </t>
  </si>
  <si>
    <t>FRESH WATER PRAWN (M)</t>
  </si>
  <si>
    <t>FRESH WATER PRAWN (S)</t>
  </si>
  <si>
    <t xml:space="preserve">HALWA </t>
  </si>
  <si>
    <t>RAWAS SLICES MEDIUM (250 GM)</t>
  </si>
  <si>
    <t>YELLOW VAAM TUKADI</t>
  </si>
  <si>
    <t>dry bombil</t>
  </si>
  <si>
    <t>SCAMPI</t>
  </si>
  <si>
    <t>JITADA SLICES (250 GM)</t>
  </si>
  <si>
    <t>JITADA BONELESS CUBES (500 GM)</t>
  </si>
  <si>
    <t>FRESH WATER PRAWNS (MEDIUM)</t>
  </si>
  <si>
    <t>BABY RAWAS SMALL/MED/LARG</t>
  </si>
  <si>
    <t>BABY SURMAI L/M/XL</t>
  </si>
  <si>
    <t xml:space="preserve">SILVER POMFRET </t>
  </si>
  <si>
    <t>BABY RAWAS S/M/L/XL</t>
  </si>
  <si>
    <t>HALWA EXTRA SMALL</t>
  </si>
  <si>
    <t>SILVER POMFRET EXTRA SMALL</t>
  </si>
  <si>
    <t>BABY RAWAS EXTRA SMALL</t>
  </si>
  <si>
    <t>HALWA SLICES (JUMBO 250 GM)</t>
  </si>
  <si>
    <t>RED PRAWNS (S) KAPSI</t>
  </si>
  <si>
    <t>RED PRAWNS (M) KAPSI</t>
  </si>
  <si>
    <t>RED PRAWNS (S) CHAITI</t>
  </si>
  <si>
    <t>RED PRAWNS (S) POLAN</t>
  </si>
  <si>
    <t>RED PRAWNS (BIG)</t>
  </si>
  <si>
    <t>ROHU SMALL</t>
  </si>
  <si>
    <t xml:space="preserve">RED PRAWNS (S) </t>
  </si>
  <si>
    <t xml:space="preserve">RED PRAWNS (M) </t>
  </si>
  <si>
    <t>SILVER POMFRET LARGE whole</t>
  </si>
  <si>
    <t>SILVER POMFRET LARGE sliced</t>
  </si>
  <si>
    <t>SILVER POMFRET MEDIUM whole</t>
  </si>
  <si>
    <t>SILVER POMFRET MEDIUM sliced</t>
  </si>
  <si>
    <t>KHAPR POMFRET XL</t>
  </si>
  <si>
    <t>KHAPRI POMFRET SMALL</t>
  </si>
  <si>
    <t>GHOL CUBES (BONELESS) 250 GM</t>
  </si>
  <si>
    <t>GHOL CUBES (WITH SKIN AND BONE)</t>
  </si>
  <si>
    <t>S</t>
  </si>
  <si>
    <t>BOMBIL  FRY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</si>
</sst>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7" fontId="0" fillId="0" borderId="0" xfId="0" applyNumberFormat="1"/>
    <xf numFmtId="0" fontId="2" fillId="0" borderId="0" xfId="0" applyFont="1"/>
    <xf numFmtId="17" fontId="2" fillId="0" borderId="0" xfId="0" applyNumberFormat="1" applyFont="1"/>
    <xf numFmtId="2" fontId="2" fillId="0" borderId="0" xfId="0" applyNumberFormat="1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9" fontId="0" fillId="2" borderId="1" xfId="0" applyNumberFormat="1" applyFill="1" applyBorder="1"/>
    <xf numFmtId="2" fontId="0" fillId="2" borderId="1" xfId="0" applyNumberFormat="1" applyFill="1" applyBorder="1"/>
    <xf numFmtId="9" fontId="0" fillId="0" borderId="1" xfId="1" applyFont="1" applyFill="1" applyBorder="1"/>
    <xf numFmtId="9" fontId="0" fillId="0" borderId="1" xfId="0" applyNumberFormat="1" applyBorder="1"/>
    <xf numFmtId="2" fontId="0" fillId="0" borderId="1" xfId="0" applyNumberFormat="1" applyBorder="1"/>
    <xf numFmtId="16" fontId="0" fillId="0" borderId="1" xfId="0" applyNumberFormat="1" applyBorder="1"/>
    <xf numFmtId="16" fontId="0" fillId="2" borderId="1" xfId="0" applyNumberFormat="1" applyFill="1" applyBorder="1"/>
    <xf numFmtId="9" fontId="0" fillId="0" borderId="0" xfId="0" applyNumberFormat="1"/>
    <xf numFmtId="9" fontId="0" fillId="2" borderId="1" xfId="1" applyFont="1" applyFill="1" applyBorder="1"/>
    <xf numFmtId="9" fontId="4" fillId="3" borderId="0" xfId="0" applyNumberFormat="1" applyFont="1" applyFill="1"/>
    <xf numFmtId="9" fontId="3" fillId="3" borderId="0" xfId="0" applyNumberFormat="1" applyFont="1" applyFill="1" applyAlignment="1">
      <alignment wrapText="1"/>
    </xf>
    <xf numFmtId="16" fontId="0" fillId="0" borderId="0" xfId="0" applyNumberFormat="1"/>
    <xf numFmtId="9" fontId="0" fillId="0" borderId="0" xfId="1" applyFont="1"/>
    <xf numFmtId="0" fontId="0" fillId="4" borderId="1" xfId="0" applyFill="1" applyBorder="1"/>
    <xf numFmtId="0" fontId="0" fillId="4" borderId="0" xfId="0" applyFill="1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2" fontId="0" fillId="2" borderId="0" xfId="0" applyNumberFormat="1" applyFill="1"/>
    <xf numFmtId="14" fontId="0" fillId="0" borderId="1" xfId="0" applyNumberFormat="1" applyBorder="1"/>
    <xf numFmtId="0" fontId="0" fillId="3" borderId="0" xfId="0" applyFill="1"/>
    <xf numFmtId="14" fontId="0" fillId="0" borderId="0" xfId="0" applyNumberFormat="1"/>
    <xf numFmtId="0" fontId="0" fillId="2" borderId="3" xfId="0" applyFill="1" applyBorder="1"/>
    <xf numFmtId="0" fontId="0" fillId="0" borderId="3" xfId="0" applyBorder="1"/>
    <xf numFmtId="0" fontId="0" fillId="3" borderId="4" xfId="0" applyFill="1" applyBorder="1"/>
    <xf numFmtId="9" fontId="0" fillId="2" borderId="3" xfId="0" applyNumberFormat="1" applyFill="1" applyBorder="1"/>
    <xf numFmtId="9" fontId="0" fillId="2" borderId="3" xfId="1" applyFont="1" applyFill="1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2" fontId="0" fillId="2" borderId="5" xfId="0" applyNumberFormat="1" applyFill="1" applyBorder="1"/>
    <xf numFmtId="0" fontId="0" fillId="3" borderId="5" xfId="0" applyFill="1" applyBorder="1"/>
    <xf numFmtId="9" fontId="0" fillId="2" borderId="5" xfId="1" applyFont="1" applyFill="1" applyBorder="1"/>
    <xf numFmtId="16" fontId="0" fillId="0" borderId="5" xfId="0" applyNumberFormat="1" applyBorder="1"/>
    <xf numFmtId="16" fontId="0" fillId="0" borderId="6" xfId="0" applyNumberFormat="1" applyBorder="1"/>
    <xf numFmtId="0" fontId="0" fillId="0" borderId="6" xfId="0" applyBorder="1"/>
    <xf numFmtId="9" fontId="0" fillId="2" borderId="6" xfId="0" applyNumberFormat="1" applyFill="1" applyBorder="1"/>
    <xf numFmtId="0" fontId="0" fillId="2" borderId="6" xfId="0" applyFill="1" applyBorder="1"/>
    <xf numFmtId="2" fontId="0" fillId="2" borderId="6" xfId="0" applyNumberFormat="1" applyFill="1" applyBorder="1"/>
    <xf numFmtId="0" fontId="0" fillId="3" borderId="6" xfId="0" applyFill="1" applyBorder="1"/>
    <xf numFmtId="0" fontId="0" fillId="3" borderId="3" xfId="0" applyFill="1" applyBorder="1"/>
    <xf numFmtId="16" fontId="0" fillId="0" borderId="4" xfId="0" applyNumberFormat="1" applyBorder="1"/>
    <xf numFmtId="16" fontId="0" fillId="3" borderId="1" xfId="0" applyNumberFormat="1" applyFill="1" applyBorder="1"/>
    <xf numFmtId="9" fontId="1" fillId="2" borderId="1" xfId="1" applyFont="1" applyFill="1" applyBorder="1"/>
    <xf numFmtId="0" fontId="0" fillId="0" borderId="0" xfId="0" applyBorder="1"/>
    <xf numFmtId="9" fontId="0" fillId="0" borderId="5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LF1650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4" sqref="A4"/>
      <selection pane="bottomRight" activeCell="H1639" sqref="A1:XFD1048576"/>
    </sheetView>
  </sheetViews>
  <sheetFormatPr defaultRowHeight="15" x14ac:dyDescent="0.25"/>
  <cols>
    <col min="1" max="1" width="12" bestFit="1" customWidth="1"/>
    <col min="2" max="2" width="37.140625" bestFit="1" customWidth="1"/>
    <col min="3" max="3" width="8.85546875" bestFit="1" customWidth="1"/>
    <col min="4" max="4" width="12.85546875" customWidth="1"/>
    <col min="5" max="5" width="9.5703125" bestFit="1" customWidth="1"/>
    <col min="6" max="6" width="11.42578125" customWidth="1"/>
    <col min="7" max="7" width="10.7109375" customWidth="1"/>
    <col min="8" max="10" width="12.7109375" customWidth="1"/>
    <col min="11" max="11" width="10.42578125" customWidth="1"/>
    <col min="12" max="12" width="10.5703125" bestFit="1" customWidth="1"/>
    <col min="17" max="17" width="9.5703125" bestFit="1" customWidth="1"/>
  </cols>
  <sheetData>
    <row r="1" spans="1:18" s="1" customFormat="1" ht="21" x14ac:dyDescent="0.35">
      <c r="B1" s="1" t="s">
        <v>13</v>
      </c>
      <c r="E1" s="21">
        <f>AVERAGE(E1315:E1500)</f>
        <v>0.25814673913043484</v>
      </c>
    </row>
    <row r="2" spans="1:18" s="1" customFormat="1" x14ac:dyDescent="0.25"/>
    <row r="3" spans="1:18" s="1" customFormat="1" x14ac:dyDescent="0.25">
      <c r="B3" s="2" t="s">
        <v>71</v>
      </c>
      <c r="C3" s="2">
        <v>4</v>
      </c>
      <c r="D3" s="2">
        <v>11.5</v>
      </c>
      <c r="E3" s="2">
        <f>C3-D3</f>
        <v>-7.5</v>
      </c>
      <c r="F3" s="2">
        <f>E3/C3%</f>
        <v>-187.5</v>
      </c>
    </row>
    <row r="4" spans="1:18" s="1" customFormat="1" x14ac:dyDescent="0.25"/>
    <row r="5" spans="1:18" s="1" customFormat="1" x14ac:dyDescent="0.25"/>
    <row r="6" spans="1:18" x14ac:dyDescent="0.25">
      <c r="C6" s="58"/>
      <c r="D6" s="58"/>
      <c r="E6" s="58"/>
      <c r="F6" s="1"/>
      <c r="G6" s="1"/>
      <c r="H6" s="1"/>
      <c r="I6" s="1"/>
      <c r="J6" s="1"/>
      <c r="K6" s="1"/>
      <c r="L6" s="1"/>
      <c r="M6" s="59" t="s">
        <v>16</v>
      </c>
      <c r="N6" s="59"/>
      <c r="O6" s="59"/>
      <c r="P6" s="59"/>
      <c r="Q6" s="59"/>
    </row>
    <row r="7" spans="1:18" s="4" customFormat="1" ht="45" x14ac:dyDescent="0.25">
      <c r="A7" s="4" t="s">
        <v>37</v>
      </c>
      <c r="B7" s="26" t="s">
        <v>0</v>
      </c>
      <c r="C7" s="26" t="s">
        <v>2</v>
      </c>
      <c r="D7" s="26" t="s">
        <v>1</v>
      </c>
      <c r="E7" s="26" t="s">
        <v>3</v>
      </c>
      <c r="F7" s="26" t="s">
        <v>6</v>
      </c>
      <c r="G7" s="26" t="s">
        <v>4</v>
      </c>
      <c r="H7" s="26" t="s">
        <v>5</v>
      </c>
      <c r="I7" s="26" t="s">
        <v>34</v>
      </c>
      <c r="J7" s="26" t="s">
        <v>35</v>
      </c>
      <c r="K7" s="26" t="s">
        <v>7</v>
      </c>
      <c r="L7" s="26" t="s">
        <v>12</v>
      </c>
      <c r="M7" s="26" t="s">
        <v>8</v>
      </c>
      <c r="N7" s="26" t="s">
        <v>17</v>
      </c>
      <c r="O7" s="26" t="s">
        <v>9</v>
      </c>
      <c r="P7" s="26" t="s">
        <v>10</v>
      </c>
      <c r="Q7" s="26" t="s">
        <v>11</v>
      </c>
      <c r="R7" s="27" t="s">
        <v>59</v>
      </c>
    </row>
    <row r="8" spans="1:18" ht="16.5" hidden="1" customHeight="1" x14ac:dyDescent="0.25">
      <c r="A8" s="17">
        <v>45505</v>
      </c>
      <c r="B8" s="10" t="s">
        <v>111</v>
      </c>
      <c r="C8" s="10">
        <v>1200</v>
      </c>
      <c r="D8" s="19">
        <v>0.4</v>
      </c>
      <c r="E8" s="11">
        <v>0.19600000000000001</v>
      </c>
      <c r="F8" s="10">
        <f t="shared" ref="F8:F71" si="0">1000-1000*D8</f>
        <v>600</v>
      </c>
      <c r="G8" s="10">
        <f t="shared" ref="G8:G71" si="1">C8/1000</f>
        <v>1.2</v>
      </c>
      <c r="H8" s="12">
        <f t="shared" ref="H8:H71" si="2">C8/F8</f>
        <v>2</v>
      </c>
      <c r="I8" s="12">
        <v>0.02</v>
      </c>
      <c r="J8" s="12">
        <v>7.0000000000000007E-2</v>
      </c>
      <c r="K8" s="12">
        <f t="shared" ref="K8:K71" si="3">SUM(H8:J8)*E8</f>
        <v>0.40964</v>
      </c>
      <c r="L8" s="12">
        <f t="shared" ref="L8:L71" si="4">SUM(H8:K8)</f>
        <v>2.4996399999999999</v>
      </c>
      <c r="M8" s="12">
        <f>L8*250</f>
        <v>624.91</v>
      </c>
      <c r="N8" s="12" t="s">
        <v>72</v>
      </c>
      <c r="O8" s="12"/>
      <c r="P8" s="12"/>
      <c r="Q8" s="12"/>
      <c r="R8" s="28">
        <f t="shared" ref="R8:R39" si="5">K8/L8%</f>
        <v>16.387959866220736</v>
      </c>
    </row>
    <row r="9" spans="1:18" ht="16.5" hidden="1" customHeight="1" x14ac:dyDescent="0.25">
      <c r="A9" s="17">
        <v>45505</v>
      </c>
      <c r="B9" s="10" t="s">
        <v>112</v>
      </c>
      <c r="C9" s="10">
        <v>1200</v>
      </c>
      <c r="D9" s="19">
        <v>0.4</v>
      </c>
      <c r="E9" s="11">
        <v>0.192</v>
      </c>
      <c r="F9" s="10">
        <f t="shared" si="0"/>
        <v>600</v>
      </c>
      <c r="G9" s="10">
        <f t="shared" si="1"/>
        <v>1.2</v>
      </c>
      <c r="H9" s="12">
        <f t="shared" si="2"/>
        <v>2</v>
      </c>
      <c r="I9" s="12">
        <v>0.02</v>
      </c>
      <c r="J9" s="12">
        <v>7.0000000000000007E-2</v>
      </c>
      <c r="K9" s="12">
        <f t="shared" si="3"/>
        <v>0.40127999999999997</v>
      </c>
      <c r="L9" s="12">
        <f t="shared" si="4"/>
        <v>2.4912799999999997</v>
      </c>
      <c r="M9" s="12"/>
      <c r="N9" s="12"/>
      <c r="O9" s="12">
        <f>L9*500</f>
        <v>1245.6399999999999</v>
      </c>
      <c r="P9" s="12"/>
      <c r="Q9" s="12"/>
      <c r="R9" s="28">
        <f t="shared" si="5"/>
        <v>16.107382550335569</v>
      </c>
    </row>
    <row r="10" spans="1:18" ht="16.5" hidden="1" customHeight="1" x14ac:dyDescent="0.25">
      <c r="A10" s="17">
        <v>45505</v>
      </c>
      <c r="B10" s="10" t="s">
        <v>113</v>
      </c>
      <c r="C10" s="10">
        <v>1200</v>
      </c>
      <c r="D10" s="19">
        <v>0.4</v>
      </c>
      <c r="E10" s="11">
        <v>0.29199999999999998</v>
      </c>
      <c r="F10" s="10">
        <f t="shared" si="0"/>
        <v>600</v>
      </c>
      <c r="G10" s="10">
        <f t="shared" si="1"/>
        <v>1.2</v>
      </c>
      <c r="H10" s="12">
        <f t="shared" si="2"/>
        <v>2</v>
      </c>
      <c r="I10" s="12">
        <v>0.02</v>
      </c>
      <c r="J10" s="12">
        <v>7.0000000000000007E-2</v>
      </c>
      <c r="K10" s="12">
        <f t="shared" si="3"/>
        <v>0.61027999999999993</v>
      </c>
      <c r="L10" s="12">
        <f t="shared" si="4"/>
        <v>2.7002799999999998</v>
      </c>
      <c r="M10" s="12">
        <f>L10*250</f>
        <v>675.06999999999994</v>
      </c>
      <c r="N10" s="12" t="s">
        <v>72</v>
      </c>
      <c r="O10" s="12"/>
      <c r="P10" s="12"/>
      <c r="Q10" s="12"/>
      <c r="R10" s="28">
        <f t="shared" si="5"/>
        <v>22.600619195046441</v>
      </c>
    </row>
    <row r="11" spans="1:18" ht="16.5" hidden="1" customHeight="1" x14ac:dyDescent="0.25">
      <c r="A11" s="17">
        <v>45505</v>
      </c>
      <c r="B11" s="10" t="s">
        <v>90</v>
      </c>
      <c r="C11" s="10">
        <v>320</v>
      </c>
      <c r="D11" s="19">
        <v>0.25</v>
      </c>
      <c r="E11" s="11">
        <v>0.26</v>
      </c>
      <c r="F11" s="10">
        <f t="shared" si="0"/>
        <v>750</v>
      </c>
      <c r="G11" s="10">
        <f t="shared" si="1"/>
        <v>0.32</v>
      </c>
      <c r="H11" s="12">
        <f t="shared" si="2"/>
        <v>0.42666666666666669</v>
      </c>
      <c r="I11" s="12">
        <v>0.02</v>
      </c>
      <c r="J11" s="12">
        <v>7.0000000000000007E-2</v>
      </c>
      <c r="K11" s="12">
        <f t="shared" si="3"/>
        <v>0.13433333333333336</v>
      </c>
      <c r="L11" s="12">
        <f t="shared" si="4"/>
        <v>0.65100000000000002</v>
      </c>
      <c r="M11" s="12"/>
      <c r="N11" s="12"/>
      <c r="O11" s="12">
        <f t="shared" ref="O11:O19" si="6">L11*500</f>
        <v>325.5</v>
      </c>
      <c r="P11" s="12"/>
      <c r="Q11" s="12"/>
      <c r="R11" s="28">
        <f t="shared" si="5"/>
        <v>20.63492063492064</v>
      </c>
    </row>
    <row r="12" spans="1:18" ht="16.5" hidden="1" customHeight="1" x14ac:dyDescent="0.25">
      <c r="A12" s="17">
        <v>45505</v>
      </c>
      <c r="B12" s="10" t="s">
        <v>91</v>
      </c>
      <c r="C12" s="10">
        <v>320</v>
      </c>
      <c r="D12" s="19">
        <v>0.25</v>
      </c>
      <c r="E12" s="11">
        <v>0.45200000000000001</v>
      </c>
      <c r="F12" s="10">
        <f t="shared" si="0"/>
        <v>750</v>
      </c>
      <c r="G12" s="10">
        <f t="shared" si="1"/>
        <v>0.32</v>
      </c>
      <c r="H12" s="12">
        <f t="shared" si="2"/>
        <v>0.42666666666666669</v>
      </c>
      <c r="I12" s="12">
        <v>0.02</v>
      </c>
      <c r="J12" s="12">
        <v>7.0000000000000007E-2</v>
      </c>
      <c r="K12" s="12">
        <f t="shared" si="3"/>
        <v>0.23353333333333337</v>
      </c>
      <c r="L12" s="12">
        <f t="shared" si="4"/>
        <v>0.75020000000000009</v>
      </c>
      <c r="M12" s="12"/>
      <c r="N12" s="12"/>
      <c r="O12" s="12">
        <f t="shared" si="6"/>
        <v>375.1</v>
      </c>
      <c r="P12" s="12"/>
      <c r="Q12" s="12"/>
      <c r="R12" s="28">
        <f t="shared" si="5"/>
        <v>31.12947658402204</v>
      </c>
    </row>
    <row r="13" spans="1:18" ht="16.5" hidden="1" customHeight="1" x14ac:dyDescent="0.25">
      <c r="A13" s="17">
        <v>45505</v>
      </c>
      <c r="B13" s="10" t="s">
        <v>92</v>
      </c>
      <c r="C13" s="10">
        <v>400</v>
      </c>
      <c r="D13" s="19">
        <v>0</v>
      </c>
      <c r="E13" s="11">
        <v>0.20499999999999999</v>
      </c>
      <c r="F13" s="10">
        <f t="shared" si="0"/>
        <v>1000</v>
      </c>
      <c r="G13" s="10">
        <f t="shared" si="1"/>
        <v>0.4</v>
      </c>
      <c r="H13" s="12">
        <f t="shared" si="2"/>
        <v>0.4</v>
      </c>
      <c r="I13" s="12">
        <v>0.02</v>
      </c>
      <c r="J13" s="12">
        <v>7.0000000000000007E-2</v>
      </c>
      <c r="K13" s="12">
        <f t="shared" si="3"/>
        <v>0.10045</v>
      </c>
      <c r="L13" s="12">
        <f t="shared" si="4"/>
        <v>0.59045000000000003</v>
      </c>
      <c r="M13" s="12"/>
      <c r="N13" s="12"/>
      <c r="O13" s="12">
        <f t="shared" si="6"/>
        <v>295.22500000000002</v>
      </c>
      <c r="P13" s="12"/>
      <c r="Q13" s="12"/>
      <c r="R13" s="28">
        <f t="shared" si="5"/>
        <v>17.012448132780083</v>
      </c>
    </row>
    <row r="14" spans="1:18" ht="16.5" hidden="1" customHeight="1" x14ac:dyDescent="0.25">
      <c r="A14" s="17">
        <v>45505</v>
      </c>
      <c r="B14" s="10" t="s">
        <v>93</v>
      </c>
      <c r="C14" s="10">
        <v>550</v>
      </c>
      <c r="D14" s="19">
        <v>0</v>
      </c>
      <c r="E14" s="11">
        <v>0.54700000000000004</v>
      </c>
      <c r="F14" s="10">
        <f t="shared" si="0"/>
        <v>1000</v>
      </c>
      <c r="G14" s="10">
        <f t="shared" si="1"/>
        <v>0.55000000000000004</v>
      </c>
      <c r="H14" s="12">
        <f t="shared" si="2"/>
        <v>0.55000000000000004</v>
      </c>
      <c r="I14" s="12">
        <v>0.02</v>
      </c>
      <c r="J14" s="12">
        <v>7.0000000000000007E-2</v>
      </c>
      <c r="K14" s="12">
        <f t="shared" si="3"/>
        <v>0.35008000000000011</v>
      </c>
      <c r="L14" s="12">
        <f t="shared" si="4"/>
        <v>0.99008000000000029</v>
      </c>
      <c r="M14" s="12"/>
      <c r="N14" s="12"/>
      <c r="O14" s="12">
        <f t="shared" si="6"/>
        <v>495.04000000000013</v>
      </c>
      <c r="P14" s="12"/>
      <c r="Q14" s="12"/>
      <c r="R14" s="28">
        <f t="shared" si="5"/>
        <v>35.358758888170655</v>
      </c>
    </row>
    <row r="15" spans="1:18" ht="16.5" hidden="1" customHeight="1" x14ac:dyDescent="0.25">
      <c r="A15" s="17">
        <v>45505</v>
      </c>
      <c r="B15" s="10" t="s">
        <v>197</v>
      </c>
      <c r="C15" s="10">
        <v>550</v>
      </c>
      <c r="D15" s="19">
        <v>0</v>
      </c>
      <c r="E15" s="11">
        <v>0.17</v>
      </c>
      <c r="F15" s="10">
        <f t="shared" si="0"/>
        <v>1000</v>
      </c>
      <c r="G15" s="10">
        <f t="shared" si="1"/>
        <v>0.55000000000000004</v>
      </c>
      <c r="H15" s="12">
        <f t="shared" si="2"/>
        <v>0.55000000000000004</v>
      </c>
      <c r="I15" s="12">
        <v>0.02</v>
      </c>
      <c r="J15" s="12">
        <v>7.0000000000000007E-2</v>
      </c>
      <c r="K15" s="12">
        <f t="shared" si="3"/>
        <v>0.10880000000000004</v>
      </c>
      <c r="L15" s="12">
        <f t="shared" si="4"/>
        <v>0.74880000000000013</v>
      </c>
      <c r="M15" s="12"/>
      <c r="N15" s="12"/>
      <c r="O15" s="12">
        <f t="shared" si="6"/>
        <v>374.40000000000009</v>
      </c>
      <c r="P15" s="12"/>
      <c r="Q15" s="12"/>
      <c r="R15" s="28">
        <f t="shared" si="5"/>
        <v>14.529914529914532</v>
      </c>
    </row>
    <row r="16" spans="1:18" ht="16.5" hidden="1" customHeight="1" x14ac:dyDescent="0.25">
      <c r="A16" s="17">
        <v>45505</v>
      </c>
      <c r="B16" s="10" t="s">
        <v>94</v>
      </c>
      <c r="C16" s="10">
        <v>450</v>
      </c>
      <c r="D16" s="19">
        <v>0.15</v>
      </c>
      <c r="E16" s="11">
        <v>0.214</v>
      </c>
      <c r="F16" s="10">
        <f t="shared" si="0"/>
        <v>850</v>
      </c>
      <c r="G16" s="10">
        <f t="shared" si="1"/>
        <v>0.45</v>
      </c>
      <c r="H16" s="12">
        <f t="shared" si="2"/>
        <v>0.52941176470588236</v>
      </c>
      <c r="I16" s="12">
        <v>0.02</v>
      </c>
      <c r="J16" s="12">
        <v>7.0000000000000007E-2</v>
      </c>
      <c r="K16" s="12">
        <f t="shared" si="3"/>
        <v>0.13255411764705882</v>
      </c>
      <c r="L16" s="12">
        <f t="shared" si="4"/>
        <v>0.75196588235294115</v>
      </c>
      <c r="M16" s="12"/>
      <c r="N16" s="12"/>
      <c r="O16" s="12">
        <f t="shared" si="6"/>
        <v>375.9829411764706</v>
      </c>
      <c r="P16" s="12"/>
      <c r="Q16" s="12"/>
      <c r="R16" s="28">
        <f t="shared" si="5"/>
        <v>17.627677100494235</v>
      </c>
    </row>
    <row r="17" spans="1:18" ht="16.5" hidden="1" customHeight="1" x14ac:dyDescent="0.25">
      <c r="A17" s="17">
        <v>45505</v>
      </c>
      <c r="B17" s="10" t="s">
        <v>95</v>
      </c>
      <c r="C17" s="10">
        <v>450</v>
      </c>
      <c r="D17" s="19">
        <v>0.15</v>
      </c>
      <c r="E17" s="11">
        <v>0.214</v>
      </c>
      <c r="F17" s="10">
        <f t="shared" si="0"/>
        <v>850</v>
      </c>
      <c r="G17" s="10">
        <f t="shared" si="1"/>
        <v>0.45</v>
      </c>
      <c r="H17" s="12">
        <f t="shared" si="2"/>
        <v>0.52941176470588236</v>
      </c>
      <c r="I17" s="12">
        <v>0.02</v>
      </c>
      <c r="J17" s="12">
        <v>7.0000000000000007E-2</v>
      </c>
      <c r="K17" s="12">
        <f t="shared" si="3"/>
        <v>0.13255411764705882</v>
      </c>
      <c r="L17" s="12">
        <f t="shared" si="4"/>
        <v>0.75196588235294115</v>
      </c>
      <c r="M17" s="12"/>
      <c r="N17" s="12"/>
      <c r="O17" s="12">
        <f t="shared" si="6"/>
        <v>375.9829411764706</v>
      </c>
      <c r="P17" s="12"/>
      <c r="Q17" s="12"/>
      <c r="R17" s="28">
        <f t="shared" si="5"/>
        <v>17.627677100494235</v>
      </c>
    </row>
    <row r="18" spans="1:18" ht="16.5" hidden="1" customHeight="1" x14ac:dyDescent="0.25">
      <c r="A18" s="17">
        <v>45506</v>
      </c>
      <c r="B18" s="10" t="s">
        <v>93</v>
      </c>
      <c r="C18" s="10">
        <v>570</v>
      </c>
      <c r="D18" s="19">
        <v>0</v>
      </c>
      <c r="E18" s="11">
        <v>0.5</v>
      </c>
      <c r="F18" s="10">
        <f t="shared" si="0"/>
        <v>1000</v>
      </c>
      <c r="G18" s="10">
        <f t="shared" si="1"/>
        <v>0.56999999999999995</v>
      </c>
      <c r="H18" s="12">
        <f t="shared" si="2"/>
        <v>0.56999999999999995</v>
      </c>
      <c r="I18" s="12">
        <v>0.02</v>
      </c>
      <c r="J18" s="12">
        <v>7.0000000000000007E-2</v>
      </c>
      <c r="K18" s="12">
        <f t="shared" si="3"/>
        <v>0.32999999999999996</v>
      </c>
      <c r="L18" s="12">
        <f t="shared" si="4"/>
        <v>0.98999999999999988</v>
      </c>
      <c r="M18" s="12"/>
      <c r="N18" s="12"/>
      <c r="O18" s="12">
        <f t="shared" si="6"/>
        <v>494.99999999999994</v>
      </c>
      <c r="P18" s="12"/>
      <c r="Q18" s="12"/>
      <c r="R18" s="28">
        <f t="shared" si="5"/>
        <v>33.333333333333336</v>
      </c>
    </row>
    <row r="19" spans="1:18" ht="16.5" hidden="1" customHeight="1" x14ac:dyDescent="0.25">
      <c r="A19" s="17">
        <v>45506</v>
      </c>
      <c r="B19" s="10" t="s">
        <v>197</v>
      </c>
      <c r="C19" s="10">
        <v>570</v>
      </c>
      <c r="D19" s="19">
        <v>0</v>
      </c>
      <c r="E19" s="11">
        <v>0.13900000000000001</v>
      </c>
      <c r="F19" s="10">
        <f t="shared" si="0"/>
        <v>1000</v>
      </c>
      <c r="G19" s="10">
        <f t="shared" si="1"/>
        <v>0.56999999999999995</v>
      </c>
      <c r="H19" s="12">
        <f t="shared" si="2"/>
        <v>0.56999999999999995</v>
      </c>
      <c r="I19" s="12">
        <v>0.02</v>
      </c>
      <c r="J19" s="12">
        <v>7.0000000000000007E-2</v>
      </c>
      <c r="K19" s="12">
        <f t="shared" si="3"/>
        <v>9.1740000000000002E-2</v>
      </c>
      <c r="L19" s="12">
        <f t="shared" si="4"/>
        <v>0.75173999999999996</v>
      </c>
      <c r="M19" s="12"/>
      <c r="N19" s="12"/>
      <c r="O19" s="12">
        <f t="shared" si="6"/>
        <v>375.87</v>
      </c>
      <c r="P19" s="12"/>
      <c r="Q19" s="12"/>
      <c r="R19" s="28">
        <f t="shared" si="5"/>
        <v>12.203687445127306</v>
      </c>
    </row>
    <row r="20" spans="1:18" ht="16.5" hidden="1" customHeight="1" x14ac:dyDescent="0.25">
      <c r="A20" s="17">
        <v>45506</v>
      </c>
      <c r="B20" s="10" t="s">
        <v>114</v>
      </c>
      <c r="C20" s="10">
        <v>800</v>
      </c>
      <c r="D20" s="19">
        <v>0.63</v>
      </c>
      <c r="E20" s="11">
        <v>0.2</v>
      </c>
      <c r="F20" s="10">
        <f t="shared" si="0"/>
        <v>370</v>
      </c>
      <c r="G20" s="10">
        <f t="shared" si="1"/>
        <v>0.8</v>
      </c>
      <c r="H20" s="12">
        <f t="shared" si="2"/>
        <v>2.1621621621621623</v>
      </c>
      <c r="I20" s="12">
        <v>0.02</v>
      </c>
      <c r="J20" s="12">
        <v>7.0000000000000007E-2</v>
      </c>
      <c r="K20" s="12">
        <f t="shared" si="3"/>
        <v>0.45043243243243247</v>
      </c>
      <c r="L20" s="12">
        <f t="shared" si="4"/>
        <v>2.7025945945945944</v>
      </c>
      <c r="M20" s="12">
        <f>L20*250</f>
        <v>675.64864864864865</v>
      </c>
      <c r="N20" s="12"/>
      <c r="O20" s="12"/>
      <c r="P20" s="12"/>
      <c r="Q20" s="12"/>
      <c r="R20" s="28">
        <f t="shared" si="5"/>
        <v>16.666666666666671</v>
      </c>
    </row>
    <row r="21" spans="1:18" ht="16.5" hidden="1" customHeight="1" x14ac:dyDescent="0.25">
      <c r="A21" s="17">
        <v>45506</v>
      </c>
      <c r="B21" s="10" t="s">
        <v>115</v>
      </c>
      <c r="C21" s="10">
        <v>350</v>
      </c>
      <c r="D21" s="19">
        <v>0.59</v>
      </c>
      <c r="E21" s="11">
        <v>0.25</v>
      </c>
      <c r="F21" s="10">
        <f t="shared" si="0"/>
        <v>410</v>
      </c>
      <c r="G21" s="10">
        <f t="shared" si="1"/>
        <v>0.35</v>
      </c>
      <c r="H21" s="12">
        <f t="shared" si="2"/>
        <v>0.85365853658536583</v>
      </c>
      <c r="I21" s="12">
        <v>0.02</v>
      </c>
      <c r="J21" s="12">
        <v>7.0000000000000007E-2</v>
      </c>
      <c r="K21" s="12">
        <f t="shared" si="3"/>
        <v>0.23591463414634145</v>
      </c>
      <c r="L21" s="12">
        <f t="shared" si="4"/>
        <v>1.1795731707317072</v>
      </c>
      <c r="M21" s="12">
        <f>L21*250</f>
        <v>294.89329268292681</v>
      </c>
      <c r="N21" s="12"/>
      <c r="O21" s="12"/>
      <c r="P21" s="12"/>
      <c r="Q21" s="12"/>
      <c r="R21" s="28">
        <f t="shared" si="5"/>
        <v>20</v>
      </c>
    </row>
    <row r="22" spans="1:18" ht="16.5" hidden="1" customHeight="1" x14ac:dyDescent="0.25">
      <c r="A22" s="17">
        <v>45507</v>
      </c>
      <c r="B22" s="10" t="s">
        <v>97</v>
      </c>
      <c r="C22" s="10">
        <v>350</v>
      </c>
      <c r="D22" s="19">
        <v>0.05</v>
      </c>
      <c r="E22" s="11">
        <v>0.3</v>
      </c>
      <c r="F22" s="10">
        <f t="shared" si="0"/>
        <v>950</v>
      </c>
      <c r="G22" s="10">
        <f t="shared" si="1"/>
        <v>0.35</v>
      </c>
      <c r="H22" s="12">
        <f t="shared" si="2"/>
        <v>0.36842105263157893</v>
      </c>
      <c r="I22" s="12">
        <v>0.02</v>
      </c>
      <c r="J22" s="12">
        <v>7.0000000000000007E-2</v>
      </c>
      <c r="K22" s="12">
        <f t="shared" si="3"/>
        <v>0.13752631578947369</v>
      </c>
      <c r="L22" s="12">
        <f t="shared" si="4"/>
        <v>0.59594736842105267</v>
      </c>
      <c r="M22" s="12"/>
      <c r="N22" s="12"/>
      <c r="O22" s="12">
        <f>L22*500</f>
        <v>297.97368421052636</v>
      </c>
      <c r="P22" s="12"/>
      <c r="Q22" s="12"/>
      <c r="R22" s="28">
        <f t="shared" si="5"/>
        <v>23.076923076923077</v>
      </c>
    </row>
    <row r="23" spans="1:18" ht="16.5" hidden="1" customHeight="1" x14ac:dyDescent="0.25">
      <c r="A23" s="17">
        <v>45507</v>
      </c>
      <c r="B23" s="10" t="s">
        <v>93</v>
      </c>
      <c r="C23" s="10">
        <v>700</v>
      </c>
      <c r="D23" s="19">
        <v>0.14000000000000001</v>
      </c>
      <c r="E23" s="11">
        <v>0.16</v>
      </c>
      <c r="F23" s="10">
        <f t="shared" si="0"/>
        <v>860</v>
      </c>
      <c r="G23" s="10">
        <f t="shared" si="1"/>
        <v>0.7</v>
      </c>
      <c r="H23" s="12">
        <f t="shared" si="2"/>
        <v>0.81395348837209303</v>
      </c>
      <c r="I23" s="12">
        <v>0.02</v>
      </c>
      <c r="J23" s="12">
        <v>7.0000000000000007E-2</v>
      </c>
      <c r="K23" s="12">
        <f t="shared" si="3"/>
        <v>0.14463255813953488</v>
      </c>
      <c r="L23" s="12">
        <f t="shared" si="4"/>
        <v>1.0485860465116279</v>
      </c>
      <c r="M23" s="12"/>
      <c r="N23" s="12"/>
      <c r="O23" s="12">
        <f>L23*500</f>
        <v>524.29302325581398</v>
      </c>
      <c r="P23" s="12"/>
      <c r="Q23" s="12"/>
      <c r="R23" s="28">
        <f t="shared" si="5"/>
        <v>13.793103448275863</v>
      </c>
    </row>
    <row r="24" spans="1:18" ht="16.5" hidden="1" customHeight="1" x14ac:dyDescent="0.25">
      <c r="A24" s="17">
        <v>45507</v>
      </c>
      <c r="B24" s="10" t="s">
        <v>114</v>
      </c>
      <c r="C24" s="10">
        <v>1150</v>
      </c>
      <c r="D24" s="19">
        <v>0.27</v>
      </c>
      <c r="E24" s="11">
        <v>0.43</v>
      </c>
      <c r="F24" s="10">
        <f t="shared" si="0"/>
        <v>730</v>
      </c>
      <c r="G24" s="10">
        <f t="shared" si="1"/>
        <v>1.1499999999999999</v>
      </c>
      <c r="H24" s="12">
        <f t="shared" si="2"/>
        <v>1.5753424657534247</v>
      </c>
      <c r="I24" s="12">
        <v>0.02</v>
      </c>
      <c r="J24" s="12">
        <v>7.0000000000000007E-2</v>
      </c>
      <c r="K24" s="12">
        <f t="shared" si="3"/>
        <v>0.71609726027397269</v>
      </c>
      <c r="L24" s="12">
        <f t="shared" si="4"/>
        <v>2.3814397260273976</v>
      </c>
      <c r="M24" s="12">
        <f>L24*250</f>
        <v>595.35993150684942</v>
      </c>
      <c r="N24" s="12"/>
      <c r="O24" s="12"/>
      <c r="P24" s="12"/>
      <c r="Q24" s="12"/>
      <c r="R24" s="28">
        <f t="shared" si="5"/>
        <v>30.069930069930066</v>
      </c>
    </row>
    <row r="25" spans="1:18" ht="16.5" hidden="1" customHeight="1" x14ac:dyDescent="0.25">
      <c r="A25" s="17">
        <v>45507</v>
      </c>
      <c r="B25" s="10" t="s">
        <v>92</v>
      </c>
      <c r="C25" s="10">
        <v>360</v>
      </c>
      <c r="D25" s="19">
        <v>0</v>
      </c>
      <c r="E25" s="11">
        <v>0.312</v>
      </c>
      <c r="F25" s="10">
        <f t="shared" si="0"/>
        <v>1000</v>
      </c>
      <c r="G25" s="10">
        <f t="shared" si="1"/>
        <v>0.36</v>
      </c>
      <c r="H25" s="12">
        <f t="shared" si="2"/>
        <v>0.36</v>
      </c>
      <c r="I25" s="12">
        <v>0.02</v>
      </c>
      <c r="J25" s="12">
        <v>7.0000000000000007E-2</v>
      </c>
      <c r="K25" s="12">
        <f t="shared" si="3"/>
        <v>0.1404</v>
      </c>
      <c r="L25" s="12">
        <f t="shared" si="4"/>
        <v>0.59040000000000004</v>
      </c>
      <c r="M25" s="12"/>
      <c r="N25" s="12"/>
      <c r="O25" s="12">
        <f>L25*500</f>
        <v>295.20000000000005</v>
      </c>
      <c r="P25" s="12"/>
      <c r="Q25" s="12"/>
      <c r="R25" s="28">
        <f t="shared" si="5"/>
        <v>23.780487804878046</v>
      </c>
    </row>
    <row r="26" spans="1:18" ht="16.5" hidden="1" customHeight="1" x14ac:dyDescent="0.25">
      <c r="A26" s="17">
        <v>45507</v>
      </c>
      <c r="B26" s="10" t="s">
        <v>90</v>
      </c>
      <c r="C26" s="10">
        <v>300</v>
      </c>
      <c r="D26" s="19">
        <v>0.2</v>
      </c>
      <c r="E26" s="11">
        <v>0.4</v>
      </c>
      <c r="F26" s="10">
        <f t="shared" si="0"/>
        <v>800</v>
      </c>
      <c r="G26" s="10">
        <f t="shared" si="1"/>
        <v>0.3</v>
      </c>
      <c r="H26" s="12">
        <f t="shared" si="2"/>
        <v>0.375</v>
      </c>
      <c r="I26" s="12">
        <v>0.02</v>
      </c>
      <c r="J26" s="12">
        <v>7.0000000000000007E-2</v>
      </c>
      <c r="K26" s="12">
        <f t="shared" si="3"/>
        <v>0.18600000000000003</v>
      </c>
      <c r="L26" s="12">
        <f t="shared" si="4"/>
        <v>0.65100000000000002</v>
      </c>
      <c r="M26" s="12"/>
      <c r="N26" s="12"/>
      <c r="O26" s="12">
        <f>L26*500</f>
        <v>325.5</v>
      </c>
      <c r="P26" s="12"/>
      <c r="Q26" s="12"/>
      <c r="R26" s="28">
        <f t="shared" si="5"/>
        <v>28.571428571428577</v>
      </c>
    </row>
    <row r="27" spans="1:18" ht="16.5" hidden="1" customHeight="1" x14ac:dyDescent="0.25">
      <c r="A27" s="17">
        <v>45507</v>
      </c>
      <c r="B27" s="10" t="s">
        <v>91</v>
      </c>
      <c r="C27" s="10">
        <v>300</v>
      </c>
      <c r="D27" s="19">
        <v>0.2</v>
      </c>
      <c r="E27" s="11">
        <v>0.53</v>
      </c>
      <c r="F27" s="10">
        <f t="shared" si="0"/>
        <v>800</v>
      </c>
      <c r="G27" s="10">
        <f t="shared" si="1"/>
        <v>0.3</v>
      </c>
      <c r="H27" s="12">
        <f t="shared" si="2"/>
        <v>0.375</v>
      </c>
      <c r="I27" s="12">
        <v>0.02</v>
      </c>
      <c r="J27" s="12">
        <v>7.0000000000000007E-2</v>
      </c>
      <c r="K27" s="12">
        <f t="shared" si="3"/>
        <v>0.24645000000000003</v>
      </c>
      <c r="L27" s="12">
        <f t="shared" si="4"/>
        <v>0.71145000000000003</v>
      </c>
      <c r="M27" s="12"/>
      <c r="N27" s="12"/>
      <c r="O27" s="12">
        <f>L27*500</f>
        <v>355.72500000000002</v>
      </c>
      <c r="P27" s="12"/>
      <c r="Q27" s="12"/>
      <c r="R27" s="28">
        <f t="shared" si="5"/>
        <v>34.640522875816998</v>
      </c>
    </row>
    <row r="28" spans="1:18" ht="16.5" hidden="1" customHeight="1" x14ac:dyDescent="0.25">
      <c r="A28" s="17">
        <v>45507</v>
      </c>
      <c r="B28" s="10" t="s">
        <v>111</v>
      </c>
      <c r="C28" s="10">
        <v>1200</v>
      </c>
      <c r="D28" s="19">
        <v>0.44</v>
      </c>
      <c r="E28" s="11">
        <v>0.21</v>
      </c>
      <c r="F28" s="10">
        <f t="shared" si="0"/>
        <v>560</v>
      </c>
      <c r="G28" s="10">
        <f t="shared" si="1"/>
        <v>1.2</v>
      </c>
      <c r="H28" s="12">
        <f t="shared" si="2"/>
        <v>2.1428571428571428</v>
      </c>
      <c r="I28" s="12">
        <v>0.02</v>
      </c>
      <c r="J28" s="12">
        <v>7.0000000000000007E-2</v>
      </c>
      <c r="K28" s="12">
        <f t="shared" si="3"/>
        <v>0.46889999999999993</v>
      </c>
      <c r="L28" s="12">
        <f t="shared" si="4"/>
        <v>2.7017571428571427</v>
      </c>
      <c r="M28" s="12">
        <f>L28*250</f>
        <v>675.43928571428569</v>
      </c>
      <c r="N28" s="12"/>
      <c r="O28" s="12"/>
      <c r="P28" s="12"/>
      <c r="Q28" s="12"/>
      <c r="R28" s="28">
        <f t="shared" si="5"/>
        <v>17.355371900826444</v>
      </c>
    </row>
    <row r="29" spans="1:18" ht="16.5" hidden="1" customHeight="1" x14ac:dyDescent="0.25">
      <c r="A29" s="17">
        <v>45508</v>
      </c>
      <c r="B29" s="10" t="s">
        <v>92</v>
      </c>
      <c r="C29" s="10">
        <v>360</v>
      </c>
      <c r="D29" s="19">
        <v>0</v>
      </c>
      <c r="E29" s="11">
        <v>0.312</v>
      </c>
      <c r="F29" s="10">
        <f t="shared" si="0"/>
        <v>1000</v>
      </c>
      <c r="G29" s="10">
        <f t="shared" si="1"/>
        <v>0.36</v>
      </c>
      <c r="H29" s="12">
        <f t="shared" si="2"/>
        <v>0.36</v>
      </c>
      <c r="I29" s="12">
        <v>0.02</v>
      </c>
      <c r="J29" s="12">
        <v>7.0000000000000007E-2</v>
      </c>
      <c r="K29" s="12">
        <f t="shared" si="3"/>
        <v>0.1404</v>
      </c>
      <c r="L29" s="12">
        <f t="shared" si="4"/>
        <v>0.59040000000000004</v>
      </c>
      <c r="M29" s="12"/>
      <c r="N29" s="12"/>
      <c r="O29" s="12">
        <f t="shared" ref="O29:O37" si="7">L29*500</f>
        <v>295.20000000000005</v>
      </c>
      <c r="P29" s="12"/>
      <c r="Q29" s="12"/>
      <c r="R29" s="28">
        <f t="shared" si="5"/>
        <v>23.780487804878046</v>
      </c>
    </row>
    <row r="30" spans="1:18" ht="16.5" hidden="1" customHeight="1" x14ac:dyDescent="0.25">
      <c r="A30" s="17">
        <v>45508</v>
      </c>
      <c r="B30" s="10" t="s">
        <v>90</v>
      </c>
      <c r="C30" s="10">
        <v>320</v>
      </c>
      <c r="D30" s="19">
        <v>0.2</v>
      </c>
      <c r="E30" s="11">
        <v>0.33</v>
      </c>
      <c r="F30" s="10">
        <f t="shared" si="0"/>
        <v>800</v>
      </c>
      <c r="G30" s="10">
        <f t="shared" si="1"/>
        <v>0.32</v>
      </c>
      <c r="H30" s="12">
        <f t="shared" si="2"/>
        <v>0.4</v>
      </c>
      <c r="I30" s="12">
        <v>0.02</v>
      </c>
      <c r="J30" s="12">
        <v>7.0000000000000007E-2</v>
      </c>
      <c r="K30" s="12">
        <f t="shared" si="3"/>
        <v>0.16170000000000001</v>
      </c>
      <c r="L30" s="12">
        <f t="shared" si="4"/>
        <v>0.65170000000000006</v>
      </c>
      <c r="M30" s="12"/>
      <c r="N30" s="12"/>
      <c r="O30" s="12">
        <f t="shared" si="7"/>
        <v>325.85000000000002</v>
      </c>
      <c r="P30" s="12"/>
      <c r="Q30" s="12"/>
      <c r="R30" s="28">
        <f t="shared" si="5"/>
        <v>24.81203007518797</v>
      </c>
    </row>
    <row r="31" spans="1:18" ht="16.5" hidden="1" customHeight="1" x14ac:dyDescent="0.25">
      <c r="A31" s="17">
        <v>45508</v>
      </c>
      <c r="B31" s="10" t="s">
        <v>91</v>
      </c>
      <c r="C31" s="10">
        <v>320</v>
      </c>
      <c r="D31" s="19">
        <v>0.2</v>
      </c>
      <c r="E31" s="11">
        <v>0.45</v>
      </c>
      <c r="F31" s="10">
        <f t="shared" si="0"/>
        <v>800</v>
      </c>
      <c r="G31" s="10">
        <f t="shared" si="1"/>
        <v>0.32</v>
      </c>
      <c r="H31" s="12">
        <f t="shared" si="2"/>
        <v>0.4</v>
      </c>
      <c r="I31" s="12">
        <v>0.02</v>
      </c>
      <c r="J31" s="12">
        <v>7.0000000000000007E-2</v>
      </c>
      <c r="K31" s="12">
        <f t="shared" si="3"/>
        <v>0.22050000000000003</v>
      </c>
      <c r="L31" s="12">
        <f t="shared" si="4"/>
        <v>0.71050000000000013</v>
      </c>
      <c r="M31" s="12"/>
      <c r="N31" s="12"/>
      <c r="O31" s="12">
        <f t="shared" si="7"/>
        <v>355.25000000000006</v>
      </c>
      <c r="P31" s="12"/>
      <c r="Q31" s="12"/>
      <c r="R31" s="28">
        <f t="shared" si="5"/>
        <v>31.03448275862069</v>
      </c>
    </row>
    <row r="32" spans="1:18" ht="16.5" hidden="1" customHeight="1" x14ac:dyDescent="0.25">
      <c r="A32" s="17">
        <v>45510</v>
      </c>
      <c r="B32" s="10" t="s">
        <v>90</v>
      </c>
      <c r="C32" s="10">
        <v>300</v>
      </c>
      <c r="D32" s="19">
        <v>0.28000000000000003</v>
      </c>
      <c r="E32" s="11">
        <v>0.16500000000000001</v>
      </c>
      <c r="F32" s="10">
        <f t="shared" si="0"/>
        <v>720</v>
      </c>
      <c r="G32" s="10">
        <f t="shared" si="1"/>
        <v>0.3</v>
      </c>
      <c r="H32" s="12">
        <f t="shared" si="2"/>
        <v>0.41666666666666669</v>
      </c>
      <c r="I32" s="12">
        <v>0.02</v>
      </c>
      <c r="J32" s="12">
        <v>7.0000000000000007E-2</v>
      </c>
      <c r="K32" s="12">
        <f t="shared" si="3"/>
        <v>8.3600000000000008E-2</v>
      </c>
      <c r="L32" s="12">
        <f t="shared" si="4"/>
        <v>0.59026666666666672</v>
      </c>
      <c r="M32" s="12"/>
      <c r="N32" s="12"/>
      <c r="O32" s="12">
        <f t="shared" si="7"/>
        <v>295.13333333333338</v>
      </c>
      <c r="P32" s="12"/>
      <c r="Q32" s="12"/>
      <c r="R32" s="28">
        <f t="shared" si="5"/>
        <v>14.163090128755364</v>
      </c>
    </row>
    <row r="33" spans="1:18" ht="16.5" hidden="1" customHeight="1" x14ac:dyDescent="0.25">
      <c r="A33" s="17">
        <v>45510</v>
      </c>
      <c r="B33" s="10" t="s">
        <v>91</v>
      </c>
      <c r="C33" s="10">
        <v>300</v>
      </c>
      <c r="D33" s="19">
        <v>0.28000000000000003</v>
      </c>
      <c r="E33" s="11">
        <v>0.28000000000000003</v>
      </c>
      <c r="F33" s="10">
        <f t="shared" si="0"/>
        <v>720</v>
      </c>
      <c r="G33" s="10">
        <f t="shared" si="1"/>
        <v>0.3</v>
      </c>
      <c r="H33" s="12">
        <f t="shared" si="2"/>
        <v>0.41666666666666669</v>
      </c>
      <c r="I33" s="12">
        <v>0.02</v>
      </c>
      <c r="J33" s="12">
        <v>7.0000000000000007E-2</v>
      </c>
      <c r="K33" s="12">
        <f t="shared" si="3"/>
        <v>0.1418666666666667</v>
      </c>
      <c r="L33" s="12">
        <f t="shared" si="4"/>
        <v>0.64853333333333341</v>
      </c>
      <c r="M33" s="12"/>
      <c r="N33" s="12"/>
      <c r="O33" s="12">
        <f t="shared" si="7"/>
        <v>324.26666666666671</v>
      </c>
      <c r="P33" s="12"/>
      <c r="Q33" s="12"/>
      <c r="R33" s="28">
        <f t="shared" si="5"/>
        <v>21.875</v>
      </c>
    </row>
    <row r="34" spans="1:18" ht="16.5" hidden="1" customHeight="1" x14ac:dyDescent="0.25">
      <c r="A34" s="17">
        <v>45510</v>
      </c>
      <c r="B34" s="10" t="s">
        <v>92</v>
      </c>
      <c r="C34" s="10">
        <v>400</v>
      </c>
      <c r="D34" s="19">
        <v>0.16</v>
      </c>
      <c r="E34" s="11">
        <v>4.3999999999999997E-2</v>
      </c>
      <c r="F34" s="10">
        <f t="shared" si="0"/>
        <v>840</v>
      </c>
      <c r="G34" s="10">
        <f t="shared" si="1"/>
        <v>0.4</v>
      </c>
      <c r="H34" s="12">
        <f t="shared" si="2"/>
        <v>0.47619047619047616</v>
      </c>
      <c r="I34" s="12">
        <v>0.02</v>
      </c>
      <c r="J34" s="12">
        <v>7.0000000000000007E-2</v>
      </c>
      <c r="K34" s="12">
        <f t="shared" si="3"/>
        <v>2.491238095238095E-2</v>
      </c>
      <c r="L34" s="12">
        <f t="shared" si="4"/>
        <v>0.59110285714285704</v>
      </c>
      <c r="M34" s="12"/>
      <c r="N34" s="12"/>
      <c r="O34" s="12">
        <f t="shared" si="7"/>
        <v>295.55142857142852</v>
      </c>
      <c r="P34" s="12"/>
      <c r="Q34" s="12"/>
      <c r="R34" s="28">
        <f t="shared" si="5"/>
        <v>4.2145593869731801</v>
      </c>
    </row>
    <row r="35" spans="1:18" ht="16.5" hidden="1" customHeight="1" x14ac:dyDescent="0.25">
      <c r="A35" s="17">
        <v>45511</v>
      </c>
      <c r="B35" s="10" t="s">
        <v>90</v>
      </c>
      <c r="C35" s="10">
        <v>320</v>
      </c>
      <c r="D35" s="19">
        <v>0.22</v>
      </c>
      <c r="E35" s="11">
        <v>0.18</v>
      </c>
      <c r="F35" s="10">
        <f t="shared" si="0"/>
        <v>780</v>
      </c>
      <c r="G35" s="10">
        <f t="shared" si="1"/>
        <v>0.32</v>
      </c>
      <c r="H35" s="12">
        <f t="shared" si="2"/>
        <v>0.41025641025641024</v>
      </c>
      <c r="I35" s="12">
        <v>0.02</v>
      </c>
      <c r="J35" s="12">
        <v>7.0000000000000007E-2</v>
      </c>
      <c r="K35" s="12">
        <f t="shared" si="3"/>
        <v>9.0046153846153831E-2</v>
      </c>
      <c r="L35" s="12">
        <f t="shared" si="4"/>
        <v>0.5903025641025641</v>
      </c>
      <c r="M35" s="12"/>
      <c r="N35" s="12"/>
      <c r="O35" s="12">
        <f t="shared" si="7"/>
        <v>295.15128205128207</v>
      </c>
      <c r="P35" s="12"/>
      <c r="Q35" s="12"/>
      <c r="R35" s="28">
        <f t="shared" si="5"/>
        <v>15.254237288135592</v>
      </c>
    </row>
    <row r="36" spans="1:18" ht="16.5" hidden="1" customHeight="1" x14ac:dyDescent="0.25">
      <c r="A36" s="17">
        <v>45511</v>
      </c>
      <c r="B36" s="10" t="s">
        <v>91</v>
      </c>
      <c r="C36" s="10">
        <v>320</v>
      </c>
      <c r="D36" s="19">
        <v>0.22</v>
      </c>
      <c r="E36" s="11">
        <v>0.3</v>
      </c>
      <c r="F36" s="10">
        <f t="shared" si="0"/>
        <v>780</v>
      </c>
      <c r="G36" s="10">
        <f t="shared" si="1"/>
        <v>0.32</v>
      </c>
      <c r="H36" s="12">
        <f t="shared" si="2"/>
        <v>0.41025641025641024</v>
      </c>
      <c r="I36" s="12">
        <v>0.02</v>
      </c>
      <c r="J36" s="12">
        <v>7.0000000000000007E-2</v>
      </c>
      <c r="K36" s="12">
        <f t="shared" si="3"/>
        <v>0.15007692307692305</v>
      </c>
      <c r="L36" s="12">
        <f t="shared" si="4"/>
        <v>0.65033333333333321</v>
      </c>
      <c r="M36" s="12"/>
      <c r="N36" s="12"/>
      <c r="O36" s="12">
        <f t="shared" si="7"/>
        <v>325.16666666666663</v>
      </c>
      <c r="P36" s="12"/>
      <c r="Q36" s="12"/>
      <c r="R36" s="28">
        <f t="shared" si="5"/>
        <v>23.076923076923077</v>
      </c>
    </row>
    <row r="37" spans="1:18" ht="16.5" hidden="1" customHeight="1" x14ac:dyDescent="0.25">
      <c r="A37" s="17">
        <v>45511</v>
      </c>
      <c r="B37" s="10" t="s">
        <v>40</v>
      </c>
      <c r="C37" s="10">
        <v>160</v>
      </c>
      <c r="D37" s="19">
        <v>0.44</v>
      </c>
      <c r="E37" s="11">
        <v>0</v>
      </c>
      <c r="F37" s="10">
        <f t="shared" si="0"/>
        <v>560</v>
      </c>
      <c r="G37" s="10">
        <f t="shared" si="1"/>
        <v>0.16</v>
      </c>
      <c r="H37" s="12">
        <f t="shared" si="2"/>
        <v>0.2857142857142857</v>
      </c>
      <c r="I37" s="12">
        <v>0.02</v>
      </c>
      <c r="J37" s="12">
        <v>7.0000000000000007E-2</v>
      </c>
      <c r="K37" s="12">
        <f t="shared" si="3"/>
        <v>0</v>
      </c>
      <c r="L37" s="12">
        <f t="shared" si="4"/>
        <v>0.37571428571428572</v>
      </c>
      <c r="M37" s="12"/>
      <c r="N37" s="12"/>
      <c r="O37" s="12">
        <f t="shared" si="7"/>
        <v>187.85714285714286</v>
      </c>
      <c r="P37" s="12"/>
      <c r="Q37" s="12"/>
      <c r="R37" s="28">
        <f t="shared" si="5"/>
        <v>0</v>
      </c>
    </row>
    <row r="38" spans="1:18" ht="16.5" hidden="1" customHeight="1" x14ac:dyDescent="0.25">
      <c r="A38" s="17">
        <v>45512</v>
      </c>
      <c r="B38" s="10" t="s">
        <v>102</v>
      </c>
      <c r="C38" s="10">
        <v>500</v>
      </c>
      <c r="D38" s="19">
        <v>0.55000000000000004</v>
      </c>
      <c r="E38" s="11">
        <v>0.41699999999999998</v>
      </c>
      <c r="F38" s="10">
        <f t="shared" si="0"/>
        <v>450</v>
      </c>
      <c r="G38" s="10">
        <f t="shared" si="1"/>
        <v>0.5</v>
      </c>
      <c r="H38" s="12">
        <f t="shared" si="2"/>
        <v>1.1111111111111112</v>
      </c>
      <c r="I38" s="12">
        <v>0.02</v>
      </c>
      <c r="J38" s="12">
        <v>7.0000000000000007E-2</v>
      </c>
      <c r="K38" s="12">
        <f t="shared" si="3"/>
        <v>0.50086333333333333</v>
      </c>
      <c r="L38" s="12">
        <f t="shared" si="4"/>
        <v>1.7019744444444447</v>
      </c>
      <c r="M38" s="12">
        <f>L38*250</f>
        <v>425.49361111111119</v>
      </c>
      <c r="N38" s="12"/>
      <c r="O38" s="12"/>
      <c r="P38" s="12"/>
      <c r="Q38" s="12"/>
      <c r="R38" s="28">
        <f t="shared" si="5"/>
        <v>29.42836979534227</v>
      </c>
    </row>
    <row r="39" spans="1:18" ht="16.5" hidden="1" customHeight="1" x14ac:dyDescent="0.25">
      <c r="A39" s="17">
        <v>45512</v>
      </c>
      <c r="B39" s="10" t="s">
        <v>103</v>
      </c>
      <c r="C39" s="10">
        <v>150</v>
      </c>
      <c r="D39" s="19">
        <v>0</v>
      </c>
      <c r="E39" s="11">
        <v>0.21</v>
      </c>
      <c r="F39" s="10">
        <f t="shared" si="0"/>
        <v>1000</v>
      </c>
      <c r="G39" s="10">
        <f t="shared" si="1"/>
        <v>0.15</v>
      </c>
      <c r="H39" s="12">
        <f t="shared" si="2"/>
        <v>0.15</v>
      </c>
      <c r="I39" s="12">
        <v>0.02</v>
      </c>
      <c r="J39" s="12">
        <v>7.0000000000000007E-2</v>
      </c>
      <c r="K39" s="12">
        <f t="shared" si="3"/>
        <v>5.0399999999999993E-2</v>
      </c>
      <c r="L39" s="12">
        <f t="shared" si="4"/>
        <v>0.29039999999999999</v>
      </c>
      <c r="M39" s="12"/>
      <c r="N39" s="12"/>
      <c r="O39" s="12">
        <f>L39*500</f>
        <v>145.19999999999999</v>
      </c>
      <c r="P39" s="12"/>
      <c r="Q39" s="12"/>
      <c r="R39" s="28">
        <f t="shared" si="5"/>
        <v>17.355371900826444</v>
      </c>
    </row>
    <row r="40" spans="1:18" ht="16.5" hidden="1" customHeight="1" x14ac:dyDescent="0.25">
      <c r="A40" s="17">
        <v>45512</v>
      </c>
      <c r="B40" s="10" t="s">
        <v>104</v>
      </c>
      <c r="C40" s="10">
        <v>130</v>
      </c>
      <c r="D40" s="19">
        <v>0.59</v>
      </c>
      <c r="E40" s="11">
        <v>0.43</v>
      </c>
      <c r="F40" s="10">
        <f t="shared" si="0"/>
        <v>410</v>
      </c>
      <c r="G40" s="10">
        <f t="shared" si="1"/>
        <v>0.13</v>
      </c>
      <c r="H40" s="12">
        <f t="shared" si="2"/>
        <v>0.31707317073170732</v>
      </c>
      <c r="I40" s="12">
        <v>0.02</v>
      </c>
      <c r="J40" s="12">
        <v>7.0000000000000007E-2</v>
      </c>
      <c r="K40" s="12">
        <f t="shared" si="3"/>
        <v>0.17504146341463417</v>
      </c>
      <c r="L40" s="12">
        <f t="shared" si="4"/>
        <v>0.58211463414634146</v>
      </c>
      <c r="M40" s="12">
        <f>L40*250</f>
        <v>145.52865853658537</v>
      </c>
      <c r="N40" s="12"/>
      <c r="O40" s="12"/>
      <c r="P40" s="12"/>
      <c r="Q40" s="12"/>
      <c r="R40" s="28">
        <f t="shared" ref="R40:R68" si="8">K40/L40%</f>
        <v>30.069930069930074</v>
      </c>
    </row>
    <row r="41" spans="1:18" ht="16.5" hidden="1" customHeight="1" x14ac:dyDescent="0.25">
      <c r="A41" s="17">
        <v>45512</v>
      </c>
      <c r="B41" s="10" t="s">
        <v>105</v>
      </c>
      <c r="C41" s="10">
        <v>130</v>
      </c>
      <c r="D41" s="19">
        <v>0.59</v>
      </c>
      <c r="E41" s="11">
        <v>0.43</v>
      </c>
      <c r="F41" s="10">
        <f t="shared" si="0"/>
        <v>410</v>
      </c>
      <c r="G41" s="10">
        <f t="shared" si="1"/>
        <v>0.13</v>
      </c>
      <c r="H41" s="12">
        <f t="shared" si="2"/>
        <v>0.31707317073170732</v>
      </c>
      <c r="I41" s="12">
        <v>0.02</v>
      </c>
      <c r="J41" s="12">
        <v>7.0000000000000007E-2</v>
      </c>
      <c r="K41" s="12">
        <f t="shared" si="3"/>
        <v>0.17504146341463417</v>
      </c>
      <c r="L41" s="12">
        <f t="shared" si="4"/>
        <v>0.58211463414634146</v>
      </c>
      <c r="M41" s="12">
        <f>L41*250</f>
        <v>145.52865853658537</v>
      </c>
      <c r="N41" s="12"/>
      <c r="O41" s="12"/>
      <c r="P41" s="12"/>
      <c r="Q41" s="12"/>
      <c r="R41" s="28">
        <f t="shared" si="8"/>
        <v>30.069930069930074</v>
      </c>
    </row>
    <row r="42" spans="1:18" ht="16.5" hidden="1" customHeight="1" x14ac:dyDescent="0.25">
      <c r="A42" s="17">
        <v>45513</v>
      </c>
      <c r="B42" s="10" t="s">
        <v>95</v>
      </c>
      <c r="C42" s="10">
        <v>350</v>
      </c>
      <c r="D42" s="19">
        <v>0.2</v>
      </c>
      <c r="E42" s="11">
        <v>0.23499999999999999</v>
      </c>
      <c r="F42" s="10">
        <f t="shared" si="0"/>
        <v>800</v>
      </c>
      <c r="G42" s="10">
        <f t="shared" si="1"/>
        <v>0.35</v>
      </c>
      <c r="H42" s="12">
        <f t="shared" si="2"/>
        <v>0.4375</v>
      </c>
      <c r="I42" s="12">
        <v>0.02</v>
      </c>
      <c r="J42" s="12">
        <v>7.0000000000000007E-2</v>
      </c>
      <c r="K42" s="12">
        <f t="shared" si="3"/>
        <v>0.12396250000000002</v>
      </c>
      <c r="L42" s="12">
        <f t="shared" si="4"/>
        <v>0.65146250000000006</v>
      </c>
      <c r="M42" s="12"/>
      <c r="N42" s="12"/>
      <c r="O42" s="12">
        <f>L42*500</f>
        <v>325.73125000000005</v>
      </c>
      <c r="P42" s="12"/>
      <c r="Q42" s="12"/>
      <c r="R42" s="28">
        <f t="shared" si="8"/>
        <v>19.02834008097166</v>
      </c>
    </row>
    <row r="43" spans="1:18" ht="16.5" hidden="1" customHeight="1" x14ac:dyDescent="0.25">
      <c r="A43" s="17">
        <v>45513</v>
      </c>
      <c r="B43" s="10" t="s">
        <v>94</v>
      </c>
      <c r="C43" s="10">
        <v>350</v>
      </c>
      <c r="D43" s="19">
        <v>0.2</v>
      </c>
      <c r="E43" s="11">
        <v>0.23499999999999999</v>
      </c>
      <c r="F43" s="10">
        <f t="shared" si="0"/>
        <v>800</v>
      </c>
      <c r="G43" s="10">
        <f t="shared" si="1"/>
        <v>0.35</v>
      </c>
      <c r="H43" s="12">
        <f t="shared" si="2"/>
        <v>0.4375</v>
      </c>
      <c r="I43" s="12">
        <v>0.02</v>
      </c>
      <c r="J43" s="12">
        <v>7.0000000000000007E-2</v>
      </c>
      <c r="K43" s="12">
        <f t="shared" si="3"/>
        <v>0.12396250000000002</v>
      </c>
      <c r="L43" s="12">
        <f t="shared" si="4"/>
        <v>0.65146250000000006</v>
      </c>
      <c r="M43" s="12"/>
      <c r="N43" s="12"/>
      <c r="O43" s="12">
        <f>L43*500</f>
        <v>325.73125000000005</v>
      </c>
      <c r="P43" s="12"/>
      <c r="Q43" s="12"/>
      <c r="R43" s="28">
        <f t="shared" si="8"/>
        <v>19.02834008097166</v>
      </c>
    </row>
    <row r="44" spans="1:18" ht="16.5" hidden="1" customHeight="1" x14ac:dyDescent="0.25">
      <c r="A44" s="17">
        <v>45513</v>
      </c>
      <c r="B44" s="10" t="s">
        <v>106</v>
      </c>
      <c r="C44" s="10">
        <v>270</v>
      </c>
      <c r="D44" s="19">
        <v>0</v>
      </c>
      <c r="E44" s="11">
        <v>0.32</v>
      </c>
      <c r="F44" s="10">
        <f t="shared" si="0"/>
        <v>1000</v>
      </c>
      <c r="G44" s="10">
        <f t="shared" si="1"/>
        <v>0.27</v>
      </c>
      <c r="H44" s="12">
        <f t="shared" si="2"/>
        <v>0.27</v>
      </c>
      <c r="I44" s="12">
        <v>0.02</v>
      </c>
      <c r="J44" s="12">
        <v>7.0000000000000007E-2</v>
      </c>
      <c r="K44" s="12">
        <f t="shared" si="3"/>
        <v>0.11520000000000001</v>
      </c>
      <c r="L44" s="12">
        <f t="shared" si="4"/>
        <v>0.47520000000000007</v>
      </c>
      <c r="M44" s="12"/>
      <c r="N44" s="12"/>
      <c r="O44" s="12">
        <f>L44*500</f>
        <v>237.60000000000002</v>
      </c>
      <c r="P44" s="12"/>
      <c r="Q44" s="12"/>
      <c r="R44" s="28">
        <f t="shared" si="8"/>
        <v>24.242424242424239</v>
      </c>
    </row>
    <row r="45" spans="1:18" ht="16.5" hidden="1" customHeight="1" x14ac:dyDescent="0.25">
      <c r="A45" s="17">
        <v>45513</v>
      </c>
      <c r="B45" s="10" t="s">
        <v>111</v>
      </c>
      <c r="C45" s="10">
        <v>950</v>
      </c>
      <c r="D45" s="19">
        <v>0.31</v>
      </c>
      <c r="E45" s="11">
        <v>0.29499999999999998</v>
      </c>
      <c r="F45" s="10">
        <f t="shared" si="0"/>
        <v>690</v>
      </c>
      <c r="G45" s="10">
        <f t="shared" si="1"/>
        <v>0.95</v>
      </c>
      <c r="H45" s="12">
        <f t="shared" si="2"/>
        <v>1.3768115942028984</v>
      </c>
      <c r="I45" s="12">
        <v>0.02</v>
      </c>
      <c r="J45" s="12">
        <v>7.0000000000000007E-2</v>
      </c>
      <c r="K45" s="12">
        <f t="shared" si="3"/>
        <v>0.43270942028985504</v>
      </c>
      <c r="L45" s="12">
        <f t="shared" si="4"/>
        <v>1.8995210144927537</v>
      </c>
      <c r="M45" s="12">
        <f>L45*250</f>
        <v>474.88025362318842</v>
      </c>
      <c r="N45" s="12"/>
      <c r="O45" s="12"/>
      <c r="P45" s="12"/>
      <c r="Q45" s="12"/>
      <c r="R45" s="28">
        <f t="shared" si="8"/>
        <v>22.779922779922778</v>
      </c>
    </row>
    <row r="46" spans="1:18" ht="16.5" hidden="1" customHeight="1" x14ac:dyDescent="0.25">
      <c r="A46" s="17">
        <v>45513</v>
      </c>
      <c r="B46" s="10" t="s">
        <v>107</v>
      </c>
      <c r="C46" s="10">
        <v>400</v>
      </c>
      <c r="D46" s="19">
        <v>0</v>
      </c>
      <c r="E46" s="11">
        <v>0.20499999999999999</v>
      </c>
      <c r="F46" s="10">
        <f t="shared" si="0"/>
        <v>1000</v>
      </c>
      <c r="G46" s="10">
        <f t="shared" si="1"/>
        <v>0.4</v>
      </c>
      <c r="H46" s="12">
        <f t="shared" si="2"/>
        <v>0.4</v>
      </c>
      <c r="I46" s="12">
        <v>0.02</v>
      </c>
      <c r="J46" s="12">
        <v>7.0000000000000007E-2</v>
      </c>
      <c r="K46" s="12">
        <f t="shared" si="3"/>
        <v>0.10045</v>
      </c>
      <c r="L46" s="12">
        <f t="shared" si="4"/>
        <v>0.59045000000000003</v>
      </c>
      <c r="M46" s="12"/>
      <c r="N46" s="12"/>
      <c r="O46" s="12">
        <f>L46*500</f>
        <v>295.22500000000002</v>
      </c>
      <c r="P46" s="12"/>
      <c r="Q46" s="12"/>
      <c r="R46" s="28">
        <f t="shared" si="8"/>
        <v>17.012448132780083</v>
      </c>
    </row>
    <row r="47" spans="1:18" ht="16.5" hidden="1" customHeight="1" x14ac:dyDescent="0.25">
      <c r="A47" s="17">
        <v>45513</v>
      </c>
      <c r="B47" s="10" t="s">
        <v>108</v>
      </c>
      <c r="C47" s="10">
        <v>400</v>
      </c>
      <c r="D47" s="19">
        <v>0</v>
      </c>
      <c r="E47" s="11">
        <v>0.20499999999999999</v>
      </c>
      <c r="F47" s="10">
        <f t="shared" si="0"/>
        <v>1000</v>
      </c>
      <c r="G47" s="10">
        <f t="shared" si="1"/>
        <v>0.4</v>
      </c>
      <c r="H47" s="12">
        <f t="shared" si="2"/>
        <v>0.4</v>
      </c>
      <c r="I47" s="12">
        <v>0.02</v>
      </c>
      <c r="J47" s="12">
        <v>7.0000000000000007E-2</v>
      </c>
      <c r="K47" s="12">
        <f t="shared" si="3"/>
        <v>0.10045</v>
      </c>
      <c r="L47" s="12">
        <f t="shared" si="4"/>
        <v>0.59045000000000003</v>
      </c>
      <c r="M47" s="12"/>
      <c r="N47" s="12"/>
      <c r="O47" s="12">
        <f>L47*500</f>
        <v>295.22500000000002</v>
      </c>
      <c r="P47" s="12"/>
      <c r="Q47" s="12"/>
      <c r="R47" s="28">
        <f t="shared" si="8"/>
        <v>17.012448132780083</v>
      </c>
    </row>
    <row r="48" spans="1:18" ht="16.5" hidden="1" customHeight="1" x14ac:dyDescent="0.25">
      <c r="A48" s="17">
        <v>45514</v>
      </c>
      <c r="B48" s="10" t="s">
        <v>111</v>
      </c>
      <c r="C48" s="10">
        <v>950</v>
      </c>
      <c r="D48" s="19">
        <v>0.32</v>
      </c>
      <c r="E48" s="11">
        <v>0.28000000000000003</v>
      </c>
      <c r="F48" s="10">
        <f t="shared" si="0"/>
        <v>680</v>
      </c>
      <c r="G48" s="10">
        <f t="shared" si="1"/>
        <v>0.95</v>
      </c>
      <c r="H48" s="12">
        <f t="shared" si="2"/>
        <v>1.3970588235294117</v>
      </c>
      <c r="I48" s="12">
        <v>0.02</v>
      </c>
      <c r="J48" s="12">
        <v>7.0000000000000007E-2</v>
      </c>
      <c r="K48" s="12">
        <f t="shared" si="3"/>
        <v>0.41637647058823535</v>
      </c>
      <c r="L48" s="12">
        <f t="shared" si="4"/>
        <v>1.9034352941176471</v>
      </c>
      <c r="M48" s="12">
        <f>L48*250</f>
        <v>475.85882352941178</v>
      </c>
      <c r="N48" s="12"/>
      <c r="O48" s="12"/>
      <c r="P48" s="12"/>
      <c r="Q48" s="12"/>
      <c r="R48" s="28">
        <f t="shared" si="8"/>
        <v>21.875000000000004</v>
      </c>
    </row>
    <row r="49" spans="1:318" ht="16.5" hidden="1" customHeight="1" x14ac:dyDescent="0.25">
      <c r="A49" s="17">
        <v>45514</v>
      </c>
      <c r="B49" s="10" t="s">
        <v>112</v>
      </c>
      <c r="C49" s="10">
        <v>950</v>
      </c>
      <c r="D49" s="19">
        <v>0.32</v>
      </c>
      <c r="E49" s="11">
        <v>0.245</v>
      </c>
      <c r="F49" s="10">
        <f t="shared" si="0"/>
        <v>680</v>
      </c>
      <c r="G49" s="10">
        <f t="shared" si="1"/>
        <v>0.95</v>
      </c>
      <c r="H49" s="12">
        <f t="shared" si="2"/>
        <v>1.3970588235294117</v>
      </c>
      <c r="I49" s="12">
        <v>0.02</v>
      </c>
      <c r="J49" s="12">
        <v>7.0000000000000007E-2</v>
      </c>
      <c r="K49" s="12">
        <f t="shared" si="3"/>
        <v>0.3643294117647059</v>
      </c>
      <c r="L49" s="12">
        <f t="shared" si="4"/>
        <v>1.8513882352941176</v>
      </c>
      <c r="M49" s="12"/>
      <c r="N49" s="12"/>
      <c r="O49" s="12">
        <f>L49*500</f>
        <v>925.69411764705876</v>
      </c>
      <c r="P49" s="12"/>
      <c r="Q49" s="12"/>
      <c r="R49" s="28">
        <f t="shared" si="8"/>
        <v>19.678714859437754</v>
      </c>
    </row>
    <row r="50" spans="1:318" ht="16.5" hidden="1" customHeight="1" x14ac:dyDescent="0.25">
      <c r="A50" s="17">
        <v>45514</v>
      </c>
      <c r="B50" s="10" t="s">
        <v>114</v>
      </c>
      <c r="C50" s="10">
        <v>700</v>
      </c>
      <c r="D50" s="19">
        <v>0.59</v>
      </c>
      <c r="E50" s="11">
        <v>0.28000000000000003</v>
      </c>
      <c r="F50" s="10">
        <f t="shared" si="0"/>
        <v>410</v>
      </c>
      <c r="G50" s="10">
        <f t="shared" si="1"/>
        <v>0.7</v>
      </c>
      <c r="H50" s="12">
        <f t="shared" si="2"/>
        <v>1.7073170731707317</v>
      </c>
      <c r="I50" s="12">
        <v>0.02</v>
      </c>
      <c r="J50" s="12">
        <v>7.0000000000000007E-2</v>
      </c>
      <c r="K50" s="12">
        <f t="shared" si="3"/>
        <v>0.50324878048780497</v>
      </c>
      <c r="L50" s="12">
        <f t="shared" si="4"/>
        <v>2.3005658536585365</v>
      </c>
      <c r="M50" s="12">
        <f>L50*250</f>
        <v>575.14146341463413</v>
      </c>
      <c r="N50" s="12"/>
      <c r="O50" s="12"/>
      <c r="P50" s="12"/>
      <c r="Q50" s="12"/>
      <c r="R50" s="28">
        <f t="shared" si="8"/>
        <v>21.875000000000004</v>
      </c>
    </row>
    <row r="51" spans="1:318" ht="16.5" hidden="1" customHeight="1" x14ac:dyDescent="0.25">
      <c r="A51" s="17">
        <v>45514</v>
      </c>
      <c r="B51" s="10" t="s">
        <v>110</v>
      </c>
      <c r="C51" s="10">
        <v>130</v>
      </c>
      <c r="D51" s="19">
        <v>0</v>
      </c>
      <c r="E51" s="11">
        <v>0.3</v>
      </c>
      <c r="F51" s="10">
        <f t="shared" si="0"/>
        <v>1000</v>
      </c>
      <c r="G51" s="10">
        <f t="shared" si="1"/>
        <v>0.13</v>
      </c>
      <c r="H51" s="12">
        <f t="shared" si="2"/>
        <v>0.13</v>
      </c>
      <c r="I51" s="12">
        <v>0.02</v>
      </c>
      <c r="J51" s="12">
        <v>7.0000000000000007E-2</v>
      </c>
      <c r="K51" s="12">
        <f t="shared" si="3"/>
        <v>6.6000000000000003E-2</v>
      </c>
      <c r="L51" s="12">
        <f t="shared" si="4"/>
        <v>0.28600000000000003</v>
      </c>
      <c r="M51" s="12"/>
      <c r="N51" s="12"/>
      <c r="O51" s="12">
        <f>L51*500</f>
        <v>143.00000000000003</v>
      </c>
      <c r="P51" s="12"/>
      <c r="Q51" s="12"/>
      <c r="R51" s="28">
        <f t="shared" si="8"/>
        <v>23.076923076923077</v>
      </c>
    </row>
    <row r="52" spans="1:318" s="2" customFormat="1" ht="16.5" hidden="1" customHeight="1" x14ac:dyDescent="0.25">
      <c r="A52" s="17">
        <v>45514</v>
      </c>
      <c r="B52" s="10" t="s">
        <v>106</v>
      </c>
      <c r="C52" s="10">
        <v>280</v>
      </c>
      <c r="D52" s="19">
        <v>0</v>
      </c>
      <c r="E52" s="11">
        <v>0.32500000000000001</v>
      </c>
      <c r="F52" s="10">
        <f t="shared" si="0"/>
        <v>1000</v>
      </c>
      <c r="G52" s="10">
        <f t="shared" si="1"/>
        <v>0.28000000000000003</v>
      </c>
      <c r="H52" s="12">
        <f t="shared" si="2"/>
        <v>0.28000000000000003</v>
      </c>
      <c r="I52" s="12">
        <v>0.02</v>
      </c>
      <c r="J52" s="12">
        <v>7.0000000000000007E-2</v>
      </c>
      <c r="K52" s="12">
        <f t="shared" si="3"/>
        <v>0.12025000000000002</v>
      </c>
      <c r="L52" s="12">
        <f t="shared" si="4"/>
        <v>0.49025000000000007</v>
      </c>
      <c r="M52" s="12"/>
      <c r="N52" s="12"/>
      <c r="O52" s="12">
        <f>L52*500</f>
        <v>245.12500000000003</v>
      </c>
      <c r="P52" s="12"/>
      <c r="Q52" s="12"/>
      <c r="R52" s="28">
        <f t="shared" si="8"/>
        <v>24.528301886792455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</row>
    <row r="53" spans="1:318" s="2" customFormat="1" ht="16.5" hidden="1" customHeight="1" x14ac:dyDescent="0.25">
      <c r="A53" s="17">
        <v>45514</v>
      </c>
      <c r="B53" s="10" t="s">
        <v>92</v>
      </c>
      <c r="C53" s="10">
        <v>400</v>
      </c>
      <c r="D53" s="19">
        <v>0</v>
      </c>
      <c r="E53" s="11">
        <v>0.2</v>
      </c>
      <c r="F53" s="10">
        <f t="shared" si="0"/>
        <v>1000</v>
      </c>
      <c r="G53" s="10">
        <f t="shared" si="1"/>
        <v>0.4</v>
      </c>
      <c r="H53" s="12">
        <f t="shared" si="2"/>
        <v>0.4</v>
      </c>
      <c r="I53" s="12">
        <v>0.02</v>
      </c>
      <c r="J53" s="12">
        <v>7.0000000000000007E-2</v>
      </c>
      <c r="K53" s="12">
        <f t="shared" si="3"/>
        <v>9.8000000000000018E-2</v>
      </c>
      <c r="L53" s="12">
        <f t="shared" si="4"/>
        <v>0.58800000000000008</v>
      </c>
      <c r="M53" s="12"/>
      <c r="N53" s="12"/>
      <c r="O53" s="12">
        <f>L53*500</f>
        <v>294.00000000000006</v>
      </c>
      <c r="P53" s="12"/>
      <c r="Q53" s="12"/>
      <c r="R53" s="28">
        <f t="shared" si="8"/>
        <v>16.666666666666668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</row>
    <row r="54" spans="1:318" ht="16.5" hidden="1" customHeight="1" x14ac:dyDescent="0.25">
      <c r="A54" s="17">
        <v>45515</v>
      </c>
      <c r="B54" s="10" t="s">
        <v>116</v>
      </c>
      <c r="C54" s="10">
        <v>485</v>
      </c>
      <c r="D54" s="19">
        <v>0</v>
      </c>
      <c r="E54" s="11">
        <v>0.3</v>
      </c>
      <c r="F54" s="10">
        <f t="shared" si="0"/>
        <v>1000</v>
      </c>
      <c r="G54" s="10">
        <f t="shared" si="1"/>
        <v>0.48499999999999999</v>
      </c>
      <c r="H54" s="12">
        <f t="shared" si="2"/>
        <v>0.48499999999999999</v>
      </c>
      <c r="I54" s="12">
        <v>0.02</v>
      </c>
      <c r="J54" s="12">
        <v>7.0000000000000007E-2</v>
      </c>
      <c r="K54" s="12">
        <f t="shared" si="3"/>
        <v>0.17249999999999999</v>
      </c>
      <c r="L54" s="12">
        <f t="shared" si="4"/>
        <v>0.74749999999999994</v>
      </c>
      <c r="M54" s="12"/>
      <c r="N54" s="12"/>
      <c r="O54" s="12">
        <f>L54*500</f>
        <v>373.74999999999994</v>
      </c>
      <c r="P54" s="12"/>
      <c r="Q54" s="12"/>
      <c r="R54" s="28">
        <f t="shared" si="8"/>
        <v>23.076923076923077</v>
      </c>
    </row>
    <row r="55" spans="1:318" ht="16.5" hidden="1" customHeight="1" x14ac:dyDescent="0.25">
      <c r="A55" s="17">
        <v>45515</v>
      </c>
      <c r="B55" s="10" t="s">
        <v>102</v>
      </c>
      <c r="C55" s="10">
        <v>550</v>
      </c>
      <c r="D55" s="19">
        <v>0.62</v>
      </c>
      <c r="E55" s="11">
        <v>0.3</v>
      </c>
      <c r="F55" s="10">
        <f t="shared" si="0"/>
        <v>380</v>
      </c>
      <c r="G55" s="10">
        <f t="shared" si="1"/>
        <v>0.55000000000000004</v>
      </c>
      <c r="H55" s="12">
        <f t="shared" si="2"/>
        <v>1.4473684210526316</v>
      </c>
      <c r="I55" s="12">
        <v>0.02</v>
      </c>
      <c r="J55" s="12">
        <v>7.0000000000000007E-2</v>
      </c>
      <c r="K55" s="12">
        <f t="shared" si="3"/>
        <v>0.46121052631578952</v>
      </c>
      <c r="L55" s="12">
        <f t="shared" si="4"/>
        <v>1.9985789473684212</v>
      </c>
      <c r="M55" s="12">
        <f>L55*250</f>
        <v>499.64473684210532</v>
      </c>
      <c r="N55" s="12"/>
      <c r="O55" s="12"/>
      <c r="P55" s="12"/>
      <c r="Q55" s="12"/>
      <c r="R55" s="28">
        <f t="shared" si="8"/>
        <v>23.076923076923077</v>
      </c>
    </row>
    <row r="56" spans="1:318" ht="16.5" hidden="1" customHeight="1" x14ac:dyDescent="0.25">
      <c r="A56" s="17" t="s">
        <v>117</v>
      </c>
      <c r="B56" s="10" t="s">
        <v>95</v>
      </c>
      <c r="C56" s="10">
        <v>350</v>
      </c>
      <c r="D56" s="19">
        <v>0.08</v>
      </c>
      <c r="E56" s="11">
        <v>0.255</v>
      </c>
      <c r="F56" s="10">
        <f t="shared" si="0"/>
        <v>920</v>
      </c>
      <c r="G56" s="10">
        <f t="shared" si="1"/>
        <v>0.35</v>
      </c>
      <c r="H56" s="12">
        <f t="shared" si="2"/>
        <v>0.38043478260869568</v>
      </c>
      <c r="I56" s="12">
        <v>0.02</v>
      </c>
      <c r="J56" s="12">
        <v>7.0000000000000007E-2</v>
      </c>
      <c r="K56" s="12">
        <f t="shared" si="3"/>
        <v>0.11996086956521741</v>
      </c>
      <c r="L56" s="12">
        <f t="shared" si="4"/>
        <v>0.5903956521739131</v>
      </c>
      <c r="M56" s="12"/>
      <c r="N56" s="12"/>
      <c r="O56" s="12">
        <f t="shared" ref="O56:O61" si="9">L56*500</f>
        <v>295.19782608695652</v>
      </c>
      <c r="P56" s="12"/>
      <c r="Q56" s="12"/>
      <c r="R56" s="28">
        <f t="shared" si="8"/>
        <v>20.318725099601593</v>
      </c>
    </row>
    <row r="57" spans="1:318" ht="16.5" hidden="1" customHeight="1" x14ac:dyDescent="0.25">
      <c r="A57" s="17" t="s">
        <v>117</v>
      </c>
      <c r="B57" s="10" t="s">
        <v>94</v>
      </c>
      <c r="C57" s="10">
        <v>350</v>
      </c>
      <c r="D57" s="19">
        <v>0.08</v>
      </c>
      <c r="E57" s="11">
        <v>0.255</v>
      </c>
      <c r="F57" s="10">
        <f t="shared" si="0"/>
        <v>920</v>
      </c>
      <c r="G57" s="10">
        <f t="shared" si="1"/>
        <v>0.35</v>
      </c>
      <c r="H57" s="12">
        <f t="shared" si="2"/>
        <v>0.38043478260869568</v>
      </c>
      <c r="I57" s="12">
        <v>0.02</v>
      </c>
      <c r="J57" s="12">
        <v>7.0000000000000007E-2</v>
      </c>
      <c r="K57" s="12">
        <f t="shared" si="3"/>
        <v>0.11996086956521741</v>
      </c>
      <c r="L57" s="12">
        <f t="shared" si="4"/>
        <v>0.5903956521739131</v>
      </c>
      <c r="M57" s="12"/>
      <c r="N57" s="12"/>
      <c r="O57" s="12">
        <f t="shared" si="9"/>
        <v>295.19782608695652</v>
      </c>
      <c r="P57" s="12"/>
      <c r="Q57" s="12"/>
      <c r="R57" s="28">
        <f t="shared" si="8"/>
        <v>20.318725099601593</v>
      </c>
    </row>
    <row r="58" spans="1:318" ht="16.5" hidden="1" customHeight="1" x14ac:dyDescent="0.25">
      <c r="A58" s="17">
        <v>45515</v>
      </c>
      <c r="B58" s="10" t="s">
        <v>110</v>
      </c>
      <c r="C58" s="10">
        <v>140</v>
      </c>
      <c r="D58" s="19">
        <v>0</v>
      </c>
      <c r="E58" s="11">
        <v>0.26500000000000001</v>
      </c>
      <c r="F58" s="10">
        <f t="shared" si="0"/>
        <v>1000</v>
      </c>
      <c r="G58" s="10">
        <f t="shared" si="1"/>
        <v>0.14000000000000001</v>
      </c>
      <c r="H58" s="12">
        <f t="shared" si="2"/>
        <v>0.14000000000000001</v>
      </c>
      <c r="I58" s="12">
        <v>0.02</v>
      </c>
      <c r="J58" s="12">
        <v>7.0000000000000007E-2</v>
      </c>
      <c r="K58" s="12">
        <f t="shared" si="3"/>
        <v>6.0950000000000004E-2</v>
      </c>
      <c r="L58" s="12">
        <f t="shared" si="4"/>
        <v>0.29095000000000004</v>
      </c>
      <c r="M58" s="12"/>
      <c r="N58" s="12"/>
      <c r="O58" s="12">
        <f t="shared" si="9"/>
        <v>145.47500000000002</v>
      </c>
      <c r="P58" s="12"/>
      <c r="Q58" s="12"/>
      <c r="R58" s="28">
        <f t="shared" si="8"/>
        <v>20.948616600790512</v>
      </c>
    </row>
    <row r="59" spans="1:318" ht="16.5" hidden="1" customHeight="1" x14ac:dyDescent="0.25">
      <c r="A59" s="17">
        <v>45515</v>
      </c>
      <c r="B59" s="10" t="s">
        <v>90</v>
      </c>
      <c r="C59" s="10">
        <v>310</v>
      </c>
      <c r="D59" s="19">
        <v>0.21</v>
      </c>
      <c r="E59" s="11">
        <v>0.22500000000000001</v>
      </c>
      <c r="F59" s="10">
        <f t="shared" si="0"/>
        <v>790</v>
      </c>
      <c r="G59" s="10">
        <f t="shared" si="1"/>
        <v>0.31</v>
      </c>
      <c r="H59" s="12">
        <f t="shared" si="2"/>
        <v>0.39240506329113922</v>
      </c>
      <c r="I59" s="12">
        <v>0.02</v>
      </c>
      <c r="J59" s="12">
        <v>7.0000000000000007E-2</v>
      </c>
      <c r="K59" s="12">
        <f t="shared" si="3"/>
        <v>0.10854113924050633</v>
      </c>
      <c r="L59" s="12">
        <f t="shared" si="4"/>
        <v>0.59094620253164554</v>
      </c>
      <c r="M59" s="12"/>
      <c r="N59" s="12"/>
      <c r="O59" s="12">
        <f t="shared" si="9"/>
        <v>295.47310126582278</v>
      </c>
      <c r="P59" s="12"/>
      <c r="Q59" s="12"/>
      <c r="R59" s="28">
        <f t="shared" si="8"/>
        <v>18.367346938775512</v>
      </c>
    </row>
    <row r="60" spans="1:318" ht="16.5" hidden="1" customHeight="1" x14ac:dyDescent="0.25">
      <c r="A60" s="17">
        <v>45515</v>
      </c>
      <c r="B60" s="10" t="s">
        <v>91</v>
      </c>
      <c r="C60" s="10">
        <v>310</v>
      </c>
      <c r="D60" s="19">
        <v>0.21</v>
      </c>
      <c r="E60" s="11">
        <v>0.35</v>
      </c>
      <c r="F60" s="10">
        <f t="shared" si="0"/>
        <v>790</v>
      </c>
      <c r="G60" s="10">
        <f t="shared" si="1"/>
        <v>0.31</v>
      </c>
      <c r="H60" s="12">
        <f t="shared" si="2"/>
        <v>0.39240506329113922</v>
      </c>
      <c r="I60" s="12">
        <v>0.02</v>
      </c>
      <c r="J60" s="12">
        <v>7.0000000000000007E-2</v>
      </c>
      <c r="K60" s="12">
        <f t="shared" si="3"/>
        <v>0.16884177215189872</v>
      </c>
      <c r="L60" s="12">
        <f t="shared" si="4"/>
        <v>0.65124683544303796</v>
      </c>
      <c r="M60" s="12"/>
      <c r="N60" s="12"/>
      <c r="O60" s="12">
        <f t="shared" si="9"/>
        <v>325.62341772151899</v>
      </c>
      <c r="P60" s="12"/>
      <c r="Q60" s="12"/>
      <c r="R60" s="28">
        <f t="shared" si="8"/>
        <v>25.925925925925924</v>
      </c>
    </row>
    <row r="61" spans="1:318" ht="16.5" hidden="1" customHeight="1" x14ac:dyDescent="0.25">
      <c r="A61" s="17">
        <v>45515</v>
      </c>
      <c r="B61" s="10" t="s">
        <v>93</v>
      </c>
      <c r="C61" s="10">
        <v>500</v>
      </c>
      <c r="D61" s="19">
        <v>0</v>
      </c>
      <c r="E61" s="11">
        <v>0.34</v>
      </c>
      <c r="F61" s="10">
        <f t="shared" si="0"/>
        <v>1000</v>
      </c>
      <c r="G61" s="10">
        <f t="shared" si="1"/>
        <v>0.5</v>
      </c>
      <c r="H61" s="12">
        <f t="shared" si="2"/>
        <v>0.5</v>
      </c>
      <c r="I61" s="12">
        <v>0.02</v>
      </c>
      <c r="J61" s="12">
        <v>7.0000000000000007E-2</v>
      </c>
      <c r="K61" s="12">
        <f t="shared" si="3"/>
        <v>0.20060000000000003</v>
      </c>
      <c r="L61" s="12">
        <f t="shared" si="4"/>
        <v>0.79060000000000008</v>
      </c>
      <c r="M61" s="12"/>
      <c r="N61" s="12"/>
      <c r="O61" s="12">
        <f t="shared" si="9"/>
        <v>395.30000000000007</v>
      </c>
      <c r="P61" s="12"/>
      <c r="Q61" s="12"/>
      <c r="R61" s="28">
        <f t="shared" si="8"/>
        <v>25.373134328358208</v>
      </c>
    </row>
    <row r="62" spans="1:318" ht="16.5" hidden="1" customHeight="1" x14ac:dyDescent="0.25">
      <c r="A62" s="17">
        <v>45517</v>
      </c>
      <c r="B62" s="10" t="s">
        <v>118</v>
      </c>
      <c r="C62" s="10">
        <v>270</v>
      </c>
      <c r="D62" s="19">
        <v>0.36</v>
      </c>
      <c r="E62" s="11">
        <v>0.3</v>
      </c>
      <c r="F62" s="10">
        <f t="shared" si="0"/>
        <v>640</v>
      </c>
      <c r="G62" s="10">
        <f t="shared" si="1"/>
        <v>0.27</v>
      </c>
      <c r="H62" s="12">
        <f t="shared" si="2"/>
        <v>0.421875</v>
      </c>
      <c r="I62" s="12">
        <v>0.02</v>
      </c>
      <c r="J62" s="12">
        <v>7.0000000000000007E-2</v>
      </c>
      <c r="K62" s="12">
        <f t="shared" si="3"/>
        <v>0.15356250000000002</v>
      </c>
      <c r="L62" s="12">
        <f t="shared" si="4"/>
        <v>0.66543750000000013</v>
      </c>
      <c r="M62" s="12">
        <f>L62*250</f>
        <v>166.35937500000003</v>
      </c>
      <c r="N62" s="12"/>
      <c r="O62" s="12"/>
      <c r="P62" s="12"/>
      <c r="Q62" s="12"/>
      <c r="R62" s="28">
        <f t="shared" si="8"/>
        <v>23.076923076923073</v>
      </c>
    </row>
    <row r="63" spans="1:318" ht="16.5" hidden="1" customHeight="1" x14ac:dyDescent="0.25">
      <c r="A63" s="17">
        <v>45517</v>
      </c>
      <c r="B63" s="10" t="s">
        <v>92</v>
      </c>
      <c r="C63" s="10">
        <v>400</v>
      </c>
      <c r="D63" s="19">
        <v>0.06</v>
      </c>
      <c r="E63" s="11">
        <v>0.14499999999999999</v>
      </c>
      <c r="F63" s="10">
        <f t="shared" si="0"/>
        <v>940</v>
      </c>
      <c r="G63" s="10">
        <f t="shared" si="1"/>
        <v>0.4</v>
      </c>
      <c r="H63" s="12">
        <f t="shared" si="2"/>
        <v>0.42553191489361702</v>
      </c>
      <c r="I63" s="12">
        <v>0.02</v>
      </c>
      <c r="J63" s="12">
        <v>7.0000000000000007E-2</v>
      </c>
      <c r="K63" s="12">
        <f t="shared" si="3"/>
        <v>7.4752127659574466E-2</v>
      </c>
      <c r="L63" s="12">
        <f t="shared" si="4"/>
        <v>0.59028404255319156</v>
      </c>
      <c r="M63" s="12"/>
      <c r="N63" s="12"/>
      <c r="O63" s="12">
        <f t="shared" ref="O63:O69" si="10">L63*500</f>
        <v>295.14202127659576</v>
      </c>
      <c r="P63" s="12"/>
      <c r="Q63" s="12"/>
      <c r="R63" s="28">
        <f t="shared" si="8"/>
        <v>12.663755458515283</v>
      </c>
    </row>
    <row r="64" spans="1:318" ht="16.5" hidden="1" customHeight="1" x14ac:dyDescent="0.25">
      <c r="A64" s="17">
        <v>45517</v>
      </c>
      <c r="B64" s="10" t="s">
        <v>90</v>
      </c>
      <c r="C64" s="10">
        <v>300</v>
      </c>
      <c r="D64" s="19">
        <v>0.24</v>
      </c>
      <c r="E64" s="11">
        <v>0.22</v>
      </c>
      <c r="F64" s="10">
        <f t="shared" si="0"/>
        <v>760</v>
      </c>
      <c r="G64" s="10">
        <f t="shared" si="1"/>
        <v>0.3</v>
      </c>
      <c r="H64" s="12">
        <f t="shared" si="2"/>
        <v>0.39473684210526316</v>
      </c>
      <c r="I64" s="12">
        <v>0.02</v>
      </c>
      <c r="J64" s="12">
        <v>7.0000000000000007E-2</v>
      </c>
      <c r="K64" s="12">
        <f t="shared" si="3"/>
        <v>0.1066421052631579</v>
      </c>
      <c r="L64" s="12">
        <f t="shared" si="4"/>
        <v>0.59137894736842112</v>
      </c>
      <c r="M64" s="12"/>
      <c r="N64" s="12"/>
      <c r="O64" s="12">
        <f t="shared" si="10"/>
        <v>295.68947368421055</v>
      </c>
      <c r="P64" s="12"/>
      <c r="Q64" s="12"/>
      <c r="R64" s="28">
        <f t="shared" si="8"/>
        <v>18.032786885245901</v>
      </c>
    </row>
    <row r="65" spans="1:25" ht="16.5" hidden="1" customHeight="1" x14ac:dyDescent="0.25">
      <c r="A65" s="17">
        <v>45517</v>
      </c>
      <c r="B65" s="10" t="s">
        <v>91</v>
      </c>
      <c r="C65" s="10">
        <v>300</v>
      </c>
      <c r="D65" s="19">
        <v>0.24</v>
      </c>
      <c r="E65" s="11">
        <v>0.34200000000000003</v>
      </c>
      <c r="F65" s="10">
        <f t="shared" si="0"/>
        <v>760</v>
      </c>
      <c r="G65" s="10">
        <f t="shared" si="1"/>
        <v>0.3</v>
      </c>
      <c r="H65" s="12">
        <f t="shared" si="2"/>
        <v>0.39473684210526316</v>
      </c>
      <c r="I65" s="12">
        <v>0.02</v>
      </c>
      <c r="J65" s="12">
        <v>7.0000000000000007E-2</v>
      </c>
      <c r="K65" s="12">
        <f t="shared" si="3"/>
        <v>0.16578000000000001</v>
      </c>
      <c r="L65" s="12">
        <f t="shared" si="4"/>
        <v>0.65051684210526317</v>
      </c>
      <c r="M65" s="12"/>
      <c r="N65" s="12"/>
      <c r="O65" s="12">
        <f t="shared" si="10"/>
        <v>325.2584210526316</v>
      </c>
      <c r="P65" s="12"/>
      <c r="Q65" s="12"/>
      <c r="R65" s="28">
        <f t="shared" si="8"/>
        <v>25.484351713859912</v>
      </c>
    </row>
    <row r="66" spans="1:25" ht="16.5" hidden="1" customHeight="1" x14ac:dyDescent="0.25">
      <c r="A66" s="17">
        <v>45517</v>
      </c>
      <c r="B66" s="10" t="s">
        <v>93</v>
      </c>
      <c r="C66" s="10">
        <v>580</v>
      </c>
      <c r="D66" s="19">
        <v>0</v>
      </c>
      <c r="E66" s="11">
        <v>0.18</v>
      </c>
      <c r="F66" s="10">
        <f t="shared" si="0"/>
        <v>1000</v>
      </c>
      <c r="G66" s="10">
        <f t="shared" si="1"/>
        <v>0.57999999999999996</v>
      </c>
      <c r="H66" s="12">
        <f t="shared" si="2"/>
        <v>0.57999999999999996</v>
      </c>
      <c r="I66" s="12">
        <v>0.02</v>
      </c>
      <c r="J66" s="12">
        <v>7.0000000000000007E-2</v>
      </c>
      <c r="K66" s="12">
        <f t="shared" si="3"/>
        <v>0.12059999999999998</v>
      </c>
      <c r="L66" s="12">
        <f t="shared" si="4"/>
        <v>0.79059999999999997</v>
      </c>
      <c r="M66" s="12"/>
      <c r="N66" s="12"/>
      <c r="O66" s="12">
        <f t="shared" si="10"/>
        <v>395.3</v>
      </c>
      <c r="P66" s="12"/>
      <c r="Q66" s="12"/>
      <c r="R66" s="28">
        <f t="shared" si="8"/>
        <v>15.254237288135592</v>
      </c>
    </row>
    <row r="67" spans="1:25" ht="16.5" hidden="1" customHeight="1" x14ac:dyDescent="0.25">
      <c r="A67" s="17">
        <v>45518</v>
      </c>
      <c r="B67" s="10" t="s">
        <v>40</v>
      </c>
      <c r="C67" s="10">
        <v>160</v>
      </c>
      <c r="D67" s="19">
        <v>0</v>
      </c>
      <c r="E67" s="11"/>
      <c r="F67" s="10">
        <f t="shared" si="0"/>
        <v>1000</v>
      </c>
      <c r="G67" s="10">
        <f t="shared" si="1"/>
        <v>0.16</v>
      </c>
      <c r="H67" s="12">
        <f t="shared" si="2"/>
        <v>0.16</v>
      </c>
      <c r="I67" s="12">
        <v>0.02</v>
      </c>
      <c r="J67" s="12">
        <v>7.0000000000000007E-2</v>
      </c>
      <c r="K67" s="12">
        <f t="shared" si="3"/>
        <v>0</v>
      </c>
      <c r="L67" s="12">
        <f t="shared" si="4"/>
        <v>0.25</v>
      </c>
      <c r="M67" s="12"/>
      <c r="N67" s="12"/>
      <c r="O67" s="12">
        <f t="shared" si="10"/>
        <v>125</v>
      </c>
      <c r="P67" s="12"/>
      <c r="Q67" s="12"/>
      <c r="R67" s="28">
        <f t="shared" si="8"/>
        <v>0</v>
      </c>
    </row>
    <row r="68" spans="1:25" ht="16.5" hidden="1" customHeight="1" x14ac:dyDescent="0.25">
      <c r="A68" s="17">
        <v>45518</v>
      </c>
      <c r="B68" s="10" t="s">
        <v>90</v>
      </c>
      <c r="C68" s="10">
        <v>290</v>
      </c>
      <c r="D68" s="19">
        <v>0.24</v>
      </c>
      <c r="E68" s="11">
        <v>0.252</v>
      </c>
      <c r="F68" s="10">
        <f t="shared" si="0"/>
        <v>760</v>
      </c>
      <c r="G68" s="10">
        <f t="shared" si="1"/>
        <v>0.28999999999999998</v>
      </c>
      <c r="H68" s="12">
        <f t="shared" si="2"/>
        <v>0.38157894736842107</v>
      </c>
      <c r="I68" s="12">
        <v>0.02</v>
      </c>
      <c r="J68" s="12">
        <v>7.0000000000000007E-2</v>
      </c>
      <c r="K68" s="12">
        <f t="shared" si="3"/>
        <v>0.11883789473684211</v>
      </c>
      <c r="L68" s="12">
        <f t="shared" si="4"/>
        <v>0.59041684210526324</v>
      </c>
      <c r="M68" s="12"/>
      <c r="N68" s="12"/>
      <c r="O68" s="12">
        <f t="shared" si="10"/>
        <v>295.20842105263159</v>
      </c>
      <c r="P68" s="12"/>
      <c r="Q68" s="12"/>
      <c r="R68" s="28">
        <f t="shared" si="8"/>
        <v>20.127795527156547</v>
      </c>
    </row>
    <row r="69" spans="1:25" ht="16.5" hidden="1" customHeight="1" x14ac:dyDescent="0.25">
      <c r="A69" s="17">
        <v>45518</v>
      </c>
      <c r="B69" s="10" t="s">
        <v>91</v>
      </c>
      <c r="C69" s="10">
        <v>290</v>
      </c>
      <c r="D69" s="19">
        <v>0.24</v>
      </c>
      <c r="E69" s="11">
        <v>0.38</v>
      </c>
      <c r="F69" s="10">
        <f t="shared" si="0"/>
        <v>760</v>
      </c>
      <c r="G69" s="10">
        <f t="shared" si="1"/>
        <v>0.28999999999999998</v>
      </c>
      <c r="H69" s="12">
        <f t="shared" si="2"/>
        <v>0.38157894736842107</v>
      </c>
      <c r="I69" s="12">
        <v>0.02</v>
      </c>
      <c r="J69" s="12">
        <v>7.0000000000000007E-2</v>
      </c>
      <c r="K69" s="12">
        <f t="shared" si="3"/>
        <v>0.17920000000000003</v>
      </c>
      <c r="L69" s="12">
        <f t="shared" si="4"/>
        <v>0.65077894736842112</v>
      </c>
      <c r="M69" s="12"/>
      <c r="N69" s="12"/>
      <c r="O69" s="12">
        <f t="shared" si="10"/>
        <v>325.38947368421054</v>
      </c>
      <c r="P69" s="12"/>
      <c r="Q69" s="12"/>
      <c r="R69" s="28"/>
    </row>
    <row r="70" spans="1:25" ht="16.5" hidden="1" customHeight="1" x14ac:dyDescent="0.25">
      <c r="A70" s="17">
        <v>45518</v>
      </c>
      <c r="B70" s="10" t="s">
        <v>111</v>
      </c>
      <c r="C70" s="10">
        <v>850</v>
      </c>
      <c r="D70" s="19">
        <v>0.41</v>
      </c>
      <c r="E70" s="11">
        <v>0.24199999999999999</v>
      </c>
      <c r="F70" s="10">
        <f t="shared" si="0"/>
        <v>590</v>
      </c>
      <c r="G70" s="10">
        <f t="shared" si="1"/>
        <v>0.85</v>
      </c>
      <c r="H70" s="12">
        <f t="shared" si="2"/>
        <v>1.4406779661016949</v>
      </c>
      <c r="I70" s="12">
        <v>0.02</v>
      </c>
      <c r="J70" s="12">
        <v>7.0000000000000007E-2</v>
      </c>
      <c r="K70" s="12">
        <f t="shared" si="3"/>
        <v>0.37042406779661019</v>
      </c>
      <c r="L70" s="12">
        <f t="shared" si="4"/>
        <v>1.9011020338983051</v>
      </c>
      <c r="M70" s="12">
        <f>L70*250</f>
        <v>475.27550847457627</v>
      </c>
      <c r="N70" s="12"/>
      <c r="O70" s="12" t="s">
        <v>72</v>
      </c>
      <c r="P70" s="12"/>
      <c r="Q70" s="12"/>
      <c r="R70" s="28">
        <f t="shared" ref="R70:R112" si="11">K70/L70%</f>
        <v>19.484702093397747</v>
      </c>
    </row>
    <row r="71" spans="1:25" ht="16.5" hidden="1" customHeight="1" x14ac:dyDescent="0.25">
      <c r="A71" s="17">
        <v>45518</v>
      </c>
      <c r="B71" s="10" t="s">
        <v>112</v>
      </c>
      <c r="C71" s="10">
        <v>850</v>
      </c>
      <c r="D71" s="19">
        <v>0.41</v>
      </c>
      <c r="E71" s="11">
        <v>0.17</v>
      </c>
      <c r="F71" s="10">
        <f t="shared" si="0"/>
        <v>590</v>
      </c>
      <c r="G71" s="10">
        <f t="shared" si="1"/>
        <v>0.85</v>
      </c>
      <c r="H71" s="12">
        <f t="shared" si="2"/>
        <v>1.4406779661016949</v>
      </c>
      <c r="I71" s="12">
        <v>0.02</v>
      </c>
      <c r="J71" s="12">
        <v>7.0000000000000007E-2</v>
      </c>
      <c r="K71" s="12">
        <f t="shared" si="3"/>
        <v>0.26021525423728814</v>
      </c>
      <c r="L71" s="12">
        <f t="shared" si="4"/>
        <v>1.7908932203389831</v>
      </c>
      <c r="M71" s="12" t="s">
        <v>72</v>
      </c>
      <c r="N71" s="12"/>
      <c r="O71" s="12">
        <f>L71*500</f>
        <v>895.44661016949158</v>
      </c>
      <c r="P71" s="12"/>
      <c r="Q71" s="12"/>
      <c r="R71" s="28">
        <f t="shared" si="11"/>
        <v>14.52991452991453</v>
      </c>
    </row>
    <row r="72" spans="1:25" ht="16.5" hidden="1" customHeight="1" x14ac:dyDescent="0.25">
      <c r="A72" s="17">
        <v>45518</v>
      </c>
      <c r="B72" s="10" t="s">
        <v>113</v>
      </c>
      <c r="C72" s="10">
        <v>850</v>
      </c>
      <c r="D72" s="19">
        <v>0.41</v>
      </c>
      <c r="E72" s="11">
        <v>0.372</v>
      </c>
      <c r="F72" s="10">
        <f t="shared" ref="F72:F135" si="12">1000-1000*D72</f>
        <v>590</v>
      </c>
      <c r="G72" s="10">
        <f t="shared" ref="G72:G135" si="13">C72/1000</f>
        <v>0.85</v>
      </c>
      <c r="H72" s="12">
        <f t="shared" ref="H72:H135" si="14">C72/F72</f>
        <v>1.4406779661016949</v>
      </c>
      <c r="I72" s="12">
        <v>0.02</v>
      </c>
      <c r="J72" s="12">
        <v>7.0000000000000007E-2</v>
      </c>
      <c r="K72" s="12">
        <f t="shared" ref="K72:K135" si="15">SUM(H72:J72)*E72</f>
        <v>0.56941220338983056</v>
      </c>
      <c r="L72" s="12">
        <f t="shared" ref="L72:L135" si="16">SUM(H72:K72)</f>
        <v>2.1000901694915255</v>
      </c>
      <c r="M72" s="12">
        <f>L72*250</f>
        <v>525.02254237288139</v>
      </c>
      <c r="N72" s="12"/>
      <c r="O72" s="12" t="s">
        <v>72</v>
      </c>
      <c r="P72" s="12"/>
      <c r="Q72" s="12"/>
      <c r="R72" s="28">
        <f t="shared" si="11"/>
        <v>27.113702623906704</v>
      </c>
    </row>
    <row r="73" spans="1:25" ht="16.5" hidden="1" customHeight="1" x14ac:dyDescent="0.25">
      <c r="A73" s="17">
        <v>45518</v>
      </c>
      <c r="B73" s="10" t="s">
        <v>120</v>
      </c>
      <c r="C73" s="10">
        <v>280</v>
      </c>
      <c r="D73" s="19">
        <v>0.52</v>
      </c>
      <c r="E73" s="11">
        <v>0.34</v>
      </c>
      <c r="F73" s="10">
        <f t="shared" si="12"/>
        <v>480</v>
      </c>
      <c r="G73" s="10">
        <f t="shared" si="13"/>
        <v>0.28000000000000003</v>
      </c>
      <c r="H73" s="12">
        <f t="shared" si="14"/>
        <v>0.58333333333333337</v>
      </c>
      <c r="I73" s="12">
        <v>0.02</v>
      </c>
      <c r="J73" s="12">
        <v>7.0000000000000007E-2</v>
      </c>
      <c r="K73" s="12">
        <f t="shared" si="15"/>
        <v>0.22893333333333335</v>
      </c>
      <c r="L73" s="12">
        <f t="shared" si="16"/>
        <v>0.90226666666666666</v>
      </c>
      <c r="M73" s="12">
        <f>L73*250</f>
        <v>225.56666666666666</v>
      </c>
      <c r="N73" s="12"/>
      <c r="O73" s="12" t="s">
        <v>72</v>
      </c>
      <c r="P73" s="12"/>
      <c r="Q73" s="12"/>
      <c r="R73" s="28">
        <f t="shared" si="11"/>
        <v>25.373134328358212</v>
      </c>
    </row>
    <row r="74" spans="1:25" ht="16.5" hidden="1" customHeight="1" x14ac:dyDescent="0.25">
      <c r="A74" s="17">
        <v>45518</v>
      </c>
      <c r="B74" s="2" t="s">
        <v>205</v>
      </c>
      <c r="C74" s="10">
        <v>650</v>
      </c>
      <c r="D74" s="19">
        <v>0.46</v>
      </c>
      <c r="E74" s="11">
        <v>0.47</v>
      </c>
      <c r="F74" s="10">
        <f t="shared" si="12"/>
        <v>540</v>
      </c>
      <c r="G74" s="10">
        <f t="shared" si="13"/>
        <v>0.65</v>
      </c>
      <c r="H74" s="12">
        <f t="shared" si="14"/>
        <v>1.2037037037037037</v>
      </c>
      <c r="I74" s="12">
        <v>0.02</v>
      </c>
      <c r="J74" s="12">
        <v>7.0000000000000007E-2</v>
      </c>
      <c r="K74" s="12">
        <f t="shared" si="15"/>
        <v>0.60804074074074077</v>
      </c>
      <c r="L74" s="12">
        <f t="shared" si="16"/>
        <v>1.9017444444444447</v>
      </c>
      <c r="M74" s="12">
        <f>L74*250</f>
        <v>475.43611111111119</v>
      </c>
      <c r="N74" s="12"/>
      <c r="O74" s="12" t="s">
        <v>72</v>
      </c>
      <c r="P74" s="12"/>
      <c r="Q74" s="12"/>
      <c r="R74" s="28">
        <f t="shared" si="11"/>
        <v>31.972789115646254</v>
      </c>
    </row>
    <row r="75" spans="1:25" ht="16.5" hidden="1" customHeight="1" x14ac:dyDescent="0.25">
      <c r="A75" s="17">
        <v>45519</v>
      </c>
      <c r="B75" s="10" t="s">
        <v>124</v>
      </c>
      <c r="C75" s="10">
        <v>500</v>
      </c>
      <c r="D75" s="19">
        <v>0.63</v>
      </c>
      <c r="E75" s="11">
        <v>0.26200000000000001</v>
      </c>
      <c r="F75" s="10">
        <f t="shared" si="12"/>
        <v>370</v>
      </c>
      <c r="G75" s="10">
        <f t="shared" si="13"/>
        <v>0.5</v>
      </c>
      <c r="H75" s="12">
        <f t="shared" si="14"/>
        <v>1.3513513513513513</v>
      </c>
      <c r="I75" s="12">
        <v>0.02</v>
      </c>
      <c r="J75" s="12">
        <v>7.0000000000000007E-2</v>
      </c>
      <c r="K75" s="12">
        <f t="shared" si="15"/>
        <v>0.37763405405405409</v>
      </c>
      <c r="L75" s="12">
        <f t="shared" si="16"/>
        <v>1.8189854054054055</v>
      </c>
      <c r="M75" s="12"/>
      <c r="N75" s="12">
        <f>L75*300</f>
        <v>545.69562162162163</v>
      </c>
      <c r="O75" s="12"/>
      <c r="P75" s="12"/>
      <c r="Q75" s="12"/>
      <c r="R75" s="28">
        <f t="shared" si="11"/>
        <v>20.760697305863708</v>
      </c>
    </row>
    <row r="76" spans="1:25" ht="16.5" hidden="1" customHeight="1" x14ac:dyDescent="0.25">
      <c r="A76" s="17">
        <v>45519</v>
      </c>
      <c r="B76" s="10" t="s">
        <v>116</v>
      </c>
      <c r="C76" s="10">
        <v>180</v>
      </c>
      <c r="D76" s="19">
        <v>0.25</v>
      </c>
      <c r="E76" s="11">
        <v>0.97499999999999998</v>
      </c>
      <c r="F76" s="10">
        <f t="shared" si="12"/>
        <v>750</v>
      </c>
      <c r="G76" s="10">
        <f t="shared" si="13"/>
        <v>0.18</v>
      </c>
      <c r="H76" s="12">
        <f t="shared" si="14"/>
        <v>0.24</v>
      </c>
      <c r="I76" s="12">
        <v>0.02</v>
      </c>
      <c r="J76" s="12">
        <v>7.0000000000000007E-2</v>
      </c>
      <c r="K76" s="12">
        <f t="shared" si="15"/>
        <v>0.32174999999999998</v>
      </c>
      <c r="L76" s="12">
        <f t="shared" si="16"/>
        <v>0.65175000000000005</v>
      </c>
      <c r="M76" s="12"/>
      <c r="N76" s="12"/>
      <c r="O76" s="12">
        <f>L76*500</f>
        <v>325.875</v>
      </c>
      <c r="P76" s="12"/>
      <c r="Q76" s="12"/>
      <c r="R76" s="28">
        <f t="shared" si="11"/>
        <v>49.36708860759493</v>
      </c>
    </row>
    <row r="77" spans="1:25" ht="16.5" hidden="1" customHeight="1" x14ac:dyDescent="0.25">
      <c r="A77" s="17">
        <v>45519</v>
      </c>
      <c r="B77" s="10" t="s">
        <v>90</v>
      </c>
      <c r="C77" s="10">
        <v>280</v>
      </c>
      <c r="D77" s="19">
        <v>0.22</v>
      </c>
      <c r="E77" s="11">
        <v>0.22500000000000001</v>
      </c>
      <c r="F77" s="10">
        <f t="shared" si="12"/>
        <v>780</v>
      </c>
      <c r="G77" s="10">
        <f t="shared" si="13"/>
        <v>0.28000000000000003</v>
      </c>
      <c r="H77" s="12">
        <f t="shared" si="14"/>
        <v>0.35897435897435898</v>
      </c>
      <c r="I77" s="12">
        <v>0.02</v>
      </c>
      <c r="J77" s="12">
        <v>7.0000000000000007E-2</v>
      </c>
      <c r="K77" s="12">
        <f t="shared" si="15"/>
        <v>0.10101923076923078</v>
      </c>
      <c r="L77" s="12">
        <f t="shared" si="16"/>
        <v>0.54999358974358981</v>
      </c>
      <c r="M77" s="12"/>
      <c r="N77" s="12"/>
      <c r="O77" s="12">
        <f>L77*500</f>
        <v>274.99679487179492</v>
      </c>
      <c r="P77" s="12"/>
      <c r="Q77" s="12"/>
      <c r="R77" s="28">
        <f t="shared" si="11"/>
        <v>18.367346938775508</v>
      </c>
      <c r="S77" s="7"/>
      <c r="T77" s="7"/>
      <c r="U77" s="30"/>
      <c r="V77" s="30"/>
      <c r="W77" s="30"/>
      <c r="X77" s="30"/>
      <c r="Y77" s="30"/>
    </row>
    <row r="78" spans="1:25" ht="16.5" hidden="1" customHeight="1" x14ac:dyDescent="0.25">
      <c r="A78" s="17">
        <v>45519</v>
      </c>
      <c r="B78" s="10" t="s">
        <v>91</v>
      </c>
      <c r="C78" s="10">
        <v>280</v>
      </c>
      <c r="D78" s="19">
        <v>0.22</v>
      </c>
      <c r="E78" s="11">
        <v>0.45</v>
      </c>
      <c r="F78" s="10">
        <f t="shared" si="12"/>
        <v>780</v>
      </c>
      <c r="G78" s="10">
        <f t="shared" si="13"/>
        <v>0.28000000000000003</v>
      </c>
      <c r="H78" s="12">
        <f t="shared" si="14"/>
        <v>0.35897435897435898</v>
      </c>
      <c r="I78" s="12">
        <v>0.02</v>
      </c>
      <c r="J78" s="12">
        <v>7.0000000000000007E-2</v>
      </c>
      <c r="K78" s="12">
        <f t="shared" si="15"/>
        <v>0.20203846153846156</v>
      </c>
      <c r="L78" s="12">
        <f t="shared" si="16"/>
        <v>0.6510128205128205</v>
      </c>
      <c r="M78" s="12"/>
      <c r="N78" s="12"/>
      <c r="O78" s="12">
        <f>L78*500</f>
        <v>325.50641025641028</v>
      </c>
      <c r="P78" s="12"/>
      <c r="Q78" s="12"/>
      <c r="R78" s="28">
        <f t="shared" si="11"/>
        <v>31.034482758620694</v>
      </c>
    </row>
    <row r="79" spans="1:25" ht="16.5" hidden="1" customHeight="1" x14ac:dyDescent="0.25">
      <c r="A79" s="17">
        <v>45519</v>
      </c>
      <c r="B79" s="10" t="s">
        <v>94</v>
      </c>
      <c r="C79" s="10">
        <v>280</v>
      </c>
      <c r="D79" s="19">
        <v>0.21</v>
      </c>
      <c r="E79" s="11">
        <v>0.24</v>
      </c>
      <c r="F79" s="10">
        <f t="shared" si="12"/>
        <v>790</v>
      </c>
      <c r="G79" s="10">
        <f t="shared" si="13"/>
        <v>0.28000000000000003</v>
      </c>
      <c r="H79" s="12">
        <f t="shared" si="14"/>
        <v>0.35443037974683544</v>
      </c>
      <c r="I79" s="12">
        <v>0.02</v>
      </c>
      <c r="J79" s="12">
        <v>7.0000000000000007E-2</v>
      </c>
      <c r="K79" s="12">
        <f t="shared" si="15"/>
        <v>0.10666329113924052</v>
      </c>
      <c r="L79" s="12">
        <f t="shared" si="16"/>
        <v>0.55109367088607597</v>
      </c>
      <c r="M79" s="12"/>
      <c r="N79" s="12"/>
      <c r="O79" s="12">
        <f>L79*500</f>
        <v>275.54683544303799</v>
      </c>
      <c r="P79" s="12"/>
      <c r="Q79" s="12"/>
      <c r="R79" s="28">
        <f t="shared" si="11"/>
        <v>19.354838709677423</v>
      </c>
    </row>
    <row r="80" spans="1:25" ht="16.5" hidden="1" customHeight="1" x14ac:dyDescent="0.25">
      <c r="A80" s="17">
        <v>45519</v>
      </c>
      <c r="B80" s="10" t="s">
        <v>95</v>
      </c>
      <c r="C80" s="10">
        <v>280</v>
      </c>
      <c r="D80" s="19">
        <v>0.21</v>
      </c>
      <c r="E80" s="11">
        <v>0.24</v>
      </c>
      <c r="F80" s="10">
        <f t="shared" si="12"/>
        <v>790</v>
      </c>
      <c r="G80" s="10">
        <f t="shared" si="13"/>
        <v>0.28000000000000003</v>
      </c>
      <c r="H80" s="12">
        <f t="shared" si="14"/>
        <v>0.35443037974683544</v>
      </c>
      <c r="I80" s="12">
        <v>0.02</v>
      </c>
      <c r="J80" s="12">
        <v>7.0000000000000007E-2</v>
      </c>
      <c r="K80" s="12">
        <f t="shared" si="15"/>
        <v>0.10666329113924052</v>
      </c>
      <c r="L80" s="12">
        <f t="shared" si="16"/>
        <v>0.55109367088607597</v>
      </c>
      <c r="M80" s="12"/>
      <c r="N80" s="12"/>
      <c r="O80" s="12">
        <f>L80*500</f>
        <v>275.54683544303799</v>
      </c>
      <c r="P80" s="12"/>
      <c r="Q80" s="12"/>
      <c r="R80" s="28">
        <f t="shared" si="11"/>
        <v>19.354838709677423</v>
      </c>
    </row>
    <row r="81" spans="1:33" ht="16.5" hidden="1" customHeight="1" x14ac:dyDescent="0.25">
      <c r="A81" s="17">
        <v>45520</v>
      </c>
      <c r="B81" s="10" t="s">
        <v>138</v>
      </c>
      <c r="C81" s="10">
        <v>400</v>
      </c>
      <c r="D81" s="19">
        <v>0.59</v>
      </c>
      <c r="E81" s="11">
        <v>0.41</v>
      </c>
      <c r="F81" s="10">
        <f t="shared" si="12"/>
        <v>410</v>
      </c>
      <c r="G81" s="10">
        <f t="shared" si="13"/>
        <v>0.4</v>
      </c>
      <c r="H81" s="12">
        <f t="shared" si="14"/>
        <v>0.97560975609756095</v>
      </c>
      <c r="I81" s="12">
        <v>0.02</v>
      </c>
      <c r="J81" s="12">
        <v>7.0000000000000007E-2</v>
      </c>
      <c r="K81" s="12">
        <f t="shared" si="15"/>
        <v>0.43690000000000001</v>
      </c>
      <c r="L81" s="12">
        <f t="shared" si="16"/>
        <v>1.5025097560975611</v>
      </c>
      <c r="M81" s="12">
        <f>L81*250</f>
        <v>375.6274390243903</v>
      </c>
      <c r="N81" s="12"/>
      <c r="O81" s="12"/>
      <c r="P81" s="12"/>
      <c r="Q81" s="12"/>
      <c r="R81" s="28">
        <f t="shared" si="11"/>
        <v>29.078014184397162</v>
      </c>
    </row>
    <row r="82" spans="1:33" ht="16.5" hidden="1" customHeight="1" x14ac:dyDescent="0.25">
      <c r="A82" s="17">
        <v>45520</v>
      </c>
      <c r="B82" s="10" t="s">
        <v>111</v>
      </c>
      <c r="C82" s="10">
        <v>800</v>
      </c>
      <c r="D82" s="19">
        <v>0.3125</v>
      </c>
      <c r="E82" s="11">
        <v>0.57999999999999996</v>
      </c>
      <c r="F82" s="10">
        <f t="shared" si="12"/>
        <v>687.5</v>
      </c>
      <c r="G82" s="10">
        <f t="shared" si="13"/>
        <v>0.8</v>
      </c>
      <c r="H82" s="12">
        <f t="shared" si="14"/>
        <v>1.1636363636363636</v>
      </c>
      <c r="I82" s="12">
        <v>0.02</v>
      </c>
      <c r="J82" s="12">
        <v>7.0000000000000007E-2</v>
      </c>
      <c r="K82" s="12">
        <f t="shared" si="15"/>
        <v>0.72710909090909093</v>
      </c>
      <c r="L82" s="12">
        <f t="shared" si="16"/>
        <v>1.9807454545454546</v>
      </c>
      <c r="M82" s="12">
        <f>L82*250</f>
        <v>495.18636363636364</v>
      </c>
      <c r="N82" s="12"/>
      <c r="O82" s="12" t="s">
        <v>72</v>
      </c>
      <c r="P82" s="12"/>
      <c r="Q82" s="12"/>
      <c r="R82" s="28">
        <f t="shared" si="11"/>
        <v>36.708860759493675</v>
      </c>
    </row>
    <row r="83" spans="1:33" ht="16.5" hidden="1" customHeight="1" x14ac:dyDescent="0.25">
      <c r="A83" s="17">
        <v>45520</v>
      </c>
      <c r="B83" s="10" t="s">
        <v>112</v>
      </c>
      <c r="C83" s="10">
        <v>800</v>
      </c>
      <c r="D83" s="19">
        <v>0.3125</v>
      </c>
      <c r="E83" s="11">
        <v>0.39700000000000002</v>
      </c>
      <c r="F83" s="10">
        <f t="shared" si="12"/>
        <v>687.5</v>
      </c>
      <c r="G83" s="10">
        <f t="shared" si="13"/>
        <v>0.8</v>
      </c>
      <c r="H83" s="12">
        <f t="shared" si="14"/>
        <v>1.1636363636363636</v>
      </c>
      <c r="I83" s="12">
        <v>0.02</v>
      </c>
      <c r="J83" s="12">
        <v>7.0000000000000007E-2</v>
      </c>
      <c r="K83" s="12">
        <f t="shared" si="15"/>
        <v>0.49769363636363639</v>
      </c>
      <c r="L83" s="12">
        <f t="shared" si="16"/>
        <v>1.7513300000000001</v>
      </c>
      <c r="M83" s="12"/>
      <c r="N83" s="12"/>
      <c r="O83" s="12">
        <f>L83*500</f>
        <v>875.66500000000008</v>
      </c>
      <c r="P83" s="12"/>
      <c r="Q83" s="12"/>
      <c r="R83" s="28">
        <f t="shared" si="11"/>
        <v>28.418038654259131</v>
      </c>
    </row>
    <row r="84" spans="1:33" ht="16.5" hidden="1" customHeight="1" x14ac:dyDescent="0.25">
      <c r="A84" s="17">
        <v>45520</v>
      </c>
      <c r="B84" s="10" t="s">
        <v>113</v>
      </c>
      <c r="C84" s="10">
        <v>800</v>
      </c>
      <c r="D84" s="19">
        <v>0.3125</v>
      </c>
      <c r="E84" s="11">
        <v>0.51700000000000002</v>
      </c>
      <c r="F84" s="10">
        <f t="shared" si="12"/>
        <v>687.5</v>
      </c>
      <c r="G84" s="10">
        <f t="shared" si="13"/>
        <v>0.8</v>
      </c>
      <c r="H84" s="12">
        <f t="shared" si="14"/>
        <v>1.1636363636363636</v>
      </c>
      <c r="I84" s="12">
        <v>0.02</v>
      </c>
      <c r="J84" s="12">
        <v>7.0000000000000007E-2</v>
      </c>
      <c r="K84" s="12">
        <f t="shared" si="15"/>
        <v>0.64812999999999998</v>
      </c>
      <c r="L84" s="12">
        <f t="shared" si="16"/>
        <v>1.9017663636363635</v>
      </c>
      <c r="M84" s="12">
        <f>L84*250</f>
        <v>475.44159090909091</v>
      </c>
      <c r="N84" s="12"/>
      <c r="O84" s="12"/>
      <c r="P84" s="12"/>
      <c r="Q84" s="12"/>
      <c r="R84" s="28">
        <f t="shared" si="11"/>
        <v>34.080421885299934</v>
      </c>
    </row>
    <row r="85" spans="1:33" ht="16.5" hidden="1" customHeight="1" x14ac:dyDescent="0.25">
      <c r="A85" s="17">
        <v>45520</v>
      </c>
      <c r="B85" s="10" t="s">
        <v>125</v>
      </c>
      <c r="C85" s="10">
        <v>280</v>
      </c>
      <c r="D85" s="19">
        <v>0.05</v>
      </c>
      <c r="E85" s="11">
        <v>0.27500000000000002</v>
      </c>
      <c r="F85" s="10">
        <f t="shared" si="12"/>
        <v>950</v>
      </c>
      <c r="G85" s="10">
        <f t="shared" si="13"/>
        <v>0.28000000000000003</v>
      </c>
      <c r="H85" s="12">
        <f t="shared" si="14"/>
        <v>0.29473684210526313</v>
      </c>
      <c r="I85" s="12">
        <v>0.02</v>
      </c>
      <c r="J85" s="12">
        <v>7.0000000000000007E-2</v>
      </c>
      <c r="K85" s="12">
        <f t="shared" si="15"/>
        <v>0.10580263157894737</v>
      </c>
      <c r="L85" s="12">
        <f t="shared" si="16"/>
        <v>0.49053947368421053</v>
      </c>
      <c r="M85" s="12"/>
      <c r="N85" s="12"/>
      <c r="O85" s="12">
        <f t="shared" ref="O85:O95" si="17">L85*500</f>
        <v>245.26973684210526</v>
      </c>
      <c r="P85" s="12"/>
      <c r="Q85" s="12"/>
      <c r="R85" s="28">
        <f t="shared" si="11"/>
        <v>21.568627450980394</v>
      </c>
    </row>
    <row r="86" spans="1:33" ht="16.5" hidden="1" customHeight="1" x14ac:dyDescent="0.25">
      <c r="A86" s="17">
        <v>45520</v>
      </c>
      <c r="B86" s="10" t="s">
        <v>92</v>
      </c>
      <c r="C86" s="10">
        <v>430</v>
      </c>
      <c r="D86" s="19">
        <v>0.1</v>
      </c>
      <c r="E86" s="11">
        <v>0.14799999999999999</v>
      </c>
      <c r="F86" s="10">
        <f t="shared" si="12"/>
        <v>900</v>
      </c>
      <c r="G86" s="10">
        <f t="shared" si="13"/>
        <v>0.43</v>
      </c>
      <c r="H86" s="12">
        <f t="shared" si="14"/>
        <v>0.4777777777777778</v>
      </c>
      <c r="I86" s="12">
        <v>0.02</v>
      </c>
      <c r="J86" s="12">
        <v>7.0000000000000007E-2</v>
      </c>
      <c r="K86" s="12">
        <f t="shared" si="15"/>
        <v>8.4031111111111112E-2</v>
      </c>
      <c r="L86" s="12">
        <f t="shared" si="16"/>
        <v>0.65180888888888888</v>
      </c>
      <c r="M86" s="12"/>
      <c r="N86" s="12"/>
      <c r="O86" s="12">
        <f t="shared" si="17"/>
        <v>325.90444444444444</v>
      </c>
      <c r="P86" s="12"/>
      <c r="Q86" s="12"/>
      <c r="R86" s="28">
        <f t="shared" si="11"/>
        <v>12.89198606271777</v>
      </c>
    </row>
    <row r="87" spans="1:33" ht="16.5" hidden="1" customHeight="1" x14ac:dyDescent="0.25">
      <c r="A87" s="17">
        <v>45520</v>
      </c>
      <c r="B87" s="10" t="s">
        <v>110</v>
      </c>
      <c r="C87" s="10">
        <v>130</v>
      </c>
      <c r="D87" s="19">
        <v>0</v>
      </c>
      <c r="E87" s="11">
        <v>0.32</v>
      </c>
      <c r="F87" s="10">
        <f t="shared" si="12"/>
        <v>1000</v>
      </c>
      <c r="G87" s="10">
        <f t="shared" si="13"/>
        <v>0.13</v>
      </c>
      <c r="H87" s="12">
        <f t="shared" si="14"/>
        <v>0.13</v>
      </c>
      <c r="I87" s="12">
        <v>0.02</v>
      </c>
      <c r="J87" s="12">
        <v>7.0000000000000007E-2</v>
      </c>
      <c r="K87" s="12">
        <f t="shared" si="15"/>
        <v>7.0400000000000004E-2</v>
      </c>
      <c r="L87" s="12">
        <f t="shared" si="16"/>
        <v>0.29039999999999999</v>
      </c>
      <c r="M87" s="12"/>
      <c r="N87" s="12"/>
      <c r="O87" s="12">
        <f t="shared" si="17"/>
        <v>145.19999999999999</v>
      </c>
      <c r="P87" s="12"/>
      <c r="Q87" s="12"/>
      <c r="R87" s="28">
        <f t="shared" si="11"/>
        <v>24.242424242424246</v>
      </c>
    </row>
    <row r="88" spans="1:33" ht="16.5" hidden="1" customHeight="1" x14ac:dyDescent="0.25">
      <c r="A88" s="17">
        <v>45520</v>
      </c>
      <c r="B88" s="10" t="s">
        <v>116</v>
      </c>
      <c r="C88" s="10">
        <v>180</v>
      </c>
      <c r="D88" s="19">
        <v>0.12</v>
      </c>
      <c r="E88" s="11">
        <v>1.208</v>
      </c>
      <c r="F88" s="10">
        <f t="shared" si="12"/>
        <v>880</v>
      </c>
      <c r="G88" s="10">
        <f t="shared" si="13"/>
        <v>0.18</v>
      </c>
      <c r="H88" s="12">
        <f t="shared" si="14"/>
        <v>0.20454545454545456</v>
      </c>
      <c r="I88" s="12">
        <v>0.02</v>
      </c>
      <c r="J88" s="12">
        <v>7.0000000000000007E-2</v>
      </c>
      <c r="K88" s="12">
        <f t="shared" si="15"/>
        <v>0.35581090909090907</v>
      </c>
      <c r="L88" s="12">
        <f t="shared" si="16"/>
        <v>0.65035636363636362</v>
      </c>
      <c r="M88" s="12"/>
      <c r="N88" s="12"/>
      <c r="O88" s="12">
        <f t="shared" si="17"/>
        <v>325.17818181818183</v>
      </c>
      <c r="P88" s="12"/>
      <c r="Q88" s="12"/>
      <c r="R88" s="28">
        <f t="shared" si="11"/>
        <v>54.710144927536234</v>
      </c>
    </row>
    <row r="89" spans="1:33" ht="16.5" hidden="1" customHeight="1" x14ac:dyDescent="0.25">
      <c r="A89" s="17">
        <v>45520</v>
      </c>
      <c r="B89" s="10" t="s">
        <v>94</v>
      </c>
      <c r="C89" s="10">
        <v>220</v>
      </c>
      <c r="D89" s="19">
        <v>0.11</v>
      </c>
      <c r="E89" s="11">
        <v>0.04</v>
      </c>
      <c r="F89" s="10">
        <f t="shared" si="12"/>
        <v>890</v>
      </c>
      <c r="G89" s="10">
        <f t="shared" si="13"/>
        <v>0.22</v>
      </c>
      <c r="H89" s="12">
        <f t="shared" si="14"/>
        <v>0.24719101123595505</v>
      </c>
      <c r="I89" s="12">
        <v>0.02</v>
      </c>
      <c r="J89" s="12">
        <v>7.0000000000000007E-2</v>
      </c>
      <c r="K89" s="12">
        <f t="shared" si="15"/>
        <v>1.3487640449438204E-2</v>
      </c>
      <c r="L89" s="12">
        <f t="shared" si="16"/>
        <v>0.35067865168539325</v>
      </c>
      <c r="M89" s="12"/>
      <c r="N89" s="12"/>
      <c r="O89" s="12">
        <f t="shared" si="17"/>
        <v>175.33932584269664</v>
      </c>
      <c r="P89" s="12"/>
      <c r="Q89" s="12"/>
      <c r="R89" s="28">
        <f t="shared" si="11"/>
        <v>3.8461538461538467</v>
      </c>
    </row>
    <row r="90" spans="1:33" ht="16.5" hidden="1" customHeight="1" x14ac:dyDescent="0.25">
      <c r="A90" s="17">
        <v>45520</v>
      </c>
      <c r="B90" s="10" t="s">
        <v>95</v>
      </c>
      <c r="C90" s="10">
        <v>220</v>
      </c>
      <c r="D90" s="19">
        <v>0.11</v>
      </c>
      <c r="E90" s="11">
        <v>0.04</v>
      </c>
      <c r="F90" s="10">
        <f t="shared" si="12"/>
        <v>890</v>
      </c>
      <c r="G90" s="10">
        <f t="shared" si="13"/>
        <v>0.22</v>
      </c>
      <c r="H90" s="12">
        <f t="shared" si="14"/>
        <v>0.24719101123595505</v>
      </c>
      <c r="I90" s="12">
        <v>0.02</v>
      </c>
      <c r="J90" s="12">
        <v>7.0000000000000007E-2</v>
      </c>
      <c r="K90" s="12">
        <f t="shared" si="15"/>
        <v>1.3487640449438204E-2</v>
      </c>
      <c r="L90" s="12">
        <f t="shared" si="16"/>
        <v>0.35067865168539325</v>
      </c>
      <c r="M90" s="12"/>
      <c r="N90" s="12"/>
      <c r="O90" s="12">
        <f t="shared" si="17"/>
        <v>175.33932584269664</v>
      </c>
      <c r="P90" s="12"/>
      <c r="Q90" s="12"/>
      <c r="R90" s="28">
        <f t="shared" si="11"/>
        <v>3.8461538461538467</v>
      </c>
    </row>
    <row r="91" spans="1:33" ht="16.5" hidden="1" customHeight="1" x14ac:dyDescent="0.25">
      <c r="A91" s="17">
        <v>45521</v>
      </c>
      <c r="B91" s="10" t="s">
        <v>106</v>
      </c>
      <c r="C91" s="10">
        <v>250</v>
      </c>
      <c r="D91" s="19">
        <v>0</v>
      </c>
      <c r="E91" s="11">
        <v>0.32500000000000001</v>
      </c>
      <c r="F91" s="10">
        <f t="shared" si="12"/>
        <v>1000</v>
      </c>
      <c r="G91" s="10">
        <f t="shared" si="13"/>
        <v>0.25</v>
      </c>
      <c r="H91" s="12">
        <f t="shared" si="14"/>
        <v>0.25</v>
      </c>
      <c r="I91" s="12">
        <v>0.02</v>
      </c>
      <c r="J91" s="12">
        <v>7.0000000000000007E-2</v>
      </c>
      <c r="K91" s="12">
        <f t="shared" si="15"/>
        <v>0.11050000000000001</v>
      </c>
      <c r="L91" s="12">
        <f t="shared" si="16"/>
        <v>0.45050000000000001</v>
      </c>
      <c r="M91" s="12"/>
      <c r="N91" s="12"/>
      <c r="O91" s="12">
        <f t="shared" si="17"/>
        <v>225.25</v>
      </c>
      <c r="P91" s="12"/>
      <c r="Q91" s="12"/>
      <c r="R91" s="28">
        <f t="shared" si="11"/>
        <v>24.528301886792455</v>
      </c>
    </row>
    <row r="92" spans="1:33" ht="16.5" hidden="1" customHeight="1" x14ac:dyDescent="0.25">
      <c r="A92" s="17">
        <v>45521</v>
      </c>
      <c r="B92" s="10" t="s">
        <v>93</v>
      </c>
      <c r="C92" s="10">
        <v>580</v>
      </c>
      <c r="D92" s="19">
        <v>0</v>
      </c>
      <c r="E92" s="11">
        <v>0.27</v>
      </c>
      <c r="F92" s="10">
        <f t="shared" si="12"/>
        <v>1000</v>
      </c>
      <c r="G92" s="10">
        <f t="shared" si="13"/>
        <v>0.57999999999999996</v>
      </c>
      <c r="H92" s="12">
        <f t="shared" si="14"/>
        <v>0.57999999999999996</v>
      </c>
      <c r="I92" s="12">
        <v>0.02</v>
      </c>
      <c r="J92" s="12">
        <v>7.0000000000000007E-2</v>
      </c>
      <c r="K92" s="12">
        <f t="shared" si="15"/>
        <v>0.18090000000000001</v>
      </c>
      <c r="L92" s="12">
        <f t="shared" si="16"/>
        <v>0.85089999999999999</v>
      </c>
      <c r="M92" s="12"/>
      <c r="N92" s="12"/>
      <c r="O92" s="12">
        <f t="shared" si="17"/>
        <v>425.45</v>
      </c>
      <c r="P92" s="12"/>
      <c r="Q92" s="12"/>
      <c r="R92" s="28">
        <f t="shared" si="11"/>
        <v>21.259842519685041</v>
      </c>
    </row>
    <row r="93" spans="1:33" ht="16.5" hidden="1" customHeight="1" x14ac:dyDescent="0.25">
      <c r="A93" s="17">
        <v>45521</v>
      </c>
      <c r="B93" s="10" t="s">
        <v>126</v>
      </c>
      <c r="C93" s="10">
        <v>540</v>
      </c>
      <c r="D93" s="19">
        <v>0</v>
      </c>
      <c r="E93" s="11">
        <v>0.35</v>
      </c>
      <c r="F93" s="10">
        <f t="shared" si="12"/>
        <v>1000</v>
      </c>
      <c r="G93" s="10">
        <f t="shared" si="13"/>
        <v>0.54</v>
      </c>
      <c r="H93" s="12">
        <f t="shared" si="14"/>
        <v>0.54</v>
      </c>
      <c r="I93" s="12">
        <v>0.02</v>
      </c>
      <c r="J93" s="12">
        <v>7.0000000000000007E-2</v>
      </c>
      <c r="K93" s="12">
        <f t="shared" si="15"/>
        <v>0.22050000000000003</v>
      </c>
      <c r="L93" s="12">
        <f t="shared" si="16"/>
        <v>0.85050000000000014</v>
      </c>
      <c r="M93" s="12"/>
      <c r="N93" s="12"/>
      <c r="O93" s="12">
        <f t="shared" si="17"/>
        <v>425.25000000000006</v>
      </c>
      <c r="P93" s="12"/>
      <c r="Q93" s="12"/>
      <c r="R93" s="28">
        <f t="shared" si="11"/>
        <v>25.925925925925924</v>
      </c>
    </row>
    <row r="94" spans="1:33" ht="16.5" hidden="1" customHeight="1" x14ac:dyDescent="0.25">
      <c r="A94" s="17">
        <v>45521</v>
      </c>
      <c r="B94" s="10" t="s">
        <v>90</v>
      </c>
      <c r="C94" s="10">
        <v>260</v>
      </c>
      <c r="D94" s="19">
        <v>0.28999999999999998</v>
      </c>
      <c r="E94" s="11">
        <v>0.20599999999999999</v>
      </c>
      <c r="F94" s="10">
        <f t="shared" si="12"/>
        <v>710</v>
      </c>
      <c r="G94" s="10">
        <f t="shared" si="13"/>
        <v>0.26</v>
      </c>
      <c r="H94" s="12">
        <f t="shared" si="14"/>
        <v>0.36619718309859156</v>
      </c>
      <c r="I94" s="12">
        <v>0.02</v>
      </c>
      <c r="J94" s="12">
        <v>7.0000000000000007E-2</v>
      </c>
      <c r="K94" s="12">
        <f t="shared" si="15"/>
        <v>9.3976619718309867E-2</v>
      </c>
      <c r="L94" s="12">
        <f t="shared" si="16"/>
        <v>0.55017380281690142</v>
      </c>
      <c r="M94" s="12"/>
      <c r="N94" s="12"/>
      <c r="O94" s="12">
        <f t="shared" si="17"/>
        <v>275.08690140845073</v>
      </c>
      <c r="P94" s="12"/>
      <c r="Q94" s="12"/>
      <c r="R94" s="28">
        <f t="shared" si="11"/>
        <v>17.081260364842457</v>
      </c>
    </row>
    <row r="95" spans="1:33" ht="16.5" hidden="1" customHeight="1" x14ac:dyDescent="0.25">
      <c r="A95" s="17">
        <v>45521</v>
      </c>
      <c r="B95" s="10" t="s">
        <v>110</v>
      </c>
      <c r="C95" s="10">
        <v>130</v>
      </c>
      <c r="D95" s="19">
        <v>0.08</v>
      </c>
      <c r="E95" s="11">
        <v>0.26</v>
      </c>
      <c r="F95" s="10">
        <f t="shared" si="12"/>
        <v>920</v>
      </c>
      <c r="G95" s="10">
        <f t="shared" si="13"/>
        <v>0.13</v>
      </c>
      <c r="H95" s="12">
        <f t="shared" si="14"/>
        <v>0.14130434782608695</v>
      </c>
      <c r="I95" s="12">
        <v>0.02</v>
      </c>
      <c r="J95" s="12">
        <v>7.0000000000000007E-2</v>
      </c>
      <c r="K95" s="12">
        <f t="shared" si="15"/>
        <v>6.0139130434782605E-2</v>
      </c>
      <c r="L95" s="12">
        <f t="shared" si="16"/>
        <v>0.29144347826086953</v>
      </c>
      <c r="M95" s="12"/>
      <c r="N95" s="12"/>
      <c r="O95" s="12">
        <f t="shared" si="17"/>
        <v>145.72173913043477</v>
      </c>
      <c r="P95" s="12"/>
      <c r="Q95" s="12"/>
      <c r="R95" s="28">
        <f t="shared" si="11"/>
        <v>20.634920634920636</v>
      </c>
      <c r="U95" s="7"/>
      <c r="V95" s="7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2"/>
    </row>
    <row r="96" spans="1:33" ht="16.5" hidden="1" customHeight="1" x14ac:dyDescent="0.25">
      <c r="A96" s="17">
        <v>45521</v>
      </c>
      <c r="B96" s="10" t="s">
        <v>111</v>
      </c>
      <c r="C96" s="10">
        <v>800</v>
      </c>
      <c r="D96" s="19">
        <v>0.36</v>
      </c>
      <c r="E96" s="11">
        <v>0.33</v>
      </c>
      <c r="F96" s="10">
        <f t="shared" si="12"/>
        <v>640</v>
      </c>
      <c r="G96" s="10">
        <f t="shared" si="13"/>
        <v>0.8</v>
      </c>
      <c r="H96" s="12">
        <f t="shared" si="14"/>
        <v>1.25</v>
      </c>
      <c r="I96" s="12">
        <v>0.02</v>
      </c>
      <c r="J96" s="12">
        <v>7.0000000000000007E-2</v>
      </c>
      <c r="K96" s="12">
        <f t="shared" si="15"/>
        <v>0.44220000000000004</v>
      </c>
      <c r="L96" s="12">
        <f t="shared" si="16"/>
        <v>1.7822</v>
      </c>
      <c r="M96" s="12">
        <f>L96*250</f>
        <v>445.55</v>
      </c>
      <c r="N96" s="12"/>
      <c r="O96" s="12"/>
      <c r="P96" s="12"/>
      <c r="Q96" s="12"/>
      <c r="R96" s="28">
        <f t="shared" si="11"/>
        <v>24.81203007518797</v>
      </c>
    </row>
    <row r="97" spans="1:18" ht="16.5" hidden="1" customHeight="1" x14ac:dyDescent="0.25">
      <c r="A97" s="17">
        <v>45521</v>
      </c>
      <c r="B97" s="10" t="s">
        <v>118</v>
      </c>
      <c r="C97" s="10">
        <v>280</v>
      </c>
      <c r="D97" s="19">
        <v>0.35</v>
      </c>
      <c r="E97" s="11">
        <v>0.35</v>
      </c>
      <c r="F97" s="10">
        <f t="shared" si="12"/>
        <v>650</v>
      </c>
      <c r="G97" s="10">
        <f t="shared" si="13"/>
        <v>0.28000000000000003</v>
      </c>
      <c r="H97" s="12">
        <f t="shared" si="14"/>
        <v>0.43076923076923079</v>
      </c>
      <c r="I97" s="12">
        <v>0.02</v>
      </c>
      <c r="J97" s="12">
        <v>7.0000000000000007E-2</v>
      </c>
      <c r="K97" s="12">
        <f t="shared" si="15"/>
        <v>0.18226923076923079</v>
      </c>
      <c r="L97" s="12">
        <f t="shared" si="16"/>
        <v>0.70303846153846172</v>
      </c>
      <c r="M97" s="12">
        <f>L97*250</f>
        <v>175.75961538461544</v>
      </c>
      <c r="N97" s="12"/>
      <c r="O97" s="12"/>
      <c r="P97" s="12"/>
      <c r="Q97" s="12"/>
      <c r="R97" s="28">
        <f t="shared" si="11"/>
        <v>25.925925925925924</v>
      </c>
    </row>
    <row r="98" spans="1:18" ht="16.5" hidden="1" customHeight="1" x14ac:dyDescent="0.25">
      <c r="A98" s="17">
        <v>45522</v>
      </c>
      <c r="B98" s="10" t="s">
        <v>94</v>
      </c>
      <c r="C98" s="10">
        <v>130</v>
      </c>
      <c r="D98" s="19">
        <v>0.23</v>
      </c>
      <c r="E98" s="11">
        <v>0.35399999999999998</v>
      </c>
      <c r="F98" s="10">
        <f t="shared" si="12"/>
        <v>770</v>
      </c>
      <c r="G98" s="10">
        <f t="shared" si="13"/>
        <v>0.13</v>
      </c>
      <c r="H98" s="12">
        <f t="shared" si="14"/>
        <v>0.16883116883116883</v>
      </c>
      <c r="I98" s="12">
        <v>0.02</v>
      </c>
      <c r="J98" s="12">
        <v>7.0000000000000007E-2</v>
      </c>
      <c r="K98" s="12">
        <f t="shared" si="15"/>
        <v>9.1626233766233772E-2</v>
      </c>
      <c r="L98" s="12">
        <f t="shared" si="16"/>
        <v>0.35045740259740266</v>
      </c>
      <c r="M98" s="12"/>
      <c r="N98" s="12"/>
      <c r="O98" s="12">
        <f t="shared" ref="O98:O106" si="18">L98*500</f>
        <v>175.22870129870134</v>
      </c>
      <c r="P98" s="12"/>
      <c r="Q98" s="12"/>
      <c r="R98" s="28">
        <f t="shared" si="11"/>
        <v>26.144756277695713</v>
      </c>
    </row>
    <row r="99" spans="1:18" ht="16.5" hidden="1" customHeight="1" x14ac:dyDescent="0.25">
      <c r="A99" s="17">
        <v>45522</v>
      </c>
      <c r="B99" s="10" t="s">
        <v>95</v>
      </c>
      <c r="C99" s="10">
        <v>130</v>
      </c>
      <c r="D99" s="19">
        <v>0.23</v>
      </c>
      <c r="E99" s="11">
        <v>0.35399999999999998</v>
      </c>
      <c r="F99" s="10">
        <f t="shared" si="12"/>
        <v>770</v>
      </c>
      <c r="G99" s="10">
        <f t="shared" si="13"/>
        <v>0.13</v>
      </c>
      <c r="H99" s="12">
        <f t="shared" si="14"/>
        <v>0.16883116883116883</v>
      </c>
      <c r="I99" s="12">
        <v>0.02</v>
      </c>
      <c r="J99" s="12">
        <v>7.0000000000000007E-2</v>
      </c>
      <c r="K99" s="12">
        <f t="shared" si="15"/>
        <v>9.1626233766233772E-2</v>
      </c>
      <c r="L99" s="12">
        <f t="shared" si="16"/>
        <v>0.35045740259740266</v>
      </c>
      <c r="M99" s="12"/>
      <c r="N99" s="12"/>
      <c r="O99" s="12">
        <f t="shared" si="18"/>
        <v>175.22870129870134</v>
      </c>
      <c r="P99" s="12"/>
      <c r="Q99" s="12"/>
      <c r="R99" s="28">
        <f t="shared" si="11"/>
        <v>26.144756277695713</v>
      </c>
    </row>
    <row r="100" spans="1:18" ht="16.5" hidden="1" customHeight="1" x14ac:dyDescent="0.25">
      <c r="A100" s="17">
        <v>45524</v>
      </c>
      <c r="B100" s="10" t="s">
        <v>110</v>
      </c>
      <c r="C100" s="10">
        <v>120</v>
      </c>
      <c r="D100" s="19">
        <v>0</v>
      </c>
      <c r="E100" s="11">
        <v>0.38500000000000001</v>
      </c>
      <c r="F100" s="10">
        <f t="shared" si="12"/>
        <v>1000</v>
      </c>
      <c r="G100" s="10">
        <f t="shared" si="13"/>
        <v>0.12</v>
      </c>
      <c r="H100" s="12">
        <f t="shared" si="14"/>
        <v>0.12</v>
      </c>
      <c r="I100" s="12">
        <v>0.02</v>
      </c>
      <c r="J100" s="12">
        <v>7.0000000000000007E-2</v>
      </c>
      <c r="K100" s="12">
        <f t="shared" si="15"/>
        <v>8.0850000000000005E-2</v>
      </c>
      <c r="L100" s="12">
        <f t="shared" si="16"/>
        <v>0.29085</v>
      </c>
      <c r="M100" s="12"/>
      <c r="N100" s="12"/>
      <c r="O100" s="12">
        <f t="shared" si="18"/>
        <v>145.42500000000001</v>
      </c>
      <c r="P100" s="12"/>
      <c r="Q100" s="12"/>
      <c r="R100" s="28">
        <f t="shared" si="11"/>
        <v>27.797833935018051</v>
      </c>
    </row>
    <row r="101" spans="1:18" ht="16.5" hidden="1" customHeight="1" x14ac:dyDescent="0.25">
      <c r="A101" s="17">
        <v>45524</v>
      </c>
      <c r="B101" s="10" t="s">
        <v>106</v>
      </c>
      <c r="C101" s="10">
        <v>220</v>
      </c>
      <c r="D101" s="19">
        <v>0</v>
      </c>
      <c r="E101" s="11">
        <v>0.26</v>
      </c>
      <c r="F101" s="10">
        <f t="shared" si="12"/>
        <v>1000</v>
      </c>
      <c r="G101" s="10">
        <f t="shared" si="13"/>
        <v>0.22</v>
      </c>
      <c r="H101" s="12">
        <f t="shared" si="14"/>
        <v>0.22</v>
      </c>
      <c r="I101" s="12">
        <v>0.02</v>
      </c>
      <c r="J101" s="12">
        <v>7.0000000000000007E-2</v>
      </c>
      <c r="K101" s="12">
        <f t="shared" si="15"/>
        <v>8.0600000000000005E-2</v>
      </c>
      <c r="L101" s="12">
        <f t="shared" si="16"/>
        <v>0.3906</v>
      </c>
      <c r="M101" s="12"/>
      <c r="N101" s="12"/>
      <c r="O101" s="12">
        <f t="shared" si="18"/>
        <v>195.3</v>
      </c>
      <c r="P101" s="12"/>
      <c r="Q101" s="12"/>
      <c r="R101" s="28">
        <f t="shared" si="11"/>
        <v>20.634920634920636</v>
      </c>
    </row>
    <row r="102" spans="1:18" ht="16.5" hidden="1" customHeight="1" x14ac:dyDescent="0.25">
      <c r="A102" s="17">
        <v>45524</v>
      </c>
      <c r="B102" s="10" t="s">
        <v>128</v>
      </c>
      <c r="C102" s="10">
        <v>280</v>
      </c>
      <c r="D102" s="19">
        <v>0.01</v>
      </c>
      <c r="E102" s="11">
        <v>0.48</v>
      </c>
      <c r="F102" s="10">
        <f t="shared" si="12"/>
        <v>990</v>
      </c>
      <c r="G102" s="10">
        <f t="shared" si="13"/>
        <v>0.28000000000000003</v>
      </c>
      <c r="H102" s="12">
        <f t="shared" si="14"/>
        <v>0.28282828282828282</v>
      </c>
      <c r="I102" s="12">
        <v>0.02</v>
      </c>
      <c r="J102" s="12">
        <v>7.0000000000000007E-2</v>
      </c>
      <c r="K102" s="12">
        <f t="shared" si="15"/>
        <v>0.17895757575757576</v>
      </c>
      <c r="L102" s="12">
        <f t="shared" si="16"/>
        <v>0.5517858585858586</v>
      </c>
      <c r="M102" s="12"/>
      <c r="N102" s="12"/>
      <c r="O102" s="12">
        <f t="shared" si="18"/>
        <v>275.8929292929293</v>
      </c>
      <c r="P102" s="12"/>
      <c r="Q102" s="12"/>
      <c r="R102" s="28">
        <f t="shared" si="11"/>
        <v>32.432432432432428</v>
      </c>
    </row>
    <row r="103" spans="1:18" ht="16.5" hidden="1" customHeight="1" x14ac:dyDescent="0.25">
      <c r="A103" s="17">
        <v>45524</v>
      </c>
      <c r="B103" s="10" t="s">
        <v>94</v>
      </c>
      <c r="C103" s="10">
        <v>200</v>
      </c>
      <c r="D103" s="19">
        <v>0.18</v>
      </c>
      <c r="E103" s="11">
        <v>-0.55000000000000004</v>
      </c>
      <c r="F103" s="10">
        <f t="shared" si="12"/>
        <v>820</v>
      </c>
      <c r="G103" s="10">
        <f t="shared" si="13"/>
        <v>0.2</v>
      </c>
      <c r="H103" s="12">
        <f t="shared" si="14"/>
        <v>0.24390243902439024</v>
      </c>
      <c r="I103" s="12">
        <v>0.02</v>
      </c>
      <c r="J103" s="12">
        <v>7.0000000000000007E-2</v>
      </c>
      <c r="K103" s="12">
        <f t="shared" si="15"/>
        <v>-0.18364634146341466</v>
      </c>
      <c r="L103" s="12">
        <f t="shared" si="16"/>
        <v>0.1502560975609756</v>
      </c>
      <c r="M103" s="12"/>
      <c r="N103" s="12"/>
      <c r="O103" s="12">
        <f t="shared" si="18"/>
        <v>75.128048780487802</v>
      </c>
      <c r="P103" s="12"/>
      <c r="Q103" s="12">
        <f>L103*1000</f>
        <v>150.2560975609756</v>
      </c>
      <c r="R103" s="28">
        <f t="shared" si="11"/>
        <v>-122.22222222222224</v>
      </c>
    </row>
    <row r="104" spans="1:18" ht="16.5" hidden="1" customHeight="1" x14ac:dyDescent="0.25">
      <c r="A104" s="17">
        <v>45524</v>
      </c>
      <c r="B104" s="10" t="s">
        <v>95</v>
      </c>
      <c r="C104" s="10">
        <v>200</v>
      </c>
      <c r="D104" s="19">
        <v>0.18</v>
      </c>
      <c r="E104" s="11">
        <v>-0.55000000000000004</v>
      </c>
      <c r="F104" s="10">
        <f t="shared" si="12"/>
        <v>820</v>
      </c>
      <c r="G104" s="10">
        <f t="shared" si="13"/>
        <v>0.2</v>
      </c>
      <c r="H104" s="12">
        <f t="shared" si="14"/>
        <v>0.24390243902439024</v>
      </c>
      <c r="I104" s="12">
        <v>0.02</v>
      </c>
      <c r="J104" s="12">
        <v>7.0000000000000007E-2</v>
      </c>
      <c r="K104" s="12">
        <f t="shared" si="15"/>
        <v>-0.18364634146341466</v>
      </c>
      <c r="L104" s="12">
        <f t="shared" si="16"/>
        <v>0.1502560975609756</v>
      </c>
      <c r="M104" s="12"/>
      <c r="N104" s="12"/>
      <c r="O104" s="12">
        <f t="shared" si="18"/>
        <v>75.128048780487802</v>
      </c>
      <c r="P104" s="12"/>
      <c r="Q104" s="12"/>
      <c r="R104" s="28">
        <f t="shared" si="11"/>
        <v>-122.22222222222224</v>
      </c>
    </row>
    <row r="105" spans="1:18" ht="16.5" hidden="1" customHeight="1" x14ac:dyDescent="0.25">
      <c r="A105" s="17">
        <v>45524</v>
      </c>
      <c r="B105" s="10" t="s">
        <v>90</v>
      </c>
      <c r="C105" s="10">
        <v>300</v>
      </c>
      <c r="D105" s="19">
        <v>0.24</v>
      </c>
      <c r="E105" s="11">
        <v>0.22</v>
      </c>
      <c r="F105" s="10">
        <f t="shared" si="12"/>
        <v>760</v>
      </c>
      <c r="G105" s="10">
        <f t="shared" si="13"/>
        <v>0.3</v>
      </c>
      <c r="H105" s="12">
        <f t="shared" si="14"/>
        <v>0.39473684210526316</v>
      </c>
      <c r="I105" s="12">
        <v>0.02</v>
      </c>
      <c r="J105" s="12">
        <v>7.0000000000000007E-2</v>
      </c>
      <c r="K105" s="12">
        <f t="shared" si="15"/>
        <v>0.1066421052631579</v>
      </c>
      <c r="L105" s="12">
        <f t="shared" si="16"/>
        <v>0.59137894736842112</v>
      </c>
      <c r="M105" s="12"/>
      <c r="N105" s="12"/>
      <c r="O105" s="12">
        <f t="shared" si="18"/>
        <v>295.68947368421055</v>
      </c>
      <c r="P105" s="12"/>
      <c r="Q105" s="12"/>
      <c r="R105" s="28">
        <f t="shared" si="11"/>
        <v>18.032786885245901</v>
      </c>
    </row>
    <row r="106" spans="1:18" ht="15.75" hidden="1" customHeight="1" x14ac:dyDescent="0.25">
      <c r="A106" s="17">
        <v>45524</v>
      </c>
      <c r="B106" s="2" t="s">
        <v>196</v>
      </c>
      <c r="C106" s="10">
        <v>300</v>
      </c>
      <c r="D106" s="19">
        <v>0.24</v>
      </c>
      <c r="E106" s="11">
        <v>0.3</v>
      </c>
      <c r="F106" s="10">
        <f t="shared" si="12"/>
        <v>760</v>
      </c>
      <c r="G106" s="10">
        <f t="shared" si="13"/>
        <v>0.3</v>
      </c>
      <c r="H106" s="12">
        <f t="shared" si="14"/>
        <v>0.39473684210526316</v>
      </c>
      <c r="I106" s="12">
        <v>0.02</v>
      </c>
      <c r="J106" s="12">
        <v>7.0000000000000007E-2</v>
      </c>
      <c r="K106" s="12">
        <f t="shared" si="15"/>
        <v>0.14542105263157895</v>
      </c>
      <c r="L106" s="12">
        <f t="shared" si="16"/>
        <v>0.63015789473684214</v>
      </c>
      <c r="M106" s="12"/>
      <c r="N106" s="12"/>
      <c r="O106" s="12">
        <f t="shared" si="18"/>
        <v>315.0789473684211</v>
      </c>
      <c r="P106" s="12"/>
      <c r="Q106" s="12"/>
      <c r="R106" s="28">
        <f t="shared" si="11"/>
        <v>23.076923076923077</v>
      </c>
    </row>
    <row r="107" spans="1:18" ht="16.5" hidden="1" customHeight="1" x14ac:dyDescent="0.25">
      <c r="A107" s="17">
        <v>45524</v>
      </c>
      <c r="B107" s="10" t="s">
        <v>138</v>
      </c>
      <c r="C107" s="10">
        <v>380</v>
      </c>
      <c r="D107" s="19">
        <v>0.56000000000000005</v>
      </c>
      <c r="E107" s="11">
        <v>0.45</v>
      </c>
      <c r="F107" s="10">
        <f t="shared" si="12"/>
        <v>440</v>
      </c>
      <c r="G107" s="10">
        <f t="shared" si="13"/>
        <v>0.38</v>
      </c>
      <c r="H107" s="12">
        <f t="shared" si="14"/>
        <v>0.86363636363636365</v>
      </c>
      <c r="I107" s="12">
        <v>0.02</v>
      </c>
      <c r="J107" s="12">
        <v>7.0000000000000007E-2</v>
      </c>
      <c r="K107" s="12">
        <f t="shared" si="15"/>
        <v>0.42913636363636365</v>
      </c>
      <c r="L107" s="12">
        <f t="shared" si="16"/>
        <v>1.3827727272727273</v>
      </c>
      <c r="M107" s="12">
        <f>L107*250</f>
        <v>345.69318181818181</v>
      </c>
      <c r="N107" s="12"/>
      <c r="O107" s="12" t="s">
        <v>72</v>
      </c>
      <c r="P107" s="12"/>
      <c r="Q107" s="12"/>
      <c r="R107" s="28">
        <f t="shared" si="11"/>
        <v>31.03448275862069</v>
      </c>
    </row>
    <row r="108" spans="1:18" ht="16.5" hidden="1" customHeight="1" x14ac:dyDescent="0.25">
      <c r="A108" s="17">
        <v>45524</v>
      </c>
      <c r="B108" s="2" t="s">
        <v>143</v>
      </c>
      <c r="C108" s="10">
        <v>380</v>
      </c>
      <c r="D108" s="19">
        <v>0.56000000000000005</v>
      </c>
      <c r="E108" s="11">
        <v>0.41599999999999998</v>
      </c>
      <c r="F108" s="10">
        <f t="shared" si="12"/>
        <v>440</v>
      </c>
      <c r="G108" s="10">
        <f t="shared" si="13"/>
        <v>0.38</v>
      </c>
      <c r="H108" s="12">
        <f t="shared" si="14"/>
        <v>0.86363636363636365</v>
      </c>
      <c r="I108" s="12">
        <v>0.02</v>
      </c>
      <c r="J108" s="12">
        <v>7.0000000000000007E-2</v>
      </c>
      <c r="K108" s="12">
        <f t="shared" si="15"/>
        <v>0.39671272727272727</v>
      </c>
      <c r="L108" s="12">
        <f t="shared" si="16"/>
        <v>1.3503490909090909</v>
      </c>
      <c r="M108" s="12"/>
      <c r="N108" s="12"/>
      <c r="O108" s="12">
        <f>L108*500</f>
        <v>675.17454545454552</v>
      </c>
      <c r="P108" s="12"/>
      <c r="Q108" s="12"/>
      <c r="R108" s="28">
        <f t="shared" si="11"/>
        <v>29.378531073446325</v>
      </c>
    </row>
    <row r="109" spans="1:18" ht="16.5" hidden="1" customHeight="1" x14ac:dyDescent="0.25">
      <c r="A109" s="17">
        <v>45524</v>
      </c>
      <c r="B109" s="10" t="s">
        <v>118</v>
      </c>
      <c r="C109" s="10">
        <v>270</v>
      </c>
      <c r="D109" s="19">
        <v>0.34</v>
      </c>
      <c r="E109" s="11">
        <v>0.41</v>
      </c>
      <c r="F109" s="10">
        <f t="shared" si="12"/>
        <v>660</v>
      </c>
      <c r="G109" s="10">
        <f t="shared" si="13"/>
        <v>0.27</v>
      </c>
      <c r="H109" s="12">
        <f t="shared" si="14"/>
        <v>0.40909090909090912</v>
      </c>
      <c r="I109" s="12">
        <v>0.02</v>
      </c>
      <c r="J109" s="12">
        <v>7.0000000000000007E-2</v>
      </c>
      <c r="K109" s="12">
        <f t="shared" si="15"/>
        <v>0.20462727272727274</v>
      </c>
      <c r="L109" s="12">
        <f t="shared" si="16"/>
        <v>0.70371818181818191</v>
      </c>
      <c r="M109" s="12">
        <f>L109*250</f>
        <v>175.92954545454549</v>
      </c>
      <c r="N109" s="12"/>
      <c r="O109" s="12"/>
      <c r="P109" s="12"/>
      <c r="Q109" s="12"/>
      <c r="R109" s="28">
        <f t="shared" si="11"/>
        <v>29.078014184397162</v>
      </c>
    </row>
    <row r="110" spans="1:18" ht="16.5" hidden="1" customHeight="1" x14ac:dyDescent="0.25">
      <c r="A110" s="17">
        <v>45525</v>
      </c>
      <c r="B110" s="10" t="s">
        <v>111</v>
      </c>
      <c r="C110" s="10">
        <v>650</v>
      </c>
      <c r="D110" s="19">
        <v>0.38</v>
      </c>
      <c r="E110" s="11">
        <v>0.38900000000000001</v>
      </c>
      <c r="F110" s="10">
        <f t="shared" si="12"/>
        <v>620</v>
      </c>
      <c r="G110" s="10">
        <f t="shared" si="13"/>
        <v>0.65</v>
      </c>
      <c r="H110" s="12">
        <f t="shared" si="14"/>
        <v>1.0483870967741935</v>
      </c>
      <c r="I110" s="12">
        <v>0.02</v>
      </c>
      <c r="J110" s="12">
        <v>7.0000000000000007E-2</v>
      </c>
      <c r="K110" s="12">
        <f t="shared" si="15"/>
        <v>0.44283258064516134</v>
      </c>
      <c r="L110" s="12">
        <f t="shared" si="16"/>
        <v>1.581219677419355</v>
      </c>
      <c r="M110" s="12">
        <f>L110*250</f>
        <v>395.30491935483877</v>
      </c>
      <c r="N110" s="12"/>
      <c r="O110" s="12"/>
      <c r="P110" s="12"/>
      <c r="Q110" s="12"/>
      <c r="R110" s="28">
        <f t="shared" si="11"/>
        <v>28.005759539236863</v>
      </c>
    </row>
    <row r="111" spans="1:18" ht="16.5" hidden="1" customHeight="1" x14ac:dyDescent="0.25">
      <c r="A111" s="17">
        <v>45525</v>
      </c>
      <c r="B111" s="10" t="s">
        <v>112</v>
      </c>
      <c r="C111" s="10">
        <v>650</v>
      </c>
      <c r="D111" s="19">
        <v>0.38</v>
      </c>
      <c r="E111" s="11">
        <v>0.36299999999999999</v>
      </c>
      <c r="F111" s="10">
        <f t="shared" si="12"/>
        <v>620</v>
      </c>
      <c r="G111" s="10">
        <f t="shared" si="13"/>
        <v>0.65</v>
      </c>
      <c r="H111" s="12">
        <f t="shared" si="14"/>
        <v>1.0483870967741935</v>
      </c>
      <c r="I111" s="12">
        <v>0.02</v>
      </c>
      <c r="J111" s="12">
        <v>7.0000000000000007E-2</v>
      </c>
      <c r="K111" s="12">
        <f t="shared" si="15"/>
        <v>0.41323451612903228</v>
      </c>
      <c r="L111" s="12">
        <f t="shared" si="16"/>
        <v>1.5516216129032259</v>
      </c>
      <c r="M111" s="12"/>
      <c r="N111" s="12"/>
      <c r="O111" s="12">
        <f>L111*500</f>
        <v>775.81080645161296</v>
      </c>
      <c r="P111" s="12"/>
      <c r="Q111" s="12"/>
      <c r="R111" s="28">
        <f t="shared" si="11"/>
        <v>26.632428466617757</v>
      </c>
    </row>
    <row r="112" spans="1:18" ht="16.5" hidden="1" customHeight="1" x14ac:dyDescent="0.25">
      <c r="A112" s="17">
        <v>45525</v>
      </c>
      <c r="B112" s="10" t="s">
        <v>113</v>
      </c>
      <c r="C112" s="10">
        <v>650</v>
      </c>
      <c r="D112" s="19">
        <v>0.38</v>
      </c>
      <c r="E112" s="11">
        <v>0.495</v>
      </c>
      <c r="F112" s="10">
        <f t="shared" si="12"/>
        <v>620</v>
      </c>
      <c r="G112" s="10">
        <f t="shared" si="13"/>
        <v>0.65</v>
      </c>
      <c r="H112" s="12">
        <f t="shared" si="14"/>
        <v>1.0483870967741935</v>
      </c>
      <c r="I112" s="12">
        <v>0.02</v>
      </c>
      <c r="J112" s="12">
        <v>7.0000000000000007E-2</v>
      </c>
      <c r="K112" s="12">
        <f t="shared" si="15"/>
        <v>0.56350161290322587</v>
      </c>
      <c r="L112" s="12">
        <f t="shared" si="16"/>
        <v>1.7018887096774193</v>
      </c>
      <c r="M112" s="12">
        <f>L112*250</f>
        <v>425.47217741935481</v>
      </c>
      <c r="N112" s="12" t="s">
        <v>72</v>
      </c>
      <c r="O112" s="12"/>
      <c r="P112" s="12"/>
      <c r="Q112" s="12"/>
      <c r="R112" s="28">
        <f t="shared" si="11"/>
        <v>33.110367892976591</v>
      </c>
    </row>
    <row r="113" spans="1:18" ht="16.5" hidden="1" customHeight="1" x14ac:dyDescent="0.25">
      <c r="A113" s="17">
        <v>45525</v>
      </c>
      <c r="B113" s="10" t="s">
        <v>129</v>
      </c>
      <c r="C113" s="10">
        <v>280</v>
      </c>
      <c r="D113" s="19">
        <v>0</v>
      </c>
      <c r="E113" s="11">
        <v>0.49</v>
      </c>
      <c r="F113" s="10">
        <f t="shared" si="12"/>
        <v>1000</v>
      </c>
      <c r="G113" s="10">
        <f t="shared" si="13"/>
        <v>0.28000000000000003</v>
      </c>
      <c r="H113" s="12">
        <f t="shared" si="14"/>
        <v>0.28000000000000003</v>
      </c>
      <c r="I113" s="12">
        <v>0.02</v>
      </c>
      <c r="J113" s="12">
        <v>7.0000000000000007E-2</v>
      </c>
      <c r="K113" s="12">
        <f t="shared" si="15"/>
        <v>0.18130000000000002</v>
      </c>
      <c r="L113" s="12">
        <f t="shared" si="16"/>
        <v>0.55130000000000012</v>
      </c>
      <c r="M113" s="12" t="s">
        <v>72</v>
      </c>
      <c r="N113" s="12"/>
      <c r="O113" s="12">
        <f t="shared" ref="O113:O122" si="19">L113*500</f>
        <v>275.65000000000003</v>
      </c>
      <c r="P113" s="12"/>
      <c r="Q113" s="12"/>
      <c r="R113" s="28"/>
    </row>
    <row r="114" spans="1:18" ht="16.5" hidden="1" customHeight="1" x14ac:dyDescent="0.25">
      <c r="A114" s="17">
        <v>45525</v>
      </c>
      <c r="B114" s="10" t="s">
        <v>90</v>
      </c>
      <c r="C114" s="10">
        <v>300</v>
      </c>
      <c r="D114" s="19">
        <v>0.24</v>
      </c>
      <c r="E114" s="11">
        <v>0.22</v>
      </c>
      <c r="F114" s="10">
        <f t="shared" si="12"/>
        <v>760</v>
      </c>
      <c r="G114" s="10">
        <f t="shared" si="13"/>
        <v>0.3</v>
      </c>
      <c r="H114" s="12">
        <f t="shared" si="14"/>
        <v>0.39473684210526316</v>
      </c>
      <c r="I114" s="12">
        <v>0.02</v>
      </c>
      <c r="J114" s="12">
        <v>7.0000000000000007E-2</v>
      </c>
      <c r="K114" s="12">
        <f t="shared" si="15"/>
        <v>0.1066421052631579</v>
      </c>
      <c r="L114" s="12">
        <f t="shared" si="16"/>
        <v>0.59137894736842112</v>
      </c>
      <c r="M114" s="12"/>
      <c r="N114" s="12"/>
      <c r="O114" s="12">
        <f t="shared" si="19"/>
        <v>295.68947368421055</v>
      </c>
      <c r="P114" s="12"/>
      <c r="Q114" s="12"/>
      <c r="R114" s="28">
        <f t="shared" ref="R114:R137" si="20">K114/L114%</f>
        <v>18.032786885245901</v>
      </c>
    </row>
    <row r="115" spans="1:18" ht="16.5" hidden="1" customHeight="1" x14ac:dyDescent="0.25">
      <c r="A115" s="17">
        <v>45525</v>
      </c>
      <c r="B115" s="2" t="s">
        <v>196</v>
      </c>
      <c r="C115" s="10">
        <v>300</v>
      </c>
      <c r="D115" s="19">
        <v>0.24</v>
      </c>
      <c r="E115" s="11">
        <v>0.3</v>
      </c>
      <c r="F115" s="10">
        <f t="shared" si="12"/>
        <v>760</v>
      </c>
      <c r="G115" s="10">
        <f t="shared" si="13"/>
        <v>0.3</v>
      </c>
      <c r="H115" s="12">
        <f t="shared" si="14"/>
        <v>0.39473684210526316</v>
      </c>
      <c r="I115" s="12">
        <v>0.02</v>
      </c>
      <c r="J115" s="12">
        <v>7.0000000000000007E-2</v>
      </c>
      <c r="K115" s="12">
        <f t="shared" si="15"/>
        <v>0.14542105263157895</v>
      </c>
      <c r="L115" s="12">
        <f t="shared" si="16"/>
        <v>0.63015789473684214</v>
      </c>
      <c r="M115" s="12"/>
      <c r="N115" s="12"/>
      <c r="O115" s="12">
        <f t="shared" si="19"/>
        <v>315.0789473684211</v>
      </c>
      <c r="P115" s="12"/>
      <c r="Q115" s="12"/>
      <c r="R115" s="28">
        <f t="shared" si="20"/>
        <v>23.076923076923077</v>
      </c>
    </row>
    <row r="116" spans="1:18" ht="16.5" hidden="1" customHeight="1" x14ac:dyDescent="0.25">
      <c r="A116" s="17">
        <v>45525</v>
      </c>
      <c r="B116" s="10" t="s">
        <v>92</v>
      </c>
      <c r="C116" s="10">
        <v>430</v>
      </c>
      <c r="D116" s="19">
        <v>0</v>
      </c>
      <c r="E116" s="11">
        <v>0.25</v>
      </c>
      <c r="F116" s="10">
        <f t="shared" si="12"/>
        <v>1000</v>
      </c>
      <c r="G116" s="10">
        <f t="shared" si="13"/>
        <v>0.43</v>
      </c>
      <c r="H116" s="12">
        <f t="shared" si="14"/>
        <v>0.43</v>
      </c>
      <c r="I116" s="12">
        <v>0.02</v>
      </c>
      <c r="J116" s="12">
        <v>7.0000000000000007E-2</v>
      </c>
      <c r="K116" s="12">
        <f t="shared" si="15"/>
        <v>0.13</v>
      </c>
      <c r="L116" s="12">
        <f t="shared" si="16"/>
        <v>0.65</v>
      </c>
      <c r="M116" s="12"/>
      <c r="N116" s="12"/>
      <c r="O116" s="12">
        <f t="shared" si="19"/>
        <v>325</v>
      </c>
      <c r="P116" s="12"/>
      <c r="Q116" s="12"/>
      <c r="R116" s="28">
        <f t="shared" si="20"/>
        <v>20</v>
      </c>
    </row>
    <row r="117" spans="1:18" ht="16.5" hidden="1" customHeight="1" x14ac:dyDescent="0.25">
      <c r="A117" s="17">
        <v>45525</v>
      </c>
      <c r="B117" s="10" t="s">
        <v>94</v>
      </c>
      <c r="C117" s="10">
        <v>90</v>
      </c>
      <c r="D117" s="19">
        <v>7.0000000000000007E-2</v>
      </c>
      <c r="E117" s="11">
        <v>-0.19</v>
      </c>
      <c r="F117" s="10">
        <f t="shared" si="12"/>
        <v>930</v>
      </c>
      <c r="G117" s="10">
        <f t="shared" si="13"/>
        <v>0.09</v>
      </c>
      <c r="H117" s="12">
        <f t="shared" si="14"/>
        <v>9.6774193548387094E-2</v>
      </c>
      <c r="I117" s="12">
        <v>0.02</v>
      </c>
      <c r="J117" s="12">
        <v>7.0000000000000007E-2</v>
      </c>
      <c r="K117" s="12">
        <f t="shared" si="15"/>
        <v>-3.5487096774193545E-2</v>
      </c>
      <c r="L117" s="12">
        <f t="shared" si="16"/>
        <v>0.15128709677419355</v>
      </c>
      <c r="M117" s="12"/>
      <c r="N117" s="12"/>
      <c r="O117" s="12">
        <f t="shared" si="19"/>
        <v>75.643548387096772</v>
      </c>
      <c r="P117" s="12"/>
      <c r="Q117" s="12">
        <f>L117*1000</f>
        <v>151.28709677419354</v>
      </c>
      <c r="R117" s="28">
        <f t="shared" si="20"/>
        <v>-23.456790123456788</v>
      </c>
    </row>
    <row r="118" spans="1:18" ht="16.5" hidden="1" customHeight="1" x14ac:dyDescent="0.25">
      <c r="A118" s="17">
        <v>45525</v>
      </c>
      <c r="B118" s="10" t="s">
        <v>95</v>
      </c>
      <c r="C118" s="10">
        <v>90</v>
      </c>
      <c r="D118" s="19">
        <v>7.0000000000000007E-2</v>
      </c>
      <c r="E118" s="11">
        <v>-0.19</v>
      </c>
      <c r="F118" s="10">
        <f t="shared" si="12"/>
        <v>930</v>
      </c>
      <c r="G118" s="10">
        <f t="shared" si="13"/>
        <v>0.09</v>
      </c>
      <c r="H118" s="12">
        <f t="shared" si="14"/>
        <v>9.6774193548387094E-2</v>
      </c>
      <c r="I118" s="12">
        <v>0.02</v>
      </c>
      <c r="J118" s="12">
        <v>7.0000000000000007E-2</v>
      </c>
      <c r="K118" s="12">
        <f t="shared" si="15"/>
        <v>-3.5487096774193545E-2</v>
      </c>
      <c r="L118" s="12">
        <f t="shared" si="16"/>
        <v>0.15128709677419355</v>
      </c>
      <c r="M118" s="12"/>
      <c r="N118" s="12"/>
      <c r="O118" s="12">
        <f t="shared" si="19"/>
        <v>75.643548387096772</v>
      </c>
      <c r="P118" s="12"/>
      <c r="Q118" s="12"/>
      <c r="R118" s="28">
        <f t="shared" si="20"/>
        <v>-23.456790123456788</v>
      </c>
    </row>
    <row r="119" spans="1:18" ht="16.5" hidden="1" customHeight="1" x14ac:dyDescent="0.25">
      <c r="A119" s="17">
        <v>45525</v>
      </c>
      <c r="B119" s="10" t="s">
        <v>130</v>
      </c>
      <c r="C119" s="10">
        <v>300</v>
      </c>
      <c r="D119" s="19">
        <v>0</v>
      </c>
      <c r="E119" s="11">
        <v>0.41499999999999998</v>
      </c>
      <c r="F119" s="10">
        <f t="shared" si="12"/>
        <v>1000</v>
      </c>
      <c r="G119" s="10">
        <f t="shared" si="13"/>
        <v>0.3</v>
      </c>
      <c r="H119" s="12">
        <f t="shared" si="14"/>
        <v>0.3</v>
      </c>
      <c r="I119" s="12">
        <v>0.02</v>
      </c>
      <c r="J119" s="12">
        <v>7.0000000000000007E-2</v>
      </c>
      <c r="K119" s="12">
        <f t="shared" si="15"/>
        <v>0.16184999999999999</v>
      </c>
      <c r="L119" s="12">
        <f t="shared" si="16"/>
        <v>0.55184999999999995</v>
      </c>
      <c r="M119" s="12"/>
      <c r="N119" s="12"/>
      <c r="O119" s="12">
        <f t="shared" si="19"/>
        <v>275.92499999999995</v>
      </c>
      <c r="P119" s="12"/>
      <c r="Q119" s="12"/>
      <c r="R119" s="28">
        <f t="shared" si="20"/>
        <v>29.328621908127211</v>
      </c>
    </row>
    <row r="120" spans="1:18" ht="16.5" hidden="1" customHeight="1" x14ac:dyDescent="0.25">
      <c r="A120" s="17">
        <v>45525</v>
      </c>
      <c r="B120" s="10" t="s">
        <v>93</v>
      </c>
      <c r="C120" s="10">
        <v>470</v>
      </c>
      <c r="D120" s="19">
        <v>0</v>
      </c>
      <c r="E120" s="11">
        <v>0.34</v>
      </c>
      <c r="F120" s="10">
        <f t="shared" si="12"/>
        <v>1000</v>
      </c>
      <c r="G120" s="10">
        <f t="shared" si="13"/>
        <v>0.47</v>
      </c>
      <c r="H120" s="12">
        <f t="shared" si="14"/>
        <v>0.47</v>
      </c>
      <c r="I120" s="12">
        <v>0.02</v>
      </c>
      <c r="J120" s="12">
        <v>7.0000000000000007E-2</v>
      </c>
      <c r="K120" s="12">
        <f t="shared" si="15"/>
        <v>0.19040000000000004</v>
      </c>
      <c r="L120" s="12">
        <f t="shared" si="16"/>
        <v>0.75040000000000007</v>
      </c>
      <c r="M120" s="12"/>
      <c r="N120" s="12"/>
      <c r="O120" s="12">
        <f t="shared" si="19"/>
        <v>375.20000000000005</v>
      </c>
      <c r="P120" s="12"/>
      <c r="Q120" s="12"/>
      <c r="R120" s="28">
        <f t="shared" si="20"/>
        <v>25.373134328358212</v>
      </c>
    </row>
    <row r="121" spans="1:18" ht="16.5" hidden="1" customHeight="1" x14ac:dyDescent="0.25">
      <c r="A121" s="17">
        <v>45525</v>
      </c>
      <c r="B121" s="10" t="s">
        <v>90</v>
      </c>
      <c r="C121" s="10">
        <v>300</v>
      </c>
      <c r="D121" s="19">
        <v>0.11</v>
      </c>
      <c r="E121" s="11">
        <v>0.38500000000000001</v>
      </c>
      <c r="F121" s="10">
        <f t="shared" si="12"/>
        <v>890</v>
      </c>
      <c r="G121" s="10">
        <f t="shared" si="13"/>
        <v>0.3</v>
      </c>
      <c r="H121" s="12">
        <f t="shared" si="14"/>
        <v>0.33707865168539325</v>
      </c>
      <c r="I121" s="12">
        <v>0.02</v>
      </c>
      <c r="J121" s="12">
        <v>7.0000000000000007E-2</v>
      </c>
      <c r="K121" s="12">
        <f t="shared" si="15"/>
        <v>0.16442528089887642</v>
      </c>
      <c r="L121" s="12">
        <f t="shared" si="16"/>
        <v>0.5915039325842697</v>
      </c>
      <c r="M121" s="12"/>
      <c r="N121" s="12"/>
      <c r="O121" s="12">
        <f t="shared" si="19"/>
        <v>295.75196629213485</v>
      </c>
      <c r="P121" s="12"/>
      <c r="Q121" s="12"/>
      <c r="R121" s="28">
        <f t="shared" si="20"/>
        <v>27.797833935018051</v>
      </c>
    </row>
    <row r="122" spans="1:18" ht="16.5" hidden="1" customHeight="1" x14ac:dyDescent="0.25">
      <c r="A122" s="17">
        <v>45525</v>
      </c>
      <c r="B122" s="10" t="s">
        <v>91</v>
      </c>
      <c r="C122" s="10">
        <v>300</v>
      </c>
      <c r="D122" s="19">
        <v>0.11</v>
      </c>
      <c r="E122" s="11">
        <v>0.52500000000000002</v>
      </c>
      <c r="F122" s="10">
        <f t="shared" si="12"/>
        <v>890</v>
      </c>
      <c r="G122" s="10">
        <f t="shared" si="13"/>
        <v>0.3</v>
      </c>
      <c r="H122" s="12">
        <f t="shared" si="14"/>
        <v>0.33707865168539325</v>
      </c>
      <c r="I122" s="12">
        <v>0.02</v>
      </c>
      <c r="J122" s="12">
        <v>7.0000000000000007E-2</v>
      </c>
      <c r="K122" s="12">
        <f t="shared" si="15"/>
        <v>0.22421629213483149</v>
      </c>
      <c r="L122" s="12">
        <f t="shared" si="16"/>
        <v>0.65129494382022479</v>
      </c>
      <c r="M122" s="12"/>
      <c r="N122" s="12"/>
      <c r="O122" s="12">
        <f t="shared" si="19"/>
        <v>325.64747191011242</v>
      </c>
      <c r="P122" s="12"/>
      <c r="Q122" s="12"/>
      <c r="R122" s="28">
        <f t="shared" si="20"/>
        <v>34.426229508196727</v>
      </c>
    </row>
    <row r="123" spans="1:18" ht="16.5" hidden="1" customHeight="1" x14ac:dyDescent="0.25">
      <c r="A123" s="17">
        <v>45526</v>
      </c>
      <c r="B123" s="10" t="s">
        <v>114</v>
      </c>
      <c r="C123" s="10">
        <v>550</v>
      </c>
      <c r="D123" s="19">
        <v>0.57999999999999996</v>
      </c>
      <c r="E123" s="11">
        <v>0.36</v>
      </c>
      <c r="F123" s="10">
        <f t="shared" si="12"/>
        <v>420</v>
      </c>
      <c r="G123" s="10">
        <f t="shared" si="13"/>
        <v>0.55000000000000004</v>
      </c>
      <c r="H123" s="12">
        <f t="shared" si="14"/>
        <v>1.3095238095238095</v>
      </c>
      <c r="I123" s="12">
        <v>0.02</v>
      </c>
      <c r="J123" s="12">
        <v>7.0000000000000007E-2</v>
      </c>
      <c r="K123" s="12">
        <f t="shared" si="15"/>
        <v>0.5038285714285714</v>
      </c>
      <c r="L123" s="12">
        <f t="shared" si="16"/>
        <v>1.9033523809523811</v>
      </c>
      <c r="M123" s="12">
        <f>L123*250</f>
        <v>475.83809523809526</v>
      </c>
      <c r="N123" s="12"/>
      <c r="O123" s="12"/>
      <c r="P123" s="12"/>
      <c r="Q123" s="12"/>
      <c r="R123" s="28">
        <f t="shared" si="20"/>
        <v>26.470588235294112</v>
      </c>
    </row>
    <row r="124" spans="1:18" ht="16.5" hidden="1" customHeight="1" x14ac:dyDescent="0.25">
      <c r="A124" s="17">
        <v>45526</v>
      </c>
      <c r="B124" s="10" t="s">
        <v>120</v>
      </c>
      <c r="C124" s="10">
        <v>250</v>
      </c>
      <c r="D124" s="19">
        <v>0.59</v>
      </c>
      <c r="E124" s="11">
        <v>0.28999999999999998</v>
      </c>
      <c r="F124" s="10">
        <f t="shared" si="12"/>
        <v>410</v>
      </c>
      <c r="G124" s="10">
        <f t="shared" si="13"/>
        <v>0.25</v>
      </c>
      <c r="H124" s="12">
        <f t="shared" si="14"/>
        <v>0.6097560975609756</v>
      </c>
      <c r="I124" s="12">
        <v>0.02</v>
      </c>
      <c r="J124" s="12">
        <v>7.0000000000000007E-2</v>
      </c>
      <c r="K124" s="12">
        <f t="shared" si="15"/>
        <v>0.2029292682926829</v>
      </c>
      <c r="L124" s="12">
        <f t="shared" si="16"/>
        <v>0.90268536585365844</v>
      </c>
      <c r="M124" s="12">
        <f>L124*250</f>
        <v>225.67134146341462</v>
      </c>
      <c r="N124" s="12"/>
      <c r="O124" s="12"/>
      <c r="P124" s="12"/>
      <c r="Q124" s="12"/>
      <c r="R124" s="28">
        <f t="shared" si="20"/>
        <v>22.480620155038761</v>
      </c>
    </row>
    <row r="125" spans="1:18" ht="16.5" hidden="1" customHeight="1" x14ac:dyDescent="0.25">
      <c r="A125" s="17">
        <v>45527</v>
      </c>
      <c r="B125" s="10" t="s">
        <v>40</v>
      </c>
      <c r="C125" s="10">
        <v>160</v>
      </c>
      <c r="D125" s="19">
        <v>0.51</v>
      </c>
      <c r="E125" s="11">
        <v>-0.155</v>
      </c>
      <c r="F125" s="10">
        <f t="shared" si="12"/>
        <v>490</v>
      </c>
      <c r="G125" s="10">
        <f t="shared" si="13"/>
        <v>0.16</v>
      </c>
      <c r="H125" s="12">
        <f t="shared" si="14"/>
        <v>0.32653061224489793</v>
      </c>
      <c r="I125" s="12">
        <v>0.02</v>
      </c>
      <c r="J125" s="12">
        <v>7.0000000000000007E-2</v>
      </c>
      <c r="K125" s="12">
        <f t="shared" si="15"/>
        <v>-6.4562244897959184E-2</v>
      </c>
      <c r="L125" s="12">
        <f t="shared" si="16"/>
        <v>0.35196836734693876</v>
      </c>
      <c r="M125" s="12"/>
      <c r="N125" s="12"/>
      <c r="O125" s="12">
        <f>L125*500</f>
        <v>175.98418367346937</v>
      </c>
      <c r="P125" s="12"/>
      <c r="Q125" s="12"/>
      <c r="R125" s="28">
        <f t="shared" si="20"/>
        <v>-18.34319526627219</v>
      </c>
    </row>
    <row r="126" spans="1:18" ht="16.5" hidden="1" customHeight="1" x14ac:dyDescent="0.25">
      <c r="A126" s="17">
        <v>45527</v>
      </c>
      <c r="B126" s="10" t="s">
        <v>90</v>
      </c>
      <c r="C126" s="10">
        <v>300</v>
      </c>
      <c r="D126" s="19">
        <v>0.17</v>
      </c>
      <c r="E126" s="11">
        <v>0.31</v>
      </c>
      <c r="F126" s="10">
        <f t="shared" si="12"/>
        <v>830</v>
      </c>
      <c r="G126" s="10">
        <f t="shared" si="13"/>
        <v>0.3</v>
      </c>
      <c r="H126" s="12">
        <f t="shared" si="14"/>
        <v>0.36144578313253012</v>
      </c>
      <c r="I126" s="12">
        <v>0.02</v>
      </c>
      <c r="J126" s="12">
        <v>7.0000000000000007E-2</v>
      </c>
      <c r="K126" s="12">
        <f t="shared" si="15"/>
        <v>0.13994819277108433</v>
      </c>
      <c r="L126" s="12">
        <f t="shared" si="16"/>
        <v>0.59139397590361442</v>
      </c>
      <c r="M126" s="12"/>
      <c r="N126" s="12"/>
      <c r="O126" s="12">
        <f>L126*500</f>
        <v>295.69698795180722</v>
      </c>
      <c r="P126" s="12"/>
      <c r="Q126" s="12"/>
      <c r="R126" s="28">
        <f t="shared" si="20"/>
        <v>23.664122137404583</v>
      </c>
    </row>
    <row r="127" spans="1:18" ht="16.5" hidden="1" customHeight="1" x14ac:dyDescent="0.25">
      <c r="A127" s="17">
        <v>45527</v>
      </c>
      <c r="B127" s="10" t="s">
        <v>116</v>
      </c>
      <c r="C127" s="10">
        <v>160</v>
      </c>
      <c r="D127" s="19">
        <v>0.17</v>
      </c>
      <c r="E127" s="11">
        <v>1.3</v>
      </c>
      <c r="F127" s="10">
        <f t="shared" si="12"/>
        <v>830</v>
      </c>
      <c r="G127" s="10">
        <f t="shared" si="13"/>
        <v>0.16</v>
      </c>
      <c r="H127" s="12">
        <f t="shared" si="14"/>
        <v>0.19277108433734941</v>
      </c>
      <c r="I127" s="12">
        <v>0.02</v>
      </c>
      <c r="J127" s="12">
        <v>7.0000000000000007E-2</v>
      </c>
      <c r="K127" s="12">
        <f t="shared" si="15"/>
        <v>0.36760240963855428</v>
      </c>
      <c r="L127" s="12">
        <f t="shared" si="16"/>
        <v>0.65037349397590372</v>
      </c>
      <c r="M127" s="12"/>
      <c r="N127" s="12"/>
      <c r="O127" s="12">
        <f>L127*500</f>
        <v>325.18674698795184</v>
      </c>
      <c r="P127" s="12"/>
      <c r="Q127" s="12"/>
      <c r="R127" s="28">
        <f t="shared" si="20"/>
        <v>56.521739130434788</v>
      </c>
    </row>
    <row r="128" spans="1:18" ht="16.5" hidden="1" customHeight="1" x14ac:dyDescent="0.25">
      <c r="A128" s="17">
        <v>45527</v>
      </c>
      <c r="B128" s="10" t="s">
        <v>94</v>
      </c>
      <c r="C128" s="10">
        <v>100</v>
      </c>
      <c r="D128" s="19">
        <v>0.06</v>
      </c>
      <c r="E128" s="11">
        <v>-0.23</v>
      </c>
      <c r="F128" s="10">
        <f t="shared" si="12"/>
        <v>940</v>
      </c>
      <c r="G128" s="10">
        <f t="shared" si="13"/>
        <v>0.1</v>
      </c>
      <c r="H128" s="12">
        <f t="shared" si="14"/>
        <v>0.10638297872340426</v>
      </c>
      <c r="I128" s="12">
        <v>0.02</v>
      </c>
      <c r="J128" s="12">
        <v>7.0000000000000007E-2</v>
      </c>
      <c r="K128" s="12">
        <f t="shared" si="15"/>
        <v>-4.5168085106382982E-2</v>
      </c>
      <c r="L128" s="12">
        <f t="shared" si="16"/>
        <v>0.15121489361702128</v>
      </c>
      <c r="M128" s="12"/>
      <c r="N128" s="12"/>
      <c r="O128" s="12">
        <f>L128*500</f>
        <v>75.607446808510645</v>
      </c>
      <c r="P128" s="12"/>
      <c r="Q128" s="12">
        <f>L128*1000</f>
        <v>151.21489361702129</v>
      </c>
      <c r="R128" s="28">
        <f t="shared" si="20"/>
        <v>-29.870129870129873</v>
      </c>
    </row>
    <row r="129" spans="1:18" ht="16.5" hidden="1" customHeight="1" x14ac:dyDescent="0.25">
      <c r="A129" s="17">
        <v>45527</v>
      </c>
      <c r="B129" s="10" t="s">
        <v>95</v>
      </c>
      <c r="C129" s="10">
        <v>100</v>
      </c>
      <c r="D129" s="19">
        <v>0.06</v>
      </c>
      <c r="E129" s="11">
        <v>-0.23</v>
      </c>
      <c r="F129" s="10">
        <f t="shared" si="12"/>
        <v>940</v>
      </c>
      <c r="G129" s="10">
        <f t="shared" si="13"/>
        <v>0.1</v>
      </c>
      <c r="H129" s="12">
        <f t="shared" si="14"/>
        <v>0.10638297872340426</v>
      </c>
      <c r="I129" s="12">
        <v>0.02</v>
      </c>
      <c r="J129" s="12">
        <v>7.0000000000000007E-2</v>
      </c>
      <c r="K129" s="12">
        <f t="shared" si="15"/>
        <v>-4.5168085106382982E-2</v>
      </c>
      <c r="L129" s="12">
        <f t="shared" si="16"/>
        <v>0.15121489361702128</v>
      </c>
      <c r="M129" s="12"/>
      <c r="N129" s="12"/>
      <c r="O129" s="12">
        <f>L129*500</f>
        <v>75.607446808510645</v>
      </c>
      <c r="P129" s="12"/>
      <c r="Q129" s="12"/>
      <c r="R129" s="28">
        <f t="shared" si="20"/>
        <v>-29.870129870129873</v>
      </c>
    </row>
    <row r="130" spans="1:18" ht="16.5" hidden="1" customHeight="1" x14ac:dyDescent="0.25">
      <c r="A130" s="17">
        <v>45528</v>
      </c>
      <c r="B130" s="10" t="s">
        <v>104</v>
      </c>
      <c r="C130" s="10">
        <v>120</v>
      </c>
      <c r="D130" s="19">
        <v>0.72</v>
      </c>
      <c r="E130" s="11">
        <v>0.125</v>
      </c>
      <c r="F130" s="10">
        <f t="shared" si="12"/>
        <v>280</v>
      </c>
      <c r="G130" s="10">
        <f t="shared" si="13"/>
        <v>0.12</v>
      </c>
      <c r="H130" s="12">
        <f t="shared" si="14"/>
        <v>0.42857142857142855</v>
      </c>
      <c r="I130" s="12">
        <v>0.02</v>
      </c>
      <c r="J130" s="12">
        <v>7.0000000000000007E-2</v>
      </c>
      <c r="K130" s="12">
        <f t="shared" si="15"/>
        <v>6.4821428571428572E-2</v>
      </c>
      <c r="L130" s="12">
        <f t="shared" si="16"/>
        <v>0.58339285714285716</v>
      </c>
      <c r="M130" s="12">
        <f>L130*250</f>
        <v>145.84821428571428</v>
      </c>
      <c r="N130" s="12"/>
      <c r="O130" s="12"/>
      <c r="P130" s="12"/>
      <c r="Q130" s="12"/>
      <c r="R130" s="28">
        <f t="shared" si="20"/>
        <v>11.111111111111111</v>
      </c>
    </row>
    <row r="131" spans="1:18" ht="16.5" hidden="1" customHeight="1" x14ac:dyDescent="0.25">
      <c r="A131" s="17">
        <v>45528</v>
      </c>
      <c r="B131" s="10" t="s">
        <v>105</v>
      </c>
      <c r="C131" s="10">
        <v>120</v>
      </c>
      <c r="D131" s="19">
        <v>0.72</v>
      </c>
      <c r="E131" s="11">
        <v>0.35</v>
      </c>
      <c r="F131" s="10">
        <f t="shared" si="12"/>
        <v>280</v>
      </c>
      <c r="G131" s="10">
        <f t="shared" si="13"/>
        <v>0.12</v>
      </c>
      <c r="H131" s="12">
        <f t="shared" si="14"/>
        <v>0.42857142857142855</v>
      </c>
      <c r="I131" s="12">
        <v>0.02</v>
      </c>
      <c r="J131" s="12">
        <v>7.0000000000000007E-2</v>
      </c>
      <c r="K131" s="12">
        <f t="shared" si="15"/>
        <v>0.18149999999999999</v>
      </c>
      <c r="L131" s="12">
        <f t="shared" si="16"/>
        <v>0.70007142857142857</v>
      </c>
      <c r="M131" s="12">
        <f>L131*250</f>
        <v>175.01785714285714</v>
      </c>
      <c r="N131" s="12"/>
      <c r="O131" s="12"/>
      <c r="P131" s="12"/>
      <c r="Q131" s="12"/>
      <c r="R131" s="28">
        <f t="shared" si="20"/>
        <v>25.925925925925927</v>
      </c>
    </row>
    <row r="132" spans="1:18" ht="16.5" hidden="1" customHeight="1" x14ac:dyDescent="0.25">
      <c r="A132" s="17">
        <v>45528</v>
      </c>
      <c r="B132" s="10" t="s">
        <v>111</v>
      </c>
      <c r="C132" s="10">
        <v>780</v>
      </c>
      <c r="D132" s="19">
        <v>0.41</v>
      </c>
      <c r="E132" s="11">
        <v>0.12</v>
      </c>
      <c r="F132" s="10">
        <f t="shared" si="12"/>
        <v>590</v>
      </c>
      <c r="G132" s="10">
        <f t="shared" si="13"/>
        <v>0.78</v>
      </c>
      <c r="H132" s="12">
        <f t="shared" si="14"/>
        <v>1.3220338983050848</v>
      </c>
      <c r="I132" s="12">
        <v>0.02</v>
      </c>
      <c r="J132" s="12">
        <v>7.0000000000000007E-2</v>
      </c>
      <c r="K132" s="12">
        <f t="shared" si="15"/>
        <v>0.16944406779661017</v>
      </c>
      <c r="L132" s="12">
        <f t="shared" si="16"/>
        <v>1.5814779661016951</v>
      </c>
      <c r="M132" s="12">
        <f>L132*250</f>
        <v>395.36949152542377</v>
      </c>
      <c r="N132" s="12"/>
      <c r="O132" s="12" t="s">
        <v>72</v>
      </c>
      <c r="P132" s="12"/>
      <c r="Q132" s="12"/>
      <c r="R132" s="28">
        <f t="shared" si="20"/>
        <v>10.714285714285714</v>
      </c>
    </row>
    <row r="133" spans="1:18" ht="16.5" hidden="1" customHeight="1" x14ac:dyDescent="0.25">
      <c r="A133" s="17">
        <v>45528</v>
      </c>
      <c r="B133" s="10" t="s">
        <v>112</v>
      </c>
      <c r="C133" s="10">
        <v>780</v>
      </c>
      <c r="D133" s="19">
        <v>0.41</v>
      </c>
      <c r="E133" s="11">
        <v>9.8000000000000004E-2</v>
      </c>
      <c r="F133" s="10">
        <f t="shared" si="12"/>
        <v>590</v>
      </c>
      <c r="G133" s="10">
        <f t="shared" si="13"/>
        <v>0.78</v>
      </c>
      <c r="H133" s="12">
        <f t="shared" si="14"/>
        <v>1.3220338983050848</v>
      </c>
      <c r="I133" s="12">
        <v>0.02</v>
      </c>
      <c r="J133" s="12">
        <v>7.0000000000000007E-2</v>
      </c>
      <c r="K133" s="12">
        <f t="shared" si="15"/>
        <v>0.13837932203389833</v>
      </c>
      <c r="L133" s="12">
        <f t="shared" si="16"/>
        <v>1.5504132203389831</v>
      </c>
      <c r="M133" s="12"/>
      <c r="N133" s="12"/>
      <c r="O133" s="12">
        <f t="shared" ref="O133:O139" si="21">L133*500</f>
        <v>775.20661016949157</v>
      </c>
      <c r="P133" s="12"/>
      <c r="Q133" s="12"/>
      <c r="R133" s="28">
        <f t="shared" si="20"/>
        <v>8.9253187613843359</v>
      </c>
    </row>
    <row r="134" spans="1:18" ht="16.5" hidden="1" customHeight="1" x14ac:dyDescent="0.25">
      <c r="A134" s="17">
        <v>45528</v>
      </c>
      <c r="B134" s="10" t="s">
        <v>90</v>
      </c>
      <c r="C134" s="10">
        <v>320</v>
      </c>
      <c r="D134" s="19">
        <v>0.24</v>
      </c>
      <c r="E134" s="11">
        <v>0.155</v>
      </c>
      <c r="F134" s="10">
        <f t="shared" si="12"/>
        <v>760</v>
      </c>
      <c r="G134" s="10">
        <f t="shared" si="13"/>
        <v>0.32</v>
      </c>
      <c r="H134" s="12">
        <f t="shared" si="14"/>
        <v>0.42105263157894735</v>
      </c>
      <c r="I134" s="12">
        <v>0.02</v>
      </c>
      <c r="J134" s="12">
        <v>7.0000000000000007E-2</v>
      </c>
      <c r="K134" s="12">
        <f t="shared" si="15"/>
        <v>7.9213157894736846E-2</v>
      </c>
      <c r="L134" s="12">
        <f t="shared" si="16"/>
        <v>0.59026578947368424</v>
      </c>
      <c r="M134" s="12"/>
      <c r="N134" s="12"/>
      <c r="O134" s="12">
        <f t="shared" si="21"/>
        <v>295.1328947368421</v>
      </c>
      <c r="P134" s="12"/>
      <c r="Q134" s="12"/>
      <c r="R134" s="28">
        <f t="shared" si="20"/>
        <v>13.419913419913421</v>
      </c>
    </row>
    <row r="135" spans="1:18" ht="16.5" hidden="1" customHeight="1" x14ac:dyDescent="0.25">
      <c r="A135" s="17">
        <v>45528</v>
      </c>
      <c r="B135" s="10" t="s">
        <v>91</v>
      </c>
      <c r="C135" s="10">
        <v>320</v>
      </c>
      <c r="D135" s="19">
        <v>0.24</v>
      </c>
      <c r="E135" s="11">
        <v>0.27200000000000002</v>
      </c>
      <c r="F135" s="10">
        <f t="shared" si="12"/>
        <v>760</v>
      </c>
      <c r="G135" s="10">
        <f t="shared" si="13"/>
        <v>0.32</v>
      </c>
      <c r="H135" s="12">
        <f t="shared" si="14"/>
        <v>0.42105263157894735</v>
      </c>
      <c r="I135" s="12">
        <v>0.02</v>
      </c>
      <c r="J135" s="12">
        <v>7.0000000000000007E-2</v>
      </c>
      <c r="K135" s="12">
        <f t="shared" si="15"/>
        <v>0.1390063157894737</v>
      </c>
      <c r="L135" s="12">
        <f t="shared" si="16"/>
        <v>0.65005894736842107</v>
      </c>
      <c r="M135" s="12"/>
      <c r="N135" s="12"/>
      <c r="O135" s="12">
        <f t="shared" si="21"/>
        <v>325.02947368421053</v>
      </c>
      <c r="P135" s="12"/>
      <c r="Q135" s="12"/>
      <c r="R135" s="28">
        <f t="shared" si="20"/>
        <v>21.383647798742139</v>
      </c>
    </row>
    <row r="136" spans="1:18" ht="16.5" hidden="1" customHeight="1" x14ac:dyDescent="0.25">
      <c r="A136" s="17">
        <v>45528</v>
      </c>
      <c r="B136" s="10" t="s">
        <v>93</v>
      </c>
      <c r="C136" s="10">
        <v>470</v>
      </c>
      <c r="D136" s="19">
        <v>0.1</v>
      </c>
      <c r="E136" s="11">
        <v>0.22600000000000001</v>
      </c>
      <c r="F136" s="10">
        <f t="shared" ref="F136:F199" si="22">1000-1000*D136</f>
        <v>900</v>
      </c>
      <c r="G136" s="10">
        <f t="shared" ref="G136:G199" si="23">C136/1000</f>
        <v>0.47</v>
      </c>
      <c r="H136" s="12">
        <f t="shared" ref="H136:H199" si="24">C136/F136</f>
        <v>0.52222222222222225</v>
      </c>
      <c r="I136" s="12">
        <v>0.02</v>
      </c>
      <c r="J136" s="12">
        <v>7.0000000000000007E-2</v>
      </c>
      <c r="K136" s="12">
        <f t="shared" ref="K136:K199" si="25">SUM(H136:J136)*E136</f>
        <v>0.13836222222222222</v>
      </c>
      <c r="L136" s="12">
        <f t="shared" ref="L136:L199" si="26">SUM(H136:K136)</f>
        <v>0.7505844444444445</v>
      </c>
      <c r="M136" s="12"/>
      <c r="N136" s="12"/>
      <c r="O136" s="12">
        <f t="shared" si="21"/>
        <v>375.29222222222222</v>
      </c>
      <c r="P136" s="12"/>
      <c r="Q136" s="12"/>
      <c r="R136" s="28">
        <f t="shared" si="20"/>
        <v>18.433931484502445</v>
      </c>
    </row>
    <row r="137" spans="1:18" ht="16.5" hidden="1" customHeight="1" x14ac:dyDescent="0.25">
      <c r="A137" s="17">
        <v>45528</v>
      </c>
      <c r="B137" s="10" t="s">
        <v>197</v>
      </c>
      <c r="C137" s="10">
        <v>470</v>
      </c>
      <c r="D137" s="19">
        <v>0.1</v>
      </c>
      <c r="E137" s="11">
        <v>6.2E-2</v>
      </c>
      <c r="F137" s="10">
        <f t="shared" si="22"/>
        <v>900</v>
      </c>
      <c r="G137" s="10">
        <f t="shared" si="23"/>
        <v>0.47</v>
      </c>
      <c r="H137" s="12">
        <f t="shared" si="24"/>
        <v>0.52222222222222225</v>
      </c>
      <c r="I137" s="12">
        <v>0.02</v>
      </c>
      <c r="J137" s="12">
        <v>7.0000000000000007E-2</v>
      </c>
      <c r="K137" s="12">
        <f t="shared" si="25"/>
        <v>3.7957777777777778E-2</v>
      </c>
      <c r="L137" s="12">
        <f t="shared" si="26"/>
        <v>0.65017999999999998</v>
      </c>
      <c r="M137" s="12"/>
      <c r="N137" s="12"/>
      <c r="O137" s="12">
        <f t="shared" si="21"/>
        <v>325.08999999999997</v>
      </c>
      <c r="P137" s="12"/>
      <c r="Q137" s="12"/>
      <c r="R137" s="28">
        <f t="shared" si="20"/>
        <v>5.8380414312617708</v>
      </c>
    </row>
    <row r="138" spans="1:18" ht="16.5" hidden="1" customHeight="1" x14ac:dyDescent="0.25">
      <c r="A138" s="17">
        <v>45528</v>
      </c>
      <c r="B138" s="10" t="s">
        <v>108</v>
      </c>
      <c r="C138" s="10">
        <v>400</v>
      </c>
      <c r="D138" s="19">
        <v>3.7999999999999999E-2</v>
      </c>
      <c r="E138" s="11">
        <v>0.28599999999999998</v>
      </c>
      <c r="F138" s="10">
        <f t="shared" si="22"/>
        <v>962</v>
      </c>
      <c r="G138" s="10">
        <f t="shared" si="23"/>
        <v>0.4</v>
      </c>
      <c r="H138" s="12">
        <f t="shared" si="24"/>
        <v>0.41580041580041582</v>
      </c>
      <c r="I138" s="12">
        <v>0.02</v>
      </c>
      <c r="J138" s="12">
        <v>7.0000000000000007E-2</v>
      </c>
      <c r="K138" s="12">
        <f t="shared" si="25"/>
        <v>0.14465891891891894</v>
      </c>
      <c r="L138" s="12">
        <f t="shared" si="26"/>
        <v>0.65045933471933481</v>
      </c>
      <c r="M138" s="12"/>
      <c r="N138" s="12"/>
      <c r="O138" s="12">
        <f t="shared" si="21"/>
        <v>325.22966735966742</v>
      </c>
      <c r="P138" s="12"/>
      <c r="Q138" s="12"/>
      <c r="R138" s="28">
        <v>17.012448132780083</v>
      </c>
    </row>
    <row r="139" spans="1:18" ht="16.5" hidden="1" customHeight="1" x14ac:dyDescent="0.25">
      <c r="A139" s="17">
        <v>45528</v>
      </c>
      <c r="B139" s="10" t="s">
        <v>92</v>
      </c>
      <c r="C139" s="10">
        <v>400</v>
      </c>
      <c r="D139" s="19">
        <v>3.7999999999999999E-2</v>
      </c>
      <c r="E139" s="11">
        <v>0.28599999999999998</v>
      </c>
      <c r="F139" s="10">
        <f t="shared" si="22"/>
        <v>962</v>
      </c>
      <c r="G139" s="10">
        <f t="shared" si="23"/>
        <v>0.4</v>
      </c>
      <c r="H139" s="12">
        <f t="shared" si="24"/>
        <v>0.41580041580041582</v>
      </c>
      <c r="I139" s="12">
        <v>0.02</v>
      </c>
      <c r="J139" s="12">
        <v>7.0000000000000007E-2</v>
      </c>
      <c r="K139" s="12">
        <f t="shared" si="25"/>
        <v>0.14465891891891894</v>
      </c>
      <c r="L139" s="12">
        <f t="shared" si="26"/>
        <v>0.65045933471933481</v>
      </c>
      <c r="M139" s="12"/>
      <c r="N139" s="12"/>
      <c r="O139" s="12">
        <f t="shared" si="21"/>
        <v>325.22966735966742</v>
      </c>
      <c r="P139" s="12"/>
      <c r="Q139" s="12"/>
      <c r="R139" s="28">
        <v>16.666666666666668</v>
      </c>
    </row>
    <row r="140" spans="1:18" ht="16.5" hidden="1" customHeight="1" x14ac:dyDescent="0.25">
      <c r="A140" s="17">
        <v>45529</v>
      </c>
      <c r="B140" s="10" t="s">
        <v>111</v>
      </c>
      <c r="C140" s="10">
        <v>770</v>
      </c>
      <c r="D140" s="19">
        <v>0.35</v>
      </c>
      <c r="E140" s="11">
        <v>0.24</v>
      </c>
      <c r="F140" s="10">
        <f t="shared" si="22"/>
        <v>650</v>
      </c>
      <c r="G140" s="10">
        <f t="shared" si="23"/>
        <v>0.77</v>
      </c>
      <c r="H140" s="12">
        <f t="shared" si="24"/>
        <v>1.1846153846153846</v>
      </c>
      <c r="I140" s="12">
        <v>0.02</v>
      </c>
      <c r="J140" s="12">
        <v>7.0000000000000007E-2</v>
      </c>
      <c r="K140" s="12">
        <f t="shared" si="25"/>
        <v>0.30590769230769232</v>
      </c>
      <c r="L140" s="12">
        <f t="shared" si="26"/>
        <v>1.5805230769230771</v>
      </c>
      <c r="M140" s="12">
        <f>L140*250</f>
        <v>395.13076923076926</v>
      </c>
      <c r="N140" s="12"/>
      <c r="O140" s="12"/>
      <c r="P140" s="12"/>
      <c r="Q140" s="12"/>
      <c r="R140" s="28">
        <f t="shared" ref="R140:R154" si="27">K140/L140%</f>
        <v>19.354838709677416</v>
      </c>
    </row>
    <row r="141" spans="1:18" ht="16.5" hidden="1" customHeight="1" x14ac:dyDescent="0.25">
      <c r="A141" s="17">
        <v>45529</v>
      </c>
      <c r="B141" s="10" t="s">
        <v>118</v>
      </c>
      <c r="C141" s="10">
        <v>300</v>
      </c>
      <c r="D141" s="19">
        <v>0.46</v>
      </c>
      <c r="E141" s="11">
        <v>0.09</v>
      </c>
      <c r="F141" s="10">
        <f t="shared" si="22"/>
        <v>540</v>
      </c>
      <c r="G141" s="10">
        <f t="shared" si="23"/>
        <v>0.3</v>
      </c>
      <c r="H141" s="12">
        <f t="shared" si="24"/>
        <v>0.55555555555555558</v>
      </c>
      <c r="I141" s="12">
        <v>0.02</v>
      </c>
      <c r="J141" s="12">
        <v>7.0000000000000007E-2</v>
      </c>
      <c r="K141" s="12">
        <f t="shared" si="25"/>
        <v>5.8100000000000006E-2</v>
      </c>
      <c r="L141" s="12">
        <f t="shared" si="26"/>
        <v>0.7036555555555557</v>
      </c>
      <c r="M141" s="12">
        <f>L141*250</f>
        <v>175.91388888888892</v>
      </c>
      <c r="N141" s="12"/>
      <c r="O141" s="12"/>
      <c r="P141" s="12"/>
      <c r="Q141" s="12"/>
      <c r="R141" s="28">
        <f t="shared" si="27"/>
        <v>8.2568807339449535</v>
      </c>
    </row>
    <row r="142" spans="1:18" ht="16.5" hidden="1" customHeight="1" x14ac:dyDescent="0.25">
      <c r="A142" s="17">
        <v>45529</v>
      </c>
      <c r="B142" s="10" t="s">
        <v>104</v>
      </c>
      <c r="C142" s="10">
        <v>120</v>
      </c>
      <c r="D142" s="19">
        <v>0.64</v>
      </c>
      <c r="E142" s="11">
        <v>0.65500000000000003</v>
      </c>
      <c r="F142" s="10">
        <f t="shared" si="22"/>
        <v>360</v>
      </c>
      <c r="G142" s="10">
        <f t="shared" si="23"/>
        <v>0.12</v>
      </c>
      <c r="H142" s="12">
        <f t="shared" si="24"/>
        <v>0.33333333333333331</v>
      </c>
      <c r="I142" s="12">
        <v>0.02</v>
      </c>
      <c r="J142" s="12">
        <v>7.0000000000000007E-2</v>
      </c>
      <c r="K142" s="12">
        <f t="shared" si="25"/>
        <v>0.27728333333333333</v>
      </c>
      <c r="L142" s="12">
        <f t="shared" si="26"/>
        <v>0.70061666666666667</v>
      </c>
      <c r="M142" s="12">
        <f>L142*250</f>
        <v>175.15416666666667</v>
      </c>
      <c r="N142" s="12"/>
      <c r="O142" s="12"/>
      <c r="P142" s="12"/>
      <c r="Q142" s="12"/>
      <c r="R142" s="28">
        <f t="shared" si="27"/>
        <v>39.577039274924473</v>
      </c>
    </row>
    <row r="143" spans="1:18" ht="16.5" hidden="1" customHeight="1" x14ac:dyDescent="0.25">
      <c r="A143" s="17">
        <v>45529</v>
      </c>
      <c r="B143" s="10" t="s">
        <v>105</v>
      </c>
      <c r="C143" s="10">
        <v>120</v>
      </c>
      <c r="D143" s="19">
        <v>0.64</v>
      </c>
      <c r="E143" s="11">
        <v>0.65500000000000003</v>
      </c>
      <c r="F143" s="10">
        <f t="shared" si="22"/>
        <v>360</v>
      </c>
      <c r="G143" s="10">
        <f t="shared" si="23"/>
        <v>0.12</v>
      </c>
      <c r="H143" s="12">
        <f t="shared" si="24"/>
        <v>0.33333333333333331</v>
      </c>
      <c r="I143" s="12">
        <v>0.02</v>
      </c>
      <c r="J143" s="12">
        <v>7.0000000000000007E-2</v>
      </c>
      <c r="K143" s="12">
        <f t="shared" si="25"/>
        <v>0.27728333333333333</v>
      </c>
      <c r="L143" s="12">
        <f t="shared" si="26"/>
        <v>0.70061666666666667</v>
      </c>
      <c r="M143" s="12">
        <f>L143*250</f>
        <v>175.15416666666667</v>
      </c>
      <c r="N143" s="12"/>
      <c r="O143" s="12"/>
      <c r="P143" s="12"/>
      <c r="Q143" s="12"/>
      <c r="R143" s="28">
        <f t="shared" si="27"/>
        <v>39.577039274924473</v>
      </c>
    </row>
    <row r="144" spans="1:18" ht="16.5" hidden="1" customHeight="1" x14ac:dyDescent="0.25">
      <c r="A144" s="17" t="s">
        <v>134</v>
      </c>
      <c r="B144" s="10" t="s">
        <v>94</v>
      </c>
      <c r="C144" s="10">
        <v>100</v>
      </c>
      <c r="D144" s="19">
        <v>0.04</v>
      </c>
      <c r="E144" s="11">
        <v>-0.22</v>
      </c>
      <c r="F144" s="10">
        <f t="shared" si="22"/>
        <v>960</v>
      </c>
      <c r="G144" s="10">
        <f t="shared" si="23"/>
        <v>0.1</v>
      </c>
      <c r="H144" s="12">
        <f t="shared" si="24"/>
        <v>0.10416666666666667</v>
      </c>
      <c r="I144" s="12">
        <v>0.02</v>
      </c>
      <c r="J144" s="12">
        <v>7.0000000000000007E-2</v>
      </c>
      <c r="K144" s="12">
        <f t="shared" si="25"/>
        <v>-4.2716666666666674E-2</v>
      </c>
      <c r="L144" s="12">
        <f t="shared" si="26"/>
        <v>0.15145</v>
      </c>
      <c r="M144" s="12"/>
      <c r="N144" s="12"/>
      <c r="O144" s="12">
        <f>L144*500</f>
        <v>75.724999999999994</v>
      </c>
      <c r="P144" s="12"/>
      <c r="Q144" s="12">
        <f>L144*1000</f>
        <v>151.44999999999999</v>
      </c>
      <c r="R144" s="28">
        <f t="shared" si="27"/>
        <v>-28.205128205128208</v>
      </c>
    </row>
    <row r="145" spans="1:18" ht="16.5" hidden="1" customHeight="1" x14ac:dyDescent="0.25">
      <c r="A145" s="17" t="s">
        <v>134</v>
      </c>
      <c r="B145" s="10" t="s">
        <v>95</v>
      </c>
      <c r="C145" s="10">
        <v>100</v>
      </c>
      <c r="D145" s="19">
        <v>0.04</v>
      </c>
      <c r="E145" s="11">
        <v>-0.22</v>
      </c>
      <c r="F145" s="10">
        <f t="shared" si="22"/>
        <v>960</v>
      </c>
      <c r="G145" s="10">
        <f t="shared" si="23"/>
        <v>0.1</v>
      </c>
      <c r="H145" s="12">
        <f t="shared" si="24"/>
        <v>0.10416666666666667</v>
      </c>
      <c r="I145" s="12">
        <v>0.02</v>
      </c>
      <c r="J145" s="12">
        <v>7.0000000000000007E-2</v>
      </c>
      <c r="K145" s="12">
        <f t="shared" si="25"/>
        <v>-4.2716666666666674E-2</v>
      </c>
      <c r="L145" s="12">
        <f t="shared" si="26"/>
        <v>0.15145</v>
      </c>
      <c r="M145" s="12"/>
      <c r="N145" s="12"/>
      <c r="O145" s="12">
        <f>L145*500</f>
        <v>75.724999999999994</v>
      </c>
      <c r="P145" s="12"/>
      <c r="Q145" s="12"/>
      <c r="R145" s="28">
        <f t="shared" si="27"/>
        <v>-28.205128205128208</v>
      </c>
    </row>
    <row r="146" spans="1:18" ht="16.5" hidden="1" customHeight="1" x14ac:dyDescent="0.25">
      <c r="A146" s="17">
        <v>45531</v>
      </c>
      <c r="B146" s="10" t="s">
        <v>115</v>
      </c>
      <c r="C146" s="10">
        <v>250</v>
      </c>
      <c r="D146" s="19">
        <v>0.49</v>
      </c>
      <c r="E146" s="11">
        <v>0.35</v>
      </c>
      <c r="F146" s="10">
        <f t="shared" si="22"/>
        <v>510</v>
      </c>
      <c r="G146" s="10">
        <f t="shared" si="23"/>
        <v>0.25</v>
      </c>
      <c r="H146" s="12">
        <f t="shared" si="24"/>
        <v>0.49019607843137253</v>
      </c>
      <c r="I146" s="12">
        <v>0.02</v>
      </c>
      <c r="J146" s="12">
        <v>7.0000000000000007E-2</v>
      </c>
      <c r="K146" s="12">
        <f t="shared" si="25"/>
        <v>0.20306862745098034</v>
      </c>
      <c r="L146" s="12">
        <f t="shared" si="26"/>
        <v>0.78326470588235275</v>
      </c>
      <c r="M146" s="12">
        <f>L146*250</f>
        <v>195.81617647058818</v>
      </c>
      <c r="N146" s="12"/>
      <c r="O146" s="12" t="s">
        <v>72</v>
      </c>
      <c r="P146" s="12"/>
      <c r="Q146" s="12"/>
      <c r="R146" s="28">
        <f t="shared" si="27"/>
        <v>25.925925925925924</v>
      </c>
    </row>
    <row r="147" spans="1:18" ht="16.5" hidden="1" customHeight="1" x14ac:dyDescent="0.25">
      <c r="A147" s="17">
        <v>45531</v>
      </c>
      <c r="B147" s="10" t="s">
        <v>128</v>
      </c>
      <c r="C147" s="10">
        <v>270</v>
      </c>
      <c r="D147" s="19">
        <v>0.03</v>
      </c>
      <c r="E147" s="11">
        <v>0.495</v>
      </c>
      <c r="F147" s="10">
        <f t="shared" si="22"/>
        <v>970</v>
      </c>
      <c r="G147" s="10">
        <f t="shared" si="23"/>
        <v>0.27</v>
      </c>
      <c r="H147" s="12">
        <f t="shared" si="24"/>
        <v>0.27835051546391754</v>
      </c>
      <c r="I147" s="12">
        <v>0.02</v>
      </c>
      <c r="J147" s="12">
        <v>7.0000000000000007E-2</v>
      </c>
      <c r="K147" s="12">
        <f t="shared" si="25"/>
        <v>0.1823335051546392</v>
      </c>
      <c r="L147" s="12">
        <f t="shared" si="26"/>
        <v>0.55068402061855681</v>
      </c>
      <c r="M147" s="12"/>
      <c r="N147" s="12"/>
      <c r="O147" s="12">
        <f>L147*500</f>
        <v>275.34201030927841</v>
      </c>
      <c r="P147" s="12"/>
      <c r="Q147" s="12"/>
      <c r="R147" s="28">
        <f t="shared" si="27"/>
        <v>33.110367892976583</v>
      </c>
    </row>
    <row r="148" spans="1:18" ht="16.5" hidden="1" customHeight="1" x14ac:dyDescent="0.25">
      <c r="A148" s="17">
        <v>45531</v>
      </c>
      <c r="B148" s="10" t="s">
        <v>91</v>
      </c>
      <c r="C148" s="10">
        <v>360</v>
      </c>
      <c r="D148" s="19">
        <v>0.16</v>
      </c>
      <c r="E148" s="11">
        <v>0.37</v>
      </c>
      <c r="F148" s="10">
        <f t="shared" si="22"/>
        <v>840</v>
      </c>
      <c r="G148" s="10">
        <f t="shared" si="23"/>
        <v>0.36</v>
      </c>
      <c r="H148" s="12">
        <f t="shared" si="24"/>
        <v>0.42857142857142855</v>
      </c>
      <c r="I148" s="12">
        <v>0.02</v>
      </c>
      <c r="J148" s="12">
        <v>7.0000000000000007E-2</v>
      </c>
      <c r="K148" s="12">
        <f t="shared" si="25"/>
        <v>0.19187142857142858</v>
      </c>
      <c r="L148" s="12">
        <f t="shared" si="26"/>
        <v>0.71044285714285715</v>
      </c>
      <c r="M148" s="12"/>
      <c r="N148" s="12"/>
      <c r="O148" s="12">
        <f>L148*500</f>
        <v>355.22142857142859</v>
      </c>
      <c r="P148" s="12"/>
      <c r="Q148" s="12"/>
      <c r="R148" s="28">
        <f t="shared" si="27"/>
        <v>27.007299270072995</v>
      </c>
    </row>
    <row r="149" spans="1:18" ht="16.5" hidden="1" customHeight="1" x14ac:dyDescent="0.25">
      <c r="A149" s="17">
        <v>45531</v>
      </c>
      <c r="B149" s="10" t="s">
        <v>129</v>
      </c>
      <c r="C149" s="10">
        <v>350</v>
      </c>
      <c r="D149" s="19">
        <v>4.8999999999999998E-3</v>
      </c>
      <c r="E149" s="11">
        <v>0.34</v>
      </c>
      <c r="F149" s="10">
        <f t="shared" si="22"/>
        <v>995.1</v>
      </c>
      <c r="G149" s="10">
        <f t="shared" si="23"/>
        <v>0.35</v>
      </c>
      <c r="H149" s="12">
        <f t="shared" si="24"/>
        <v>0.35172344487991158</v>
      </c>
      <c r="I149" s="12">
        <v>0.02</v>
      </c>
      <c r="J149" s="12">
        <v>7.0000000000000007E-2</v>
      </c>
      <c r="K149" s="12">
        <f t="shared" si="25"/>
        <v>0.15018597125916996</v>
      </c>
      <c r="L149" s="12">
        <f t="shared" si="26"/>
        <v>0.59190941613908155</v>
      </c>
      <c r="M149" s="12"/>
      <c r="N149" s="12"/>
      <c r="O149" s="12">
        <f>L149*500</f>
        <v>295.9547080695408</v>
      </c>
      <c r="P149" s="12"/>
      <c r="Q149" s="12"/>
      <c r="R149" s="28">
        <f t="shared" si="27"/>
        <v>25.373134328358212</v>
      </c>
    </row>
    <row r="150" spans="1:18" ht="16.5" hidden="1" customHeight="1" x14ac:dyDescent="0.25">
      <c r="A150" s="17">
        <v>45532</v>
      </c>
      <c r="B150" s="10" t="s">
        <v>118</v>
      </c>
      <c r="C150" s="10">
        <v>300</v>
      </c>
      <c r="D150" s="19">
        <v>0.31</v>
      </c>
      <c r="E150" s="11">
        <v>0.33900000000000002</v>
      </c>
      <c r="F150" s="10">
        <f t="shared" si="22"/>
        <v>690</v>
      </c>
      <c r="G150" s="10">
        <f t="shared" si="23"/>
        <v>0.3</v>
      </c>
      <c r="H150" s="12">
        <f t="shared" si="24"/>
        <v>0.43478260869565216</v>
      </c>
      <c r="I150" s="12">
        <v>0.02</v>
      </c>
      <c r="J150" s="12">
        <v>7.0000000000000007E-2</v>
      </c>
      <c r="K150" s="12">
        <f t="shared" si="25"/>
        <v>0.17790130434782611</v>
      </c>
      <c r="L150" s="12">
        <f t="shared" si="26"/>
        <v>0.70268391304347833</v>
      </c>
      <c r="M150" s="12">
        <f>L150*250</f>
        <v>175.67097826086959</v>
      </c>
      <c r="N150" s="12"/>
      <c r="O150" s="12"/>
      <c r="P150" s="12"/>
      <c r="Q150" s="12"/>
      <c r="R150" s="28">
        <f t="shared" si="27"/>
        <v>25.317401045556384</v>
      </c>
    </row>
    <row r="151" spans="1:18" ht="16.5" hidden="1" customHeight="1" x14ac:dyDescent="0.25">
      <c r="A151" s="17">
        <v>45532</v>
      </c>
      <c r="B151" s="10" t="s">
        <v>111</v>
      </c>
      <c r="C151" s="10">
        <v>700</v>
      </c>
      <c r="D151" s="19">
        <v>0.32</v>
      </c>
      <c r="E151" s="11">
        <v>0.41399999999999998</v>
      </c>
      <c r="F151" s="10">
        <f t="shared" si="22"/>
        <v>680</v>
      </c>
      <c r="G151" s="10">
        <f t="shared" si="23"/>
        <v>0.7</v>
      </c>
      <c r="H151" s="12">
        <f t="shared" si="24"/>
        <v>1.0294117647058822</v>
      </c>
      <c r="I151" s="12">
        <v>0.02</v>
      </c>
      <c r="J151" s="12">
        <v>7.0000000000000007E-2</v>
      </c>
      <c r="K151" s="12">
        <f t="shared" si="25"/>
        <v>0.46343647058823528</v>
      </c>
      <c r="L151" s="12">
        <f t="shared" si="26"/>
        <v>1.5828482352941176</v>
      </c>
      <c r="M151" s="12">
        <f>L151*250</f>
        <v>395.71205882352939</v>
      </c>
      <c r="N151" s="12"/>
      <c r="O151" s="12" t="s">
        <v>72</v>
      </c>
      <c r="P151" s="12"/>
      <c r="Q151" s="12"/>
      <c r="R151" s="28">
        <f t="shared" si="27"/>
        <v>29.278642149929283</v>
      </c>
    </row>
    <row r="152" spans="1:18" ht="16.5" hidden="1" customHeight="1" x14ac:dyDescent="0.25">
      <c r="A152" s="17">
        <v>45532</v>
      </c>
      <c r="B152" s="10" t="s">
        <v>112</v>
      </c>
      <c r="C152" s="10">
        <v>700</v>
      </c>
      <c r="D152" s="19">
        <v>0.32</v>
      </c>
      <c r="E152" s="11">
        <v>0.38500000000000001</v>
      </c>
      <c r="F152" s="10">
        <f t="shared" si="22"/>
        <v>680</v>
      </c>
      <c r="G152" s="10">
        <f t="shared" si="23"/>
        <v>0.7</v>
      </c>
      <c r="H152" s="12">
        <f t="shared" si="24"/>
        <v>1.0294117647058822</v>
      </c>
      <c r="I152" s="12">
        <v>0.02</v>
      </c>
      <c r="J152" s="12">
        <v>7.0000000000000007E-2</v>
      </c>
      <c r="K152" s="12">
        <f t="shared" si="25"/>
        <v>0.4309735294117647</v>
      </c>
      <c r="L152" s="12">
        <f t="shared" si="26"/>
        <v>1.550385294117647</v>
      </c>
      <c r="M152" s="12"/>
      <c r="N152" s="12"/>
      <c r="O152" s="12">
        <f t="shared" ref="O152:O157" si="28">L152*500</f>
        <v>775.19264705882347</v>
      </c>
      <c r="P152" s="12"/>
      <c r="Q152" s="12"/>
      <c r="R152" s="28">
        <f t="shared" si="27"/>
        <v>27.797833935018051</v>
      </c>
    </row>
    <row r="153" spans="1:18" ht="16.5" hidden="1" customHeight="1" x14ac:dyDescent="0.25">
      <c r="A153" s="17">
        <v>45532</v>
      </c>
      <c r="B153" s="10" t="s">
        <v>94</v>
      </c>
      <c r="C153" s="10">
        <v>230</v>
      </c>
      <c r="D153" s="19">
        <v>0.13</v>
      </c>
      <c r="E153" s="11">
        <v>-0.44</v>
      </c>
      <c r="F153" s="10">
        <f t="shared" si="22"/>
        <v>870</v>
      </c>
      <c r="G153" s="10">
        <f t="shared" si="23"/>
        <v>0.23</v>
      </c>
      <c r="H153" s="12">
        <f t="shared" si="24"/>
        <v>0.26436781609195403</v>
      </c>
      <c r="I153" s="12">
        <v>0.02</v>
      </c>
      <c r="J153" s="12">
        <v>7.0000000000000007E-2</v>
      </c>
      <c r="K153" s="12">
        <f t="shared" si="25"/>
        <v>-0.15592183908045978</v>
      </c>
      <c r="L153" s="12">
        <f t="shared" si="26"/>
        <v>0.19844597701149427</v>
      </c>
      <c r="M153" s="12"/>
      <c r="N153" s="12"/>
      <c r="O153" s="12">
        <f t="shared" si="28"/>
        <v>99.222988505747139</v>
      </c>
      <c r="P153" s="12"/>
      <c r="Q153" s="12">
        <f>L153*1000</f>
        <v>198.44597701149428</v>
      </c>
      <c r="R153" s="28">
        <f t="shared" si="27"/>
        <v>-78.571428571428569</v>
      </c>
    </row>
    <row r="154" spans="1:18" ht="16.5" hidden="1" customHeight="1" x14ac:dyDescent="0.25">
      <c r="A154" s="17">
        <v>45532</v>
      </c>
      <c r="B154" s="10" t="s">
        <v>95</v>
      </c>
      <c r="C154" s="10">
        <v>230</v>
      </c>
      <c r="D154" s="19">
        <v>0.13</v>
      </c>
      <c r="E154" s="11">
        <v>-0.44</v>
      </c>
      <c r="F154" s="10">
        <f t="shared" si="22"/>
        <v>870</v>
      </c>
      <c r="G154" s="10">
        <f t="shared" si="23"/>
        <v>0.23</v>
      </c>
      <c r="H154" s="12">
        <f t="shared" si="24"/>
        <v>0.26436781609195403</v>
      </c>
      <c r="I154" s="12">
        <v>0.02</v>
      </c>
      <c r="J154" s="12">
        <v>7.0000000000000007E-2</v>
      </c>
      <c r="K154" s="12">
        <f t="shared" si="25"/>
        <v>-0.15592183908045978</v>
      </c>
      <c r="L154" s="12">
        <f t="shared" si="26"/>
        <v>0.19844597701149427</v>
      </c>
      <c r="M154" s="12"/>
      <c r="N154" s="12"/>
      <c r="O154" s="12">
        <f t="shared" si="28"/>
        <v>99.222988505747139</v>
      </c>
      <c r="P154" s="12"/>
      <c r="Q154" s="12"/>
      <c r="R154" s="28">
        <f t="shared" si="27"/>
        <v>-78.571428571428569</v>
      </c>
    </row>
    <row r="155" spans="1:18" ht="16.5" hidden="1" customHeight="1" x14ac:dyDescent="0.25">
      <c r="A155" s="17">
        <v>45532</v>
      </c>
      <c r="B155" s="10" t="s">
        <v>92</v>
      </c>
      <c r="C155" s="10">
        <v>410</v>
      </c>
      <c r="D155" s="19">
        <v>0</v>
      </c>
      <c r="E155" s="11">
        <v>0.3</v>
      </c>
      <c r="F155" s="10">
        <f t="shared" si="22"/>
        <v>1000</v>
      </c>
      <c r="G155" s="10">
        <f t="shared" si="23"/>
        <v>0.41</v>
      </c>
      <c r="H155" s="12">
        <f t="shared" si="24"/>
        <v>0.41</v>
      </c>
      <c r="I155" s="12">
        <v>0.02</v>
      </c>
      <c r="J155" s="12">
        <v>7.0000000000000007E-2</v>
      </c>
      <c r="K155" s="12">
        <f t="shared" si="25"/>
        <v>0.15</v>
      </c>
      <c r="L155" s="12">
        <f t="shared" si="26"/>
        <v>0.65</v>
      </c>
      <c r="M155" s="12"/>
      <c r="N155" s="12"/>
      <c r="O155" s="12">
        <f t="shared" si="28"/>
        <v>325</v>
      </c>
      <c r="P155" s="12"/>
      <c r="Q155" s="12"/>
      <c r="R155" s="28">
        <v>16.666666666666668</v>
      </c>
    </row>
    <row r="156" spans="1:18" ht="16.5" hidden="1" customHeight="1" x14ac:dyDescent="0.25">
      <c r="A156" s="17">
        <v>45532</v>
      </c>
      <c r="B156" s="10" t="s">
        <v>90</v>
      </c>
      <c r="C156" s="10">
        <v>320</v>
      </c>
      <c r="D156" s="19">
        <v>0.2</v>
      </c>
      <c r="E156" s="11">
        <v>0.20499999999999999</v>
      </c>
      <c r="F156" s="10">
        <f t="shared" si="22"/>
        <v>800</v>
      </c>
      <c r="G156" s="10">
        <f t="shared" si="23"/>
        <v>0.32</v>
      </c>
      <c r="H156" s="12">
        <f t="shared" si="24"/>
        <v>0.4</v>
      </c>
      <c r="I156" s="12">
        <v>0.02</v>
      </c>
      <c r="J156" s="12">
        <v>7.0000000000000007E-2</v>
      </c>
      <c r="K156" s="12">
        <f t="shared" si="25"/>
        <v>0.10045</v>
      </c>
      <c r="L156" s="12">
        <f t="shared" si="26"/>
        <v>0.59045000000000003</v>
      </c>
      <c r="M156" s="12"/>
      <c r="N156" s="12"/>
      <c r="O156" s="12">
        <f t="shared" si="28"/>
        <v>295.22500000000002</v>
      </c>
      <c r="P156" s="12"/>
      <c r="Q156" s="12"/>
      <c r="R156" s="28">
        <f t="shared" ref="R156:R170" si="29">K156/L156%</f>
        <v>17.012448132780083</v>
      </c>
    </row>
    <row r="157" spans="1:18" ht="16.5" hidden="1" customHeight="1" x14ac:dyDescent="0.25">
      <c r="A157" s="17">
        <v>45532</v>
      </c>
      <c r="B157" s="10" t="s">
        <v>197</v>
      </c>
      <c r="C157" s="10">
        <v>320</v>
      </c>
      <c r="D157" s="19">
        <v>0.2</v>
      </c>
      <c r="E157" s="11">
        <v>0.33</v>
      </c>
      <c r="F157" s="10">
        <f t="shared" si="22"/>
        <v>800</v>
      </c>
      <c r="G157" s="10">
        <f t="shared" si="23"/>
        <v>0.32</v>
      </c>
      <c r="H157" s="12">
        <f t="shared" si="24"/>
        <v>0.4</v>
      </c>
      <c r="I157" s="12">
        <v>0.02</v>
      </c>
      <c r="J157" s="12">
        <v>7.0000000000000007E-2</v>
      </c>
      <c r="K157" s="12">
        <f t="shared" si="25"/>
        <v>0.16170000000000001</v>
      </c>
      <c r="L157" s="12">
        <f t="shared" si="26"/>
        <v>0.65170000000000006</v>
      </c>
      <c r="M157" s="12"/>
      <c r="N157" s="12"/>
      <c r="O157" s="12">
        <f t="shared" si="28"/>
        <v>325.85000000000002</v>
      </c>
      <c r="P157" s="12"/>
      <c r="Q157" s="12"/>
      <c r="R157" s="28">
        <f t="shared" si="29"/>
        <v>24.81203007518797</v>
      </c>
    </row>
    <row r="158" spans="1:18" ht="16.5" hidden="1" customHeight="1" x14ac:dyDescent="0.25">
      <c r="A158" s="17">
        <v>45532</v>
      </c>
      <c r="B158" s="10" t="s">
        <v>120</v>
      </c>
      <c r="C158" s="10">
        <v>250</v>
      </c>
      <c r="D158" s="19">
        <v>0.57999999999999996</v>
      </c>
      <c r="E158" s="11">
        <v>0.43099999999999999</v>
      </c>
      <c r="F158" s="10">
        <f t="shared" si="22"/>
        <v>420</v>
      </c>
      <c r="G158" s="10">
        <f t="shared" si="23"/>
        <v>0.25</v>
      </c>
      <c r="H158" s="12">
        <f t="shared" si="24"/>
        <v>0.59523809523809523</v>
      </c>
      <c r="I158" s="12">
        <v>0.02</v>
      </c>
      <c r="J158" s="12">
        <v>7.0000000000000007E-2</v>
      </c>
      <c r="K158" s="12">
        <f t="shared" si="25"/>
        <v>0.29533761904761902</v>
      </c>
      <c r="L158" s="12">
        <f t="shared" si="26"/>
        <v>0.98057571428571422</v>
      </c>
      <c r="M158" s="12">
        <f>L158*250</f>
        <v>245.14392857142855</v>
      </c>
      <c r="N158" s="12"/>
      <c r="O158" s="12"/>
      <c r="P158" s="12"/>
      <c r="Q158" s="12"/>
      <c r="R158" s="28">
        <f t="shared" si="29"/>
        <v>30.118798043326343</v>
      </c>
    </row>
    <row r="159" spans="1:18" ht="16.5" hidden="1" customHeight="1" x14ac:dyDescent="0.25">
      <c r="A159" s="17">
        <v>45533</v>
      </c>
      <c r="B159" s="10" t="s">
        <v>129</v>
      </c>
      <c r="C159" s="10">
        <v>300</v>
      </c>
      <c r="D159" s="19">
        <v>0.02</v>
      </c>
      <c r="E159" s="11">
        <v>0.39</v>
      </c>
      <c r="F159" s="10">
        <f t="shared" si="22"/>
        <v>980</v>
      </c>
      <c r="G159" s="10">
        <f t="shared" si="23"/>
        <v>0.3</v>
      </c>
      <c r="H159" s="12">
        <f t="shared" si="24"/>
        <v>0.30612244897959184</v>
      </c>
      <c r="I159" s="12">
        <v>0.02</v>
      </c>
      <c r="J159" s="12">
        <v>7.0000000000000007E-2</v>
      </c>
      <c r="K159" s="12">
        <f t="shared" si="25"/>
        <v>0.15448775510204082</v>
      </c>
      <c r="L159" s="12">
        <f t="shared" si="26"/>
        <v>0.55061020408163275</v>
      </c>
      <c r="M159" s="12"/>
      <c r="N159" s="12"/>
      <c r="O159" s="12">
        <f>L159*500</f>
        <v>275.30510204081639</v>
      </c>
      <c r="P159" s="12"/>
      <c r="Q159" s="12"/>
      <c r="R159" s="28">
        <f t="shared" si="29"/>
        <v>28.057553956834528</v>
      </c>
    </row>
    <row r="160" spans="1:18" ht="16.5" hidden="1" customHeight="1" x14ac:dyDescent="0.25">
      <c r="A160" s="17">
        <v>45533</v>
      </c>
      <c r="B160" s="10" t="s">
        <v>90</v>
      </c>
      <c r="C160" s="10">
        <v>330</v>
      </c>
      <c r="D160" s="19">
        <v>0.17</v>
      </c>
      <c r="E160" s="11">
        <v>0.21299999999999999</v>
      </c>
      <c r="F160" s="10">
        <f t="shared" si="22"/>
        <v>830</v>
      </c>
      <c r="G160" s="10">
        <f t="shared" si="23"/>
        <v>0.33</v>
      </c>
      <c r="H160" s="12">
        <f t="shared" si="24"/>
        <v>0.39759036144578314</v>
      </c>
      <c r="I160" s="12">
        <v>0.02</v>
      </c>
      <c r="J160" s="12">
        <v>7.0000000000000007E-2</v>
      </c>
      <c r="K160" s="12">
        <f t="shared" si="25"/>
        <v>0.10385674698795182</v>
      </c>
      <c r="L160" s="12">
        <f t="shared" si="26"/>
        <v>0.59144710843373494</v>
      </c>
      <c r="M160" s="12"/>
      <c r="N160" s="12"/>
      <c r="O160" s="12">
        <f>L160*500</f>
        <v>295.72355421686746</v>
      </c>
      <c r="P160" s="12"/>
      <c r="Q160" s="12"/>
      <c r="R160" s="28">
        <f t="shared" si="29"/>
        <v>17.559769167353668</v>
      </c>
    </row>
    <row r="161" spans="1:18" ht="16.5" hidden="1" customHeight="1" x14ac:dyDescent="0.25">
      <c r="A161" s="17">
        <v>45533</v>
      </c>
      <c r="B161" s="10" t="s">
        <v>138</v>
      </c>
      <c r="C161" s="10">
        <v>430</v>
      </c>
      <c r="D161" s="19">
        <v>0.56999999999999995</v>
      </c>
      <c r="E161" s="11">
        <v>0.377</v>
      </c>
      <c r="F161" s="10">
        <f t="shared" si="22"/>
        <v>430</v>
      </c>
      <c r="G161" s="10">
        <f t="shared" si="23"/>
        <v>0.43</v>
      </c>
      <c r="H161" s="12">
        <f t="shared" si="24"/>
        <v>1</v>
      </c>
      <c r="I161" s="12">
        <v>0.02</v>
      </c>
      <c r="J161" s="12">
        <v>7.0000000000000007E-2</v>
      </c>
      <c r="K161" s="12">
        <f t="shared" si="25"/>
        <v>0.41093000000000002</v>
      </c>
      <c r="L161" s="12">
        <f t="shared" si="26"/>
        <v>1.5009300000000001</v>
      </c>
      <c r="M161" s="12">
        <f>L161*250</f>
        <v>375.23250000000002</v>
      </c>
      <c r="N161" s="12"/>
      <c r="O161" s="12"/>
      <c r="P161" s="12"/>
      <c r="Q161" s="12"/>
      <c r="R161" s="28">
        <f t="shared" si="29"/>
        <v>27.378358750907768</v>
      </c>
    </row>
    <row r="162" spans="1:18" ht="16.5" hidden="1" customHeight="1" x14ac:dyDescent="0.25">
      <c r="A162" s="17">
        <v>45533</v>
      </c>
      <c r="B162" s="2" t="s">
        <v>143</v>
      </c>
      <c r="C162" s="10">
        <v>430</v>
      </c>
      <c r="D162" s="19">
        <v>0.56999999999999995</v>
      </c>
      <c r="E162" s="11">
        <v>0.33200000000000002</v>
      </c>
      <c r="F162" s="10">
        <f t="shared" si="22"/>
        <v>430</v>
      </c>
      <c r="G162" s="10">
        <f t="shared" si="23"/>
        <v>0.43</v>
      </c>
      <c r="H162" s="12">
        <f t="shared" si="24"/>
        <v>1</v>
      </c>
      <c r="I162" s="12">
        <v>0.02</v>
      </c>
      <c r="J162" s="12">
        <v>7.0000000000000007E-2</v>
      </c>
      <c r="K162" s="12">
        <f t="shared" si="25"/>
        <v>0.36188000000000003</v>
      </c>
      <c r="L162" s="12">
        <f t="shared" si="26"/>
        <v>1.4518800000000001</v>
      </c>
      <c r="M162" s="12"/>
      <c r="N162" s="12"/>
      <c r="O162" s="12">
        <f>L162*500</f>
        <v>725.94</v>
      </c>
      <c r="P162" s="12"/>
      <c r="Q162" s="12"/>
      <c r="R162" s="28">
        <f t="shared" si="29"/>
        <v>24.924924924924927</v>
      </c>
    </row>
    <row r="163" spans="1:18" ht="16.5" hidden="1" customHeight="1" x14ac:dyDescent="0.25">
      <c r="A163" s="17">
        <v>45534</v>
      </c>
      <c r="B163" s="10" t="s">
        <v>130</v>
      </c>
      <c r="C163" s="10">
        <v>300</v>
      </c>
      <c r="D163" s="19">
        <v>0</v>
      </c>
      <c r="E163" s="11">
        <v>0.41499999999999998</v>
      </c>
      <c r="F163" s="10">
        <f t="shared" si="22"/>
        <v>1000</v>
      </c>
      <c r="G163" s="10">
        <f t="shared" si="23"/>
        <v>0.3</v>
      </c>
      <c r="H163" s="12">
        <f t="shared" si="24"/>
        <v>0.3</v>
      </c>
      <c r="I163" s="12">
        <v>0.02</v>
      </c>
      <c r="J163" s="12">
        <v>7.0000000000000007E-2</v>
      </c>
      <c r="K163" s="12">
        <f t="shared" si="25"/>
        <v>0.16184999999999999</v>
      </c>
      <c r="L163" s="12">
        <f t="shared" si="26"/>
        <v>0.55184999999999995</v>
      </c>
      <c r="M163" s="12"/>
      <c r="N163" s="12"/>
      <c r="O163" s="12">
        <f>L163*500</f>
        <v>275.92499999999995</v>
      </c>
      <c r="P163" s="12"/>
      <c r="Q163" s="12"/>
      <c r="R163" s="28">
        <f t="shared" si="29"/>
        <v>29.328621908127211</v>
      </c>
    </row>
    <row r="164" spans="1:18" ht="16.5" hidden="1" customHeight="1" x14ac:dyDescent="0.25">
      <c r="A164" s="17">
        <v>45534</v>
      </c>
      <c r="B164" s="10" t="s">
        <v>118</v>
      </c>
      <c r="C164" s="10">
        <v>330</v>
      </c>
      <c r="D164" s="19">
        <v>0.31</v>
      </c>
      <c r="E164" s="11">
        <v>0.23499999999999999</v>
      </c>
      <c r="F164" s="10">
        <f t="shared" si="22"/>
        <v>690</v>
      </c>
      <c r="G164" s="10">
        <f t="shared" si="23"/>
        <v>0.33</v>
      </c>
      <c r="H164" s="12">
        <f t="shared" si="24"/>
        <v>0.47826086956521741</v>
      </c>
      <c r="I164" s="12">
        <v>0.02</v>
      </c>
      <c r="J164" s="12">
        <v>7.0000000000000007E-2</v>
      </c>
      <c r="K164" s="12">
        <f t="shared" si="25"/>
        <v>0.13354130434782607</v>
      </c>
      <c r="L164" s="12">
        <f t="shared" si="26"/>
        <v>0.70180217391304345</v>
      </c>
      <c r="M164" s="12">
        <f>L164*250</f>
        <v>175.45054347826087</v>
      </c>
      <c r="N164" s="12"/>
      <c r="O164" s="12"/>
      <c r="P164" s="12"/>
      <c r="Q164" s="12"/>
      <c r="R164" s="28">
        <f t="shared" si="29"/>
        <v>19.02834008097166</v>
      </c>
    </row>
    <row r="165" spans="1:18" ht="16.5" hidden="1" customHeight="1" x14ac:dyDescent="0.25">
      <c r="A165" s="17">
        <v>45534</v>
      </c>
      <c r="B165" s="10" t="s">
        <v>92</v>
      </c>
      <c r="C165" s="10">
        <v>430</v>
      </c>
      <c r="D165" s="19">
        <v>0.05</v>
      </c>
      <c r="E165" s="11">
        <v>0.2</v>
      </c>
      <c r="F165" s="10">
        <f t="shared" si="22"/>
        <v>950</v>
      </c>
      <c r="G165" s="10">
        <f t="shared" si="23"/>
        <v>0.43</v>
      </c>
      <c r="H165" s="12">
        <f t="shared" si="24"/>
        <v>0.45263157894736844</v>
      </c>
      <c r="I165" s="12">
        <v>0.02</v>
      </c>
      <c r="J165" s="12">
        <v>7.0000000000000007E-2</v>
      </c>
      <c r="K165" s="12">
        <f t="shared" si="25"/>
        <v>0.10852631578947369</v>
      </c>
      <c r="L165" s="12">
        <f t="shared" si="26"/>
        <v>0.65115789473684216</v>
      </c>
      <c r="M165" s="12"/>
      <c r="N165" s="12"/>
      <c r="O165" s="12">
        <f>L165*500</f>
        <v>325.5789473684211</v>
      </c>
      <c r="P165" s="12"/>
      <c r="Q165" s="12"/>
      <c r="R165" s="28">
        <f t="shared" si="29"/>
        <v>16.666666666666668</v>
      </c>
    </row>
    <row r="166" spans="1:18" ht="16.5" hidden="1" customHeight="1" x14ac:dyDescent="0.25">
      <c r="A166" s="17">
        <v>45535</v>
      </c>
      <c r="B166" s="10" t="s">
        <v>92</v>
      </c>
      <c r="C166" s="10">
        <v>400</v>
      </c>
      <c r="D166" s="19">
        <v>0.06</v>
      </c>
      <c r="E166" s="11">
        <v>0.26300000000000001</v>
      </c>
      <c r="F166" s="10">
        <f t="shared" si="22"/>
        <v>940</v>
      </c>
      <c r="G166" s="10">
        <f t="shared" si="23"/>
        <v>0.4</v>
      </c>
      <c r="H166" s="12">
        <f t="shared" si="24"/>
        <v>0.42553191489361702</v>
      </c>
      <c r="I166" s="12">
        <v>0.02</v>
      </c>
      <c r="J166" s="12">
        <v>7.0000000000000007E-2</v>
      </c>
      <c r="K166" s="12">
        <f t="shared" si="25"/>
        <v>0.13558489361702128</v>
      </c>
      <c r="L166" s="12">
        <f t="shared" si="26"/>
        <v>0.65111680851063836</v>
      </c>
      <c r="M166" s="12"/>
      <c r="N166" s="12"/>
      <c r="O166" s="12">
        <f>L166*500</f>
        <v>325.5584042553192</v>
      </c>
      <c r="P166" s="12"/>
      <c r="Q166" s="12"/>
      <c r="R166" s="28">
        <f t="shared" si="29"/>
        <v>20.823436262866192</v>
      </c>
    </row>
    <row r="167" spans="1:18" ht="16.5" hidden="1" customHeight="1" x14ac:dyDescent="0.25">
      <c r="A167" s="17">
        <v>45536</v>
      </c>
      <c r="B167" s="2" t="s">
        <v>205</v>
      </c>
      <c r="C167" s="10">
        <v>750</v>
      </c>
      <c r="D167" s="19">
        <v>0.52</v>
      </c>
      <c r="E167" s="11">
        <v>0.2</v>
      </c>
      <c r="F167" s="10">
        <f t="shared" si="22"/>
        <v>480</v>
      </c>
      <c r="G167" s="10">
        <f t="shared" si="23"/>
        <v>0.75</v>
      </c>
      <c r="H167" s="12">
        <f t="shared" si="24"/>
        <v>1.5625</v>
      </c>
      <c r="I167" s="12">
        <v>0.02</v>
      </c>
      <c r="J167" s="12">
        <v>7.0000000000000007E-2</v>
      </c>
      <c r="K167" s="12">
        <f t="shared" si="25"/>
        <v>0.33050000000000002</v>
      </c>
      <c r="L167" s="12">
        <f t="shared" si="26"/>
        <v>1.9830000000000001</v>
      </c>
      <c r="M167" s="12">
        <f>L167*250</f>
        <v>495.75</v>
      </c>
      <c r="N167" s="12"/>
      <c r="O167" s="12" t="s">
        <v>72</v>
      </c>
      <c r="P167" s="12"/>
      <c r="Q167" s="12"/>
      <c r="R167" s="28">
        <f t="shared" si="29"/>
        <v>16.666666666666668</v>
      </c>
    </row>
    <row r="168" spans="1:18" ht="16.5" hidden="1" customHeight="1" x14ac:dyDescent="0.25">
      <c r="A168" s="17">
        <v>45536</v>
      </c>
      <c r="B168" s="10" t="s">
        <v>90</v>
      </c>
      <c r="C168" s="10">
        <v>400</v>
      </c>
      <c r="D168" s="19">
        <v>0.21</v>
      </c>
      <c r="E168" s="11">
        <v>0.09</v>
      </c>
      <c r="F168" s="10">
        <f t="shared" si="22"/>
        <v>790</v>
      </c>
      <c r="G168" s="10">
        <f t="shared" si="23"/>
        <v>0.4</v>
      </c>
      <c r="H168" s="12">
        <f t="shared" si="24"/>
        <v>0.50632911392405067</v>
      </c>
      <c r="I168" s="12">
        <v>0.02</v>
      </c>
      <c r="J168" s="12">
        <v>7.0000000000000007E-2</v>
      </c>
      <c r="K168" s="12">
        <f t="shared" si="25"/>
        <v>5.3669620253164567E-2</v>
      </c>
      <c r="L168" s="12">
        <f t="shared" si="26"/>
        <v>0.64999873417721532</v>
      </c>
      <c r="M168" s="12"/>
      <c r="N168" s="12"/>
      <c r="O168" s="12">
        <f t="shared" ref="O168:O176" si="30">L168*500</f>
        <v>324.99936708860764</v>
      </c>
      <c r="P168" s="12"/>
      <c r="Q168" s="12"/>
      <c r="R168" s="28">
        <f t="shared" si="29"/>
        <v>8.2568807339449535</v>
      </c>
    </row>
    <row r="169" spans="1:18" ht="16.5" hidden="1" customHeight="1" x14ac:dyDescent="0.25">
      <c r="A169" s="17">
        <v>45536</v>
      </c>
      <c r="B169" s="10" t="s">
        <v>94</v>
      </c>
      <c r="C169" s="10">
        <v>180</v>
      </c>
      <c r="D169" s="19">
        <v>0.12</v>
      </c>
      <c r="E169" s="11">
        <v>0.53</v>
      </c>
      <c r="F169" s="10">
        <f t="shared" si="22"/>
        <v>880</v>
      </c>
      <c r="G169" s="10">
        <f t="shared" si="23"/>
        <v>0.18</v>
      </c>
      <c r="H169" s="12">
        <f t="shared" si="24"/>
        <v>0.20454545454545456</v>
      </c>
      <c r="I169" s="12">
        <v>0.02</v>
      </c>
      <c r="J169" s="12">
        <v>7.0000000000000007E-2</v>
      </c>
      <c r="K169" s="12">
        <f t="shared" si="25"/>
        <v>0.15610909090909092</v>
      </c>
      <c r="L169" s="12">
        <f t="shared" si="26"/>
        <v>0.45065454545454547</v>
      </c>
      <c r="M169" s="12"/>
      <c r="N169" s="12"/>
      <c r="O169" s="12">
        <f t="shared" si="30"/>
        <v>225.32727272727274</v>
      </c>
      <c r="P169" s="12"/>
      <c r="Q169" s="12">
        <f>L169*1000</f>
        <v>450.65454545454548</v>
      </c>
      <c r="R169" s="28">
        <f t="shared" si="29"/>
        <v>34.640522875816991</v>
      </c>
    </row>
    <row r="170" spans="1:18" ht="16.5" hidden="1" customHeight="1" x14ac:dyDescent="0.25">
      <c r="A170" s="17">
        <v>45536</v>
      </c>
      <c r="B170" s="10" t="s">
        <v>95</v>
      </c>
      <c r="C170" s="10">
        <v>180</v>
      </c>
      <c r="D170" s="19">
        <v>0.12</v>
      </c>
      <c r="E170" s="11">
        <v>0.53</v>
      </c>
      <c r="F170" s="10">
        <f t="shared" si="22"/>
        <v>880</v>
      </c>
      <c r="G170" s="10">
        <f t="shared" si="23"/>
        <v>0.18</v>
      </c>
      <c r="H170" s="12">
        <f t="shared" si="24"/>
        <v>0.20454545454545456</v>
      </c>
      <c r="I170" s="12">
        <v>0.02</v>
      </c>
      <c r="J170" s="12">
        <v>7.0000000000000007E-2</v>
      </c>
      <c r="K170" s="12">
        <f t="shared" si="25"/>
        <v>0.15610909090909092</v>
      </c>
      <c r="L170" s="12">
        <f t="shared" si="26"/>
        <v>0.45065454545454547</v>
      </c>
      <c r="M170" s="12"/>
      <c r="N170" s="12"/>
      <c r="O170" s="12">
        <f t="shared" si="30"/>
        <v>225.32727272727274</v>
      </c>
      <c r="P170" s="12"/>
      <c r="Q170" s="12"/>
      <c r="R170" s="28">
        <f t="shared" si="29"/>
        <v>34.640522875816991</v>
      </c>
    </row>
    <row r="171" spans="1:18" ht="16.5" hidden="1" customHeight="1" x14ac:dyDescent="0.25">
      <c r="A171" s="17">
        <v>45536</v>
      </c>
      <c r="B171" s="10" t="s">
        <v>92</v>
      </c>
      <c r="C171" s="10">
        <v>400</v>
      </c>
      <c r="D171" s="19">
        <v>6.6E-3</v>
      </c>
      <c r="E171" s="11">
        <v>0.32300000000000001</v>
      </c>
      <c r="F171" s="10">
        <f t="shared" si="22"/>
        <v>993.4</v>
      </c>
      <c r="G171" s="10">
        <f t="shared" si="23"/>
        <v>0.4</v>
      </c>
      <c r="H171" s="12">
        <f t="shared" si="24"/>
        <v>0.40265753976243207</v>
      </c>
      <c r="I171" s="12">
        <v>0.02</v>
      </c>
      <c r="J171" s="12">
        <v>7.0000000000000007E-2</v>
      </c>
      <c r="K171" s="12">
        <f t="shared" si="25"/>
        <v>0.15912838534326557</v>
      </c>
      <c r="L171" s="12">
        <f t="shared" si="26"/>
        <v>0.65178592510569766</v>
      </c>
      <c r="M171" s="12"/>
      <c r="N171" s="12"/>
      <c r="O171" s="12">
        <f t="shared" si="30"/>
        <v>325.89296255284881</v>
      </c>
      <c r="P171" s="12"/>
      <c r="Q171" s="12"/>
      <c r="R171" s="28">
        <v>16.666666666666668</v>
      </c>
    </row>
    <row r="172" spans="1:18" ht="16.5" hidden="1" customHeight="1" x14ac:dyDescent="0.25">
      <c r="A172" s="17">
        <v>45538</v>
      </c>
      <c r="B172" s="10" t="s">
        <v>137</v>
      </c>
      <c r="C172" s="10">
        <v>280</v>
      </c>
      <c r="D172" s="19">
        <v>0.09</v>
      </c>
      <c r="E172" s="11">
        <v>0.23499999999999999</v>
      </c>
      <c r="F172" s="10">
        <f t="shared" si="22"/>
        <v>910</v>
      </c>
      <c r="G172" s="10">
        <f t="shared" si="23"/>
        <v>0.28000000000000003</v>
      </c>
      <c r="H172" s="12">
        <f t="shared" si="24"/>
        <v>0.30769230769230771</v>
      </c>
      <c r="I172" s="12">
        <v>0.02</v>
      </c>
      <c r="J172" s="12">
        <v>7.0000000000000007E-2</v>
      </c>
      <c r="K172" s="12">
        <f t="shared" si="25"/>
        <v>9.3457692307692311E-2</v>
      </c>
      <c r="L172" s="12">
        <f t="shared" si="26"/>
        <v>0.49115000000000003</v>
      </c>
      <c r="M172" s="12"/>
      <c r="N172" s="12"/>
      <c r="O172" s="12">
        <f t="shared" si="30"/>
        <v>245.57500000000002</v>
      </c>
      <c r="P172" s="12"/>
      <c r="Q172" s="12"/>
      <c r="R172" s="28">
        <v>16.666666666666668</v>
      </c>
    </row>
    <row r="173" spans="1:18" hidden="1" x14ac:dyDescent="0.25">
      <c r="A173" s="17">
        <v>45538</v>
      </c>
      <c r="B173" s="10" t="s">
        <v>90</v>
      </c>
      <c r="C173" s="10">
        <v>340</v>
      </c>
      <c r="D173" s="19">
        <v>0.16</v>
      </c>
      <c r="E173" s="11">
        <v>0.315</v>
      </c>
      <c r="F173" s="10">
        <f t="shared" si="22"/>
        <v>840</v>
      </c>
      <c r="G173" s="10">
        <f t="shared" si="23"/>
        <v>0.34</v>
      </c>
      <c r="H173" s="12">
        <f t="shared" si="24"/>
        <v>0.40476190476190477</v>
      </c>
      <c r="I173" s="12">
        <v>0.02</v>
      </c>
      <c r="J173" s="12">
        <v>7.0000000000000007E-2</v>
      </c>
      <c r="K173" s="12">
        <f t="shared" si="25"/>
        <v>0.15585000000000002</v>
      </c>
      <c r="L173" s="12">
        <f t="shared" si="26"/>
        <v>0.65061190476190478</v>
      </c>
      <c r="M173" s="12"/>
      <c r="N173" s="12"/>
      <c r="O173" s="12">
        <f t="shared" si="30"/>
        <v>325.30595238095236</v>
      </c>
      <c r="P173" s="12"/>
      <c r="Q173" s="12"/>
      <c r="R173" s="28">
        <v>16.666666666666668</v>
      </c>
    </row>
    <row r="174" spans="1:18" hidden="1" x14ac:dyDescent="0.25">
      <c r="A174" s="17">
        <v>45538</v>
      </c>
      <c r="B174" s="10" t="s">
        <v>91</v>
      </c>
      <c r="C174" s="10">
        <v>340</v>
      </c>
      <c r="D174" s="19">
        <v>0.16</v>
      </c>
      <c r="E174" s="11">
        <v>0.315</v>
      </c>
      <c r="F174" s="10">
        <f t="shared" si="22"/>
        <v>840</v>
      </c>
      <c r="G174" s="10">
        <f t="shared" si="23"/>
        <v>0.34</v>
      </c>
      <c r="H174" s="12">
        <f t="shared" si="24"/>
        <v>0.40476190476190477</v>
      </c>
      <c r="I174" s="12">
        <v>0.02</v>
      </c>
      <c r="J174" s="12">
        <v>7.0000000000000007E-2</v>
      </c>
      <c r="K174" s="12">
        <f t="shared" si="25"/>
        <v>0.15585000000000002</v>
      </c>
      <c r="L174" s="12">
        <f t="shared" si="26"/>
        <v>0.65061190476190478</v>
      </c>
      <c r="M174" s="12"/>
      <c r="N174" s="12"/>
      <c r="O174" s="12">
        <f t="shared" si="30"/>
        <v>325.30595238095236</v>
      </c>
      <c r="P174" s="12"/>
      <c r="Q174" s="12"/>
      <c r="R174" s="28">
        <v>16.666666666666668</v>
      </c>
    </row>
    <row r="175" spans="1:18" hidden="1" x14ac:dyDescent="0.25">
      <c r="A175" s="17">
        <v>45538</v>
      </c>
      <c r="B175" s="10" t="s">
        <v>125</v>
      </c>
      <c r="C175" s="10">
        <v>230</v>
      </c>
      <c r="D175" s="19">
        <v>0.08</v>
      </c>
      <c r="E175" s="11">
        <v>0.32500000000000001</v>
      </c>
      <c r="F175" s="10">
        <f t="shared" si="22"/>
        <v>920</v>
      </c>
      <c r="G175" s="10">
        <f t="shared" si="23"/>
        <v>0.23</v>
      </c>
      <c r="H175" s="12">
        <f t="shared" si="24"/>
        <v>0.25</v>
      </c>
      <c r="I175" s="12">
        <v>0.02</v>
      </c>
      <c r="J175" s="12">
        <v>7.0000000000000007E-2</v>
      </c>
      <c r="K175" s="12">
        <f t="shared" si="25"/>
        <v>0.11050000000000001</v>
      </c>
      <c r="L175" s="12">
        <f t="shared" si="26"/>
        <v>0.45050000000000001</v>
      </c>
      <c r="M175" s="12"/>
      <c r="N175" s="12"/>
      <c r="O175" s="12">
        <f t="shared" si="30"/>
        <v>225.25</v>
      </c>
      <c r="P175" s="12"/>
      <c r="Q175" s="12"/>
      <c r="R175" s="28">
        <v>16.666666666666668</v>
      </c>
    </row>
    <row r="176" spans="1:18" hidden="1" x14ac:dyDescent="0.25">
      <c r="A176" s="17">
        <v>45538</v>
      </c>
      <c r="B176" s="10" t="s">
        <v>92</v>
      </c>
      <c r="C176" s="10">
        <v>420</v>
      </c>
      <c r="D176" s="19">
        <v>0.01</v>
      </c>
      <c r="E176" s="11">
        <v>0.26500000000000001</v>
      </c>
      <c r="F176" s="10">
        <f t="shared" si="22"/>
        <v>990</v>
      </c>
      <c r="G176" s="10">
        <f t="shared" si="23"/>
        <v>0.42</v>
      </c>
      <c r="H176" s="12">
        <f t="shared" si="24"/>
        <v>0.42424242424242425</v>
      </c>
      <c r="I176" s="12">
        <v>0.02</v>
      </c>
      <c r="J176" s="12">
        <v>7.0000000000000007E-2</v>
      </c>
      <c r="K176" s="12">
        <f t="shared" si="25"/>
        <v>0.13627424242424244</v>
      </c>
      <c r="L176" s="12">
        <f t="shared" si="26"/>
        <v>0.65051666666666674</v>
      </c>
      <c r="M176" s="12"/>
      <c r="N176" s="12"/>
      <c r="O176" s="12">
        <f t="shared" si="30"/>
        <v>325.25833333333338</v>
      </c>
      <c r="P176" s="12"/>
      <c r="Q176" s="12"/>
      <c r="R176" s="28">
        <v>16.666666666666668</v>
      </c>
    </row>
    <row r="177" spans="1:18" hidden="1" x14ac:dyDescent="0.25">
      <c r="A177" s="17">
        <v>45538</v>
      </c>
      <c r="B177" s="10" t="s">
        <v>138</v>
      </c>
      <c r="C177" s="10">
        <v>400</v>
      </c>
      <c r="D177" s="19">
        <v>0.62</v>
      </c>
      <c r="E177" s="11">
        <v>0.315</v>
      </c>
      <c r="F177" s="10">
        <f t="shared" si="22"/>
        <v>380</v>
      </c>
      <c r="G177" s="10">
        <f t="shared" si="23"/>
        <v>0.4</v>
      </c>
      <c r="H177" s="12">
        <f t="shared" si="24"/>
        <v>1.0526315789473684</v>
      </c>
      <c r="I177" s="12">
        <v>0.02</v>
      </c>
      <c r="J177" s="12">
        <v>7.0000000000000007E-2</v>
      </c>
      <c r="K177" s="12">
        <f t="shared" si="25"/>
        <v>0.35992894736842107</v>
      </c>
      <c r="L177" s="12">
        <f t="shared" si="26"/>
        <v>1.5025605263157895</v>
      </c>
      <c r="M177" s="12">
        <f>L177*250</f>
        <v>375.64013157894738</v>
      </c>
      <c r="N177" s="12"/>
      <c r="O177" s="12"/>
      <c r="P177" s="12"/>
      <c r="Q177" s="12"/>
      <c r="R177" s="28">
        <v>16.666666666666668</v>
      </c>
    </row>
    <row r="178" spans="1:18" hidden="1" x14ac:dyDescent="0.25">
      <c r="A178" s="17">
        <v>45538</v>
      </c>
      <c r="B178" s="10" t="s">
        <v>114</v>
      </c>
      <c r="C178" s="10">
        <v>500</v>
      </c>
      <c r="D178" s="19">
        <v>0.56000000000000005</v>
      </c>
      <c r="E178" s="11">
        <v>0.3</v>
      </c>
      <c r="F178" s="10">
        <f t="shared" si="22"/>
        <v>440</v>
      </c>
      <c r="G178" s="10">
        <f t="shared" si="23"/>
        <v>0.5</v>
      </c>
      <c r="H178" s="12">
        <f t="shared" si="24"/>
        <v>1.1363636363636365</v>
      </c>
      <c r="I178" s="12">
        <v>0.02</v>
      </c>
      <c r="J178" s="12">
        <v>7.0000000000000007E-2</v>
      </c>
      <c r="K178" s="12">
        <f t="shared" si="25"/>
        <v>0.36790909090909096</v>
      </c>
      <c r="L178" s="12">
        <f t="shared" si="26"/>
        <v>1.5942727272727275</v>
      </c>
      <c r="M178" s="12">
        <f>L178*250</f>
        <v>398.56818181818187</v>
      </c>
      <c r="N178" s="12"/>
      <c r="O178" s="12"/>
      <c r="P178" s="12"/>
      <c r="Q178" s="12"/>
      <c r="R178" s="28">
        <v>16.666666666666668</v>
      </c>
    </row>
    <row r="179" spans="1:18" hidden="1" x14ac:dyDescent="0.25">
      <c r="A179" s="17">
        <v>45538</v>
      </c>
      <c r="B179" s="10" t="s">
        <v>94</v>
      </c>
      <c r="C179" s="10">
        <v>200</v>
      </c>
      <c r="D179" s="19">
        <v>0.15</v>
      </c>
      <c r="E179" s="11">
        <v>0.224</v>
      </c>
      <c r="F179" s="10">
        <f t="shared" si="22"/>
        <v>850</v>
      </c>
      <c r="G179" s="10">
        <f t="shared" si="23"/>
        <v>0.2</v>
      </c>
      <c r="H179" s="12">
        <f t="shared" si="24"/>
        <v>0.23529411764705882</v>
      </c>
      <c r="I179" s="12">
        <v>0.02</v>
      </c>
      <c r="J179" s="12">
        <v>7.0000000000000007E-2</v>
      </c>
      <c r="K179" s="12">
        <f t="shared" si="25"/>
        <v>7.2865882352941183E-2</v>
      </c>
      <c r="L179" s="12">
        <f t="shared" si="26"/>
        <v>0.39816000000000001</v>
      </c>
      <c r="M179" s="12"/>
      <c r="N179" s="12"/>
      <c r="O179" s="12">
        <f t="shared" ref="O179:O187" si="31">L179*500</f>
        <v>199.08</v>
      </c>
      <c r="P179" s="12"/>
      <c r="Q179" s="12"/>
      <c r="R179" s="28">
        <v>16.666666666666668</v>
      </c>
    </row>
    <row r="180" spans="1:18" hidden="1" x14ac:dyDescent="0.25">
      <c r="A180" s="17">
        <v>45538</v>
      </c>
      <c r="B180" s="10" t="s">
        <v>95</v>
      </c>
      <c r="C180" s="10">
        <v>200</v>
      </c>
      <c r="D180" s="19">
        <v>0.15</v>
      </c>
      <c r="E180" s="11">
        <v>0.224</v>
      </c>
      <c r="F180" s="10">
        <f t="shared" si="22"/>
        <v>850</v>
      </c>
      <c r="G180" s="10">
        <f t="shared" si="23"/>
        <v>0.2</v>
      </c>
      <c r="H180" s="12">
        <f t="shared" si="24"/>
        <v>0.23529411764705882</v>
      </c>
      <c r="I180" s="12">
        <v>0.02</v>
      </c>
      <c r="J180" s="12">
        <v>7.0000000000000007E-2</v>
      </c>
      <c r="K180" s="12">
        <f t="shared" si="25"/>
        <v>7.2865882352941183E-2</v>
      </c>
      <c r="L180" s="12">
        <f t="shared" si="26"/>
        <v>0.39816000000000001</v>
      </c>
      <c r="M180" s="12"/>
      <c r="N180" s="12"/>
      <c r="O180" s="12">
        <f t="shared" si="31"/>
        <v>199.08</v>
      </c>
      <c r="P180" s="12"/>
      <c r="Q180" s="12"/>
      <c r="R180" s="28">
        <v>16.666666666666668</v>
      </c>
    </row>
    <row r="181" spans="1:18" hidden="1" x14ac:dyDescent="0.25">
      <c r="A181" s="17">
        <v>45538</v>
      </c>
      <c r="B181" s="10" t="s">
        <v>130</v>
      </c>
      <c r="C181" s="10">
        <v>270</v>
      </c>
      <c r="D181" s="19">
        <v>0.16</v>
      </c>
      <c r="E181" s="11">
        <v>0.19500000000000001</v>
      </c>
      <c r="F181" s="10">
        <f t="shared" si="22"/>
        <v>840</v>
      </c>
      <c r="G181" s="10">
        <f t="shared" si="23"/>
        <v>0.27</v>
      </c>
      <c r="H181" s="12">
        <f t="shared" si="24"/>
        <v>0.32142857142857145</v>
      </c>
      <c r="I181" s="12">
        <v>0.02</v>
      </c>
      <c r="J181" s="12">
        <v>7.0000000000000007E-2</v>
      </c>
      <c r="K181" s="12">
        <f t="shared" si="25"/>
        <v>8.0228571428571441E-2</v>
      </c>
      <c r="L181" s="12">
        <f t="shared" si="26"/>
        <v>0.4916571428571429</v>
      </c>
      <c r="M181" s="12"/>
      <c r="N181" s="12"/>
      <c r="O181" s="12">
        <f t="shared" si="31"/>
        <v>245.82857142857145</v>
      </c>
      <c r="P181" s="12"/>
      <c r="Q181" s="12"/>
      <c r="R181" s="28">
        <v>16.666666666666668</v>
      </c>
    </row>
    <row r="182" spans="1:18" hidden="1" x14ac:dyDescent="0.25">
      <c r="A182" s="17">
        <v>45539</v>
      </c>
      <c r="B182" s="10" t="s">
        <v>94</v>
      </c>
      <c r="C182" s="10">
        <v>180</v>
      </c>
      <c r="D182" s="19">
        <v>0</v>
      </c>
      <c r="E182" s="11">
        <v>0.48</v>
      </c>
      <c r="F182" s="10">
        <f t="shared" si="22"/>
        <v>1000</v>
      </c>
      <c r="G182" s="10">
        <f t="shared" si="23"/>
        <v>0.18</v>
      </c>
      <c r="H182" s="12">
        <f t="shared" si="24"/>
        <v>0.18</v>
      </c>
      <c r="I182" s="12">
        <v>0.02</v>
      </c>
      <c r="J182" s="12">
        <v>7.0000000000000007E-2</v>
      </c>
      <c r="K182" s="12">
        <f t="shared" si="25"/>
        <v>0.12959999999999999</v>
      </c>
      <c r="L182" s="12">
        <f t="shared" si="26"/>
        <v>0.39960000000000001</v>
      </c>
      <c r="M182" s="12"/>
      <c r="N182" s="12"/>
      <c r="O182" s="12">
        <f t="shared" si="31"/>
        <v>199.8</v>
      </c>
      <c r="P182" s="12"/>
      <c r="Q182" s="12"/>
      <c r="R182" s="28">
        <v>16.666666666666668</v>
      </c>
    </row>
    <row r="183" spans="1:18" hidden="1" x14ac:dyDescent="0.25">
      <c r="A183" s="17">
        <v>45539</v>
      </c>
      <c r="B183" s="10" t="s">
        <v>95</v>
      </c>
      <c r="C183" s="10">
        <v>180</v>
      </c>
      <c r="D183" s="19">
        <v>0</v>
      </c>
      <c r="E183" s="11">
        <v>0.48</v>
      </c>
      <c r="F183" s="10">
        <f t="shared" si="22"/>
        <v>1000</v>
      </c>
      <c r="G183" s="10">
        <f t="shared" si="23"/>
        <v>0.18</v>
      </c>
      <c r="H183" s="12">
        <f t="shared" si="24"/>
        <v>0.18</v>
      </c>
      <c r="I183" s="12">
        <v>0.02</v>
      </c>
      <c r="J183" s="12">
        <v>7.0000000000000007E-2</v>
      </c>
      <c r="K183" s="12">
        <f t="shared" si="25"/>
        <v>0.12959999999999999</v>
      </c>
      <c r="L183" s="12">
        <f t="shared" si="26"/>
        <v>0.39960000000000001</v>
      </c>
      <c r="M183" s="12"/>
      <c r="N183" s="12"/>
      <c r="O183" s="12">
        <f t="shared" si="31"/>
        <v>199.8</v>
      </c>
      <c r="P183" s="12"/>
      <c r="Q183" s="12"/>
      <c r="R183" s="28">
        <v>16.666666666666668</v>
      </c>
    </row>
    <row r="184" spans="1:18" hidden="1" x14ac:dyDescent="0.25">
      <c r="A184" s="17">
        <v>45539</v>
      </c>
      <c r="B184" s="10" t="s">
        <v>137</v>
      </c>
      <c r="C184" s="10">
        <v>300</v>
      </c>
      <c r="D184" s="19">
        <v>0.02</v>
      </c>
      <c r="E184" s="11">
        <v>0.24</v>
      </c>
      <c r="F184" s="10">
        <f t="shared" si="22"/>
        <v>980</v>
      </c>
      <c r="G184" s="10">
        <f t="shared" si="23"/>
        <v>0.3</v>
      </c>
      <c r="H184" s="12">
        <f t="shared" si="24"/>
        <v>0.30612244897959184</v>
      </c>
      <c r="I184" s="12">
        <v>0.02</v>
      </c>
      <c r="J184" s="12">
        <v>7.0000000000000007E-2</v>
      </c>
      <c r="K184" s="12">
        <f t="shared" si="25"/>
        <v>9.5069387755102042E-2</v>
      </c>
      <c r="L184" s="12">
        <f t="shared" si="26"/>
        <v>0.49119183673469391</v>
      </c>
      <c r="M184" s="12"/>
      <c r="N184" s="12"/>
      <c r="O184" s="12">
        <f t="shared" si="31"/>
        <v>245.59591836734697</v>
      </c>
      <c r="P184" s="12"/>
      <c r="Q184" s="12"/>
      <c r="R184" s="28">
        <v>16.666666666666668</v>
      </c>
    </row>
    <row r="185" spans="1:18" hidden="1" x14ac:dyDescent="0.25">
      <c r="A185" s="17">
        <v>45539</v>
      </c>
      <c r="B185" s="10" t="s">
        <v>93</v>
      </c>
      <c r="C185" s="10">
        <v>600</v>
      </c>
      <c r="D185" s="19">
        <v>0</v>
      </c>
      <c r="E185" s="11">
        <v>8.6999999999999994E-2</v>
      </c>
      <c r="F185" s="10">
        <f t="shared" si="22"/>
        <v>1000</v>
      </c>
      <c r="G185" s="10">
        <f t="shared" si="23"/>
        <v>0.6</v>
      </c>
      <c r="H185" s="12">
        <f t="shared" si="24"/>
        <v>0.6</v>
      </c>
      <c r="I185" s="12">
        <v>0.02</v>
      </c>
      <c r="J185" s="12">
        <v>7.0000000000000007E-2</v>
      </c>
      <c r="K185" s="12">
        <f t="shared" si="25"/>
        <v>6.0029999999999993E-2</v>
      </c>
      <c r="L185" s="12">
        <f t="shared" si="26"/>
        <v>0.75002999999999997</v>
      </c>
      <c r="M185" s="12"/>
      <c r="N185" s="12"/>
      <c r="O185" s="12">
        <f t="shared" si="31"/>
        <v>375.01499999999999</v>
      </c>
      <c r="P185" s="12"/>
      <c r="Q185" s="12"/>
      <c r="R185" s="28">
        <v>16.666666666666668</v>
      </c>
    </row>
    <row r="186" spans="1:18" hidden="1" x14ac:dyDescent="0.25">
      <c r="A186" s="17">
        <v>45539</v>
      </c>
      <c r="B186" s="10" t="s">
        <v>40</v>
      </c>
      <c r="C186" s="10">
        <v>160</v>
      </c>
      <c r="D186" s="19">
        <v>0.04</v>
      </c>
      <c r="E186" s="11">
        <v>0.37</v>
      </c>
      <c r="F186" s="10">
        <f t="shared" si="22"/>
        <v>960</v>
      </c>
      <c r="G186" s="10">
        <f t="shared" si="23"/>
        <v>0.16</v>
      </c>
      <c r="H186" s="12">
        <f t="shared" si="24"/>
        <v>0.16666666666666666</v>
      </c>
      <c r="I186" s="12">
        <v>0.02</v>
      </c>
      <c r="J186" s="12">
        <v>7.0000000000000007E-2</v>
      </c>
      <c r="K186" s="12">
        <f t="shared" si="25"/>
        <v>9.4966666666666658E-2</v>
      </c>
      <c r="L186" s="12">
        <f t="shared" si="26"/>
        <v>0.3516333333333333</v>
      </c>
      <c r="M186" s="12"/>
      <c r="N186" s="12"/>
      <c r="O186" s="12">
        <f t="shared" si="31"/>
        <v>175.81666666666666</v>
      </c>
      <c r="P186" s="12"/>
      <c r="Q186" s="12"/>
      <c r="R186" s="28">
        <v>16.666666666666668</v>
      </c>
    </row>
    <row r="187" spans="1:18" hidden="1" x14ac:dyDescent="0.25">
      <c r="A187" s="17">
        <v>45539</v>
      </c>
      <c r="B187" s="10" t="s">
        <v>92</v>
      </c>
      <c r="C187" s="10">
        <v>420</v>
      </c>
      <c r="D187" s="19">
        <v>0.11</v>
      </c>
      <c r="E187" s="11">
        <v>0.16</v>
      </c>
      <c r="F187" s="10">
        <f t="shared" si="22"/>
        <v>890</v>
      </c>
      <c r="G187" s="10">
        <f t="shared" si="23"/>
        <v>0.42</v>
      </c>
      <c r="H187" s="12">
        <f t="shared" si="24"/>
        <v>0.47191011235955055</v>
      </c>
      <c r="I187" s="12">
        <v>0.02</v>
      </c>
      <c r="J187" s="12">
        <v>7.0000000000000007E-2</v>
      </c>
      <c r="K187" s="12">
        <f t="shared" si="25"/>
        <v>8.9905617977528093E-2</v>
      </c>
      <c r="L187" s="12">
        <f t="shared" si="26"/>
        <v>0.65181573033707862</v>
      </c>
      <c r="M187" s="12"/>
      <c r="N187" s="12"/>
      <c r="O187" s="12">
        <f t="shared" si="31"/>
        <v>325.90786516853933</v>
      </c>
      <c r="P187" s="12"/>
      <c r="Q187" s="12"/>
      <c r="R187" s="28">
        <v>16.666666666666668</v>
      </c>
    </row>
    <row r="188" spans="1:18" hidden="1" x14ac:dyDescent="0.25">
      <c r="A188" s="17">
        <v>45539</v>
      </c>
      <c r="B188" s="10" t="s">
        <v>142</v>
      </c>
      <c r="C188" s="10">
        <v>250</v>
      </c>
      <c r="D188" s="19">
        <v>0.59</v>
      </c>
      <c r="E188" s="11">
        <v>0.69</v>
      </c>
      <c r="F188" s="10">
        <f t="shared" si="22"/>
        <v>410</v>
      </c>
      <c r="G188" s="10">
        <f t="shared" si="23"/>
        <v>0.25</v>
      </c>
      <c r="H188" s="12">
        <f t="shared" si="24"/>
        <v>0.6097560975609756</v>
      </c>
      <c r="I188" s="12">
        <v>0.02</v>
      </c>
      <c r="J188" s="12">
        <v>7.0000000000000007E-2</v>
      </c>
      <c r="K188" s="12">
        <f t="shared" si="25"/>
        <v>0.48283170731707309</v>
      </c>
      <c r="L188" s="12">
        <f t="shared" si="26"/>
        <v>1.1825878048780487</v>
      </c>
      <c r="M188" s="12">
        <f>L188*250</f>
        <v>295.64695121951218</v>
      </c>
      <c r="N188" s="12"/>
      <c r="O188" s="12"/>
      <c r="P188" s="12"/>
      <c r="Q188" s="12"/>
      <c r="R188" s="28">
        <v>16.666666666666668</v>
      </c>
    </row>
    <row r="189" spans="1:18" hidden="1" x14ac:dyDescent="0.25">
      <c r="A189" s="17">
        <v>45540</v>
      </c>
      <c r="B189" s="10" t="s">
        <v>120</v>
      </c>
      <c r="C189" s="10">
        <v>230</v>
      </c>
      <c r="D189" s="19">
        <v>0.57999999999999996</v>
      </c>
      <c r="E189" s="11">
        <v>0.1</v>
      </c>
      <c r="F189" s="10">
        <f t="shared" si="22"/>
        <v>420</v>
      </c>
      <c r="G189" s="10">
        <f t="shared" si="23"/>
        <v>0.23</v>
      </c>
      <c r="H189" s="12">
        <f t="shared" si="24"/>
        <v>0.54761904761904767</v>
      </c>
      <c r="I189" s="12">
        <v>0.02</v>
      </c>
      <c r="J189" s="12">
        <v>7.0000000000000007E-2</v>
      </c>
      <c r="K189" s="12">
        <f t="shared" si="25"/>
        <v>6.3761904761904784E-2</v>
      </c>
      <c r="L189" s="12">
        <f t="shared" si="26"/>
        <v>0.70138095238095255</v>
      </c>
      <c r="M189" s="12">
        <f>L189*250</f>
        <v>175.34523809523813</v>
      </c>
      <c r="N189" s="12"/>
      <c r="O189" s="12"/>
      <c r="P189" s="12"/>
      <c r="Q189" s="12"/>
      <c r="R189" s="28">
        <v>16.666666666666668</v>
      </c>
    </row>
    <row r="190" spans="1:18" hidden="1" x14ac:dyDescent="0.25">
      <c r="A190" s="17">
        <v>45540</v>
      </c>
      <c r="B190" s="10" t="s">
        <v>140</v>
      </c>
      <c r="C190" s="10">
        <v>230</v>
      </c>
      <c r="D190" s="19">
        <v>0.57999999999999996</v>
      </c>
      <c r="E190" s="11">
        <v>0.49</v>
      </c>
      <c r="F190" s="10">
        <f t="shared" si="22"/>
        <v>420</v>
      </c>
      <c r="G190" s="10">
        <f t="shared" si="23"/>
        <v>0.23</v>
      </c>
      <c r="H190" s="12">
        <f t="shared" si="24"/>
        <v>0.54761904761904767</v>
      </c>
      <c r="I190" s="12">
        <v>0.02</v>
      </c>
      <c r="J190" s="12">
        <v>7.0000000000000007E-2</v>
      </c>
      <c r="K190" s="12">
        <f t="shared" si="25"/>
        <v>0.3124333333333334</v>
      </c>
      <c r="L190" s="12">
        <f t="shared" si="26"/>
        <v>0.95005238095238109</v>
      </c>
      <c r="M190" s="12"/>
      <c r="N190" s="12"/>
      <c r="O190" s="12">
        <f t="shared" ref="O190:O195" si="32">L190*500</f>
        <v>475.02619047619055</v>
      </c>
      <c r="P190" s="12"/>
      <c r="Q190" s="12"/>
      <c r="R190" s="28"/>
    </row>
    <row r="191" spans="1:18" hidden="1" x14ac:dyDescent="0.25">
      <c r="A191" s="17">
        <v>45540</v>
      </c>
      <c r="B191" s="10" t="s">
        <v>94</v>
      </c>
      <c r="C191" s="10">
        <v>150</v>
      </c>
      <c r="D191" s="19">
        <v>0.14000000000000001</v>
      </c>
      <c r="E191" s="11">
        <v>0.32500000000000001</v>
      </c>
      <c r="F191" s="10">
        <f t="shared" si="22"/>
        <v>860</v>
      </c>
      <c r="G191" s="10">
        <f t="shared" si="23"/>
        <v>0.15</v>
      </c>
      <c r="H191" s="12">
        <f t="shared" si="24"/>
        <v>0.1744186046511628</v>
      </c>
      <c r="I191" s="12">
        <v>0.02</v>
      </c>
      <c r="J191" s="12">
        <v>7.0000000000000007E-2</v>
      </c>
      <c r="K191" s="12">
        <f t="shared" si="25"/>
        <v>8.5936046511627909E-2</v>
      </c>
      <c r="L191" s="12">
        <f t="shared" si="26"/>
        <v>0.35035465116279069</v>
      </c>
      <c r="M191" s="12"/>
      <c r="N191" s="12"/>
      <c r="O191" s="12">
        <f t="shared" si="32"/>
        <v>175.17732558139534</v>
      </c>
      <c r="P191" s="12"/>
      <c r="Q191" s="12"/>
      <c r="R191" s="28">
        <v>16.666666666666668</v>
      </c>
    </row>
    <row r="192" spans="1:18" hidden="1" x14ac:dyDescent="0.25">
      <c r="A192" s="17">
        <v>45540</v>
      </c>
      <c r="B192" s="10" t="s">
        <v>95</v>
      </c>
      <c r="C192" s="10">
        <v>150</v>
      </c>
      <c r="D192" s="19">
        <v>0.14000000000000001</v>
      </c>
      <c r="E192" s="11">
        <v>0.32500000000000001</v>
      </c>
      <c r="F192" s="10">
        <f t="shared" si="22"/>
        <v>860</v>
      </c>
      <c r="G192" s="10">
        <f t="shared" si="23"/>
        <v>0.15</v>
      </c>
      <c r="H192" s="12">
        <f t="shared" si="24"/>
        <v>0.1744186046511628</v>
      </c>
      <c r="I192" s="12">
        <v>0.02</v>
      </c>
      <c r="J192" s="12">
        <v>7.0000000000000007E-2</v>
      </c>
      <c r="K192" s="12">
        <f t="shared" si="25"/>
        <v>8.5936046511627909E-2</v>
      </c>
      <c r="L192" s="12">
        <f t="shared" si="26"/>
        <v>0.35035465116279069</v>
      </c>
      <c r="M192" s="12"/>
      <c r="N192" s="12"/>
      <c r="O192" s="12">
        <f t="shared" si="32"/>
        <v>175.17732558139534</v>
      </c>
      <c r="P192" s="12"/>
      <c r="Q192" s="12"/>
      <c r="R192" s="28">
        <v>16.666666666666668</v>
      </c>
    </row>
    <row r="193" spans="1:18" hidden="1" x14ac:dyDescent="0.25">
      <c r="A193" s="17">
        <v>45540</v>
      </c>
      <c r="B193" s="10" t="s">
        <v>108</v>
      </c>
      <c r="C193" s="10">
        <v>340</v>
      </c>
      <c r="D193" s="19">
        <v>0.19</v>
      </c>
      <c r="E193" s="11">
        <v>0.16</v>
      </c>
      <c r="F193" s="10">
        <f t="shared" si="22"/>
        <v>810</v>
      </c>
      <c r="G193" s="10">
        <f t="shared" si="23"/>
        <v>0.34</v>
      </c>
      <c r="H193" s="12">
        <f t="shared" si="24"/>
        <v>0.41975308641975306</v>
      </c>
      <c r="I193" s="12">
        <v>0.02</v>
      </c>
      <c r="J193" s="12">
        <v>7.0000000000000007E-2</v>
      </c>
      <c r="K193" s="12">
        <f t="shared" si="25"/>
        <v>8.1560493827160491E-2</v>
      </c>
      <c r="L193" s="12">
        <f t="shared" si="26"/>
        <v>0.59131358024691349</v>
      </c>
      <c r="M193" s="12"/>
      <c r="N193" s="12"/>
      <c r="O193" s="12">
        <f t="shared" si="32"/>
        <v>295.65679012345674</v>
      </c>
      <c r="P193" s="12"/>
      <c r="Q193" s="12"/>
      <c r="R193" s="28">
        <v>16.666666666666668</v>
      </c>
    </row>
    <row r="194" spans="1:18" hidden="1" x14ac:dyDescent="0.25">
      <c r="A194" s="17">
        <v>45540</v>
      </c>
      <c r="B194" s="10" t="s">
        <v>91</v>
      </c>
      <c r="C194" s="10">
        <v>280</v>
      </c>
      <c r="D194" s="19">
        <v>0.33</v>
      </c>
      <c r="E194" s="11">
        <v>0.28000000000000003</v>
      </c>
      <c r="F194" s="10">
        <f t="shared" si="22"/>
        <v>670</v>
      </c>
      <c r="G194" s="10">
        <f t="shared" si="23"/>
        <v>0.28000000000000003</v>
      </c>
      <c r="H194" s="12">
        <f t="shared" si="24"/>
        <v>0.41791044776119401</v>
      </c>
      <c r="I194" s="12">
        <v>0.02</v>
      </c>
      <c r="J194" s="12">
        <v>7.0000000000000007E-2</v>
      </c>
      <c r="K194" s="12">
        <f t="shared" si="25"/>
        <v>0.14221492537313432</v>
      </c>
      <c r="L194" s="12">
        <f t="shared" si="26"/>
        <v>0.65012537313432828</v>
      </c>
      <c r="M194" s="12"/>
      <c r="N194" s="12"/>
      <c r="O194" s="12">
        <f t="shared" si="32"/>
        <v>325.06268656716412</v>
      </c>
      <c r="P194" s="12"/>
      <c r="Q194" s="12"/>
      <c r="R194" s="28">
        <v>16.666666666666668</v>
      </c>
    </row>
    <row r="195" spans="1:18" hidden="1" x14ac:dyDescent="0.25">
      <c r="A195" s="17">
        <v>45540</v>
      </c>
      <c r="B195" s="10" t="s">
        <v>90</v>
      </c>
      <c r="C195" s="10">
        <v>280</v>
      </c>
      <c r="D195" s="19">
        <v>0.33</v>
      </c>
      <c r="E195" s="11">
        <v>0.28000000000000003</v>
      </c>
      <c r="F195" s="10">
        <f t="shared" si="22"/>
        <v>670</v>
      </c>
      <c r="G195" s="10">
        <f t="shared" si="23"/>
        <v>0.28000000000000003</v>
      </c>
      <c r="H195" s="12">
        <f t="shared" si="24"/>
        <v>0.41791044776119401</v>
      </c>
      <c r="I195" s="12">
        <v>0.02</v>
      </c>
      <c r="J195" s="12">
        <v>7.0000000000000007E-2</v>
      </c>
      <c r="K195" s="12">
        <f t="shared" si="25"/>
        <v>0.14221492537313432</v>
      </c>
      <c r="L195" s="12">
        <f t="shared" si="26"/>
        <v>0.65012537313432828</v>
      </c>
      <c r="M195" s="12"/>
      <c r="N195" s="12"/>
      <c r="O195" s="12">
        <f t="shared" si="32"/>
        <v>325.06268656716412</v>
      </c>
      <c r="P195" s="12"/>
      <c r="Q195" s="12"/>
      <c r="R195" s="28">
        <v>16.666666666666668</v>
      </c>
    </row>
    <row r="196" spans="1:18" hidden="1" x14ac:dyDescent="0.25">
      <c r="A196" s="17">
        <v>45540</v>
      </c>
      <c r="B196" s="10" t="s">
        <v>111</v>
      </c>
      <c r="C196" s="10">
        <v>770</v>
      </c>
      <c r="D196" s="19">
        <v>0.32</v>
      </c>
      <c r="E196" s="11">
        <v>6.5000000000000002E-2</v>
      </c>
      <c r="F196" s="10">
        <f t="shared" si="22"/>
        <v>680</v>
      </c>
      <c r="G196" s="10">
        <f t="shared" si="23"/>
        <v>0.77</v>
      </c>
      <c r="H196" s="12">
        <f t="shared" si="24"/>
        <v>1.1323529411764706</v>
      </c>
      <c r="I196" s="12">
        <v>0.02</v>
      </c>
      <c r="J196" s="12">
        <v>7.0000000000000007E-2</v>
      </c>
      <c r="K196" s="12">
        <f t="shared" si="25"/>
        <v>7.9452941176470601E-2</v>
      </c>
      <c r="L196" s="12">
        <f t="shared" si="26"/>
        <v>1.3018058823529413</v>
      </c>
      <c r="M196" s="12">
        <f>L196*250</f>
        <v>325.45147058823534</v>
      </c>
      <c r="N196" s="12"/>
      <c r="O196" s="12"/>
      <c r="P196" s="12"/>
      <c r="Q196" s="12"/>
      <c r="R196" s="28">
        <v>16.666666666666668</v>
      </c>
    </row>
    <row r="197" spans="1:18" hidden="1" x14ac:dyDescent="0.25">
      <c r="A197" s="17">
        <v>45540</v>
      </c>
      <c r="B197" s="10" t="s">
        <v>112</v>
      </c>
      <c r="C197" s="10">
        <v>770</v>
      </c>
      <c r="D197" s="19">
        <v>0.32</v>
      </c>
      <c r="E197" s="11">
        <v>0.27</v>
      </c>
      <c r="F197" s="10">
        <f t="shared" si="22"/>
        <v>680</v>
      </c>
      <c r="G197" s="10">
        <f t="shared" si="23"/>
        <v>0.77</v>
      </c>
      <c r="H197" s="12">
        <f t="shared" si="24"/>
        <v>1.1323529411764706</v>
      </c>
      <c r="I197" s="12">
        <v>0.02</v>
      </c>
      <c r="J197" s="12">
        <v>7.0000000000000007E-2</v>
      </c>
      <c r="K197" s="12">
        <f t="shared" si="25"/>
        <v>0.33003529411764709</v>
      </c>
      <c r="L197" s="12">
        <f t="shared" si="26"/>
        <v>1.5523882352941176</v>
      </c>
      <c r="M197" s="12"/>
      <c r="N197" s="12"/>
      <c r="O197" s="12">
        <f>L197*500</f>
        <v>776.19411764705876</v>
      </c>
      <c r="P197" s="12"/>
      <c r="Q197" s="12"/>
      <c r="R197" s="28">
        <v>16.666666666666668</v>
      </c>
    </row>
    <row r="198" spans="1:18" hidden="1" x14ac:dyDescent="0.25">
      <c r="A198" s="17">
        <v>45540</v>
      </c>
      <c r="B198" s="10" t="s">
        <v>106</v>
      </c>
      <c r="C198" s="10">
        <v>240</v>
      </c>
      <c r="D198" s="19">
        <v>0.02</v>
      </c>
      <c r="E198" s="11">
        <v>0.16500000000000001</v>
      </c>
      <c r="F198" s="10">
        <f t="shared" si="22"/>
        <v>980</v>
      </c>
      <c r="G198" s="10">
        <f t="shared" si="23"/>
        <v>0.24</v>
      </c>
      <c r="H198" s="12">
        <f t="shared" si="24"/>
        <v>0.24489795918367346</v>
      </c>
      <c r="I198" s="12">
        <v>0.02</v>
      </c>
      <c r="J198" s="12">
        <v>7.0000000000000007E-2</v>
      </c>
      <c r="K198" s="12">
        <f t="shared" si="25"/>
        <v>5.525816326530613E-2</v>
      </c>
      <c r="L198" s="12">
        <f t="shared" si="26"/>
        <v>0.39015612244897963</v>
      </c>
      <c r="M198" s="12"/>
      <c r="N198" s="12"/>
      <c r="O198" s="12">
        <f>L198*500</f>
        <v>195.0780612244898</v>
      </c>
      <c r="P198" s="12"/>
      <c r="Q198" s="12"/>
      <c r="R198" s="28">
        <v>16.666666666666668</v>
      </c>
    </row>
    <row r="199" spans="1:18" hidden="1" x14ac:dyDescent="0.25">
      <c r="A199" s="17">
        <v>45541</v>
      </c>
      <c r="B199" s="10" t="s">
        <v>94</v>
      </c>
      <c r="C199" s="10">
        <v>150</v>
      </c>
      <c r="D199" s="19"/>
      <c r="E199" s="11"/>
      <c r="F199" s="10">
        <f t="shared" si="22"/>
        <v>1000</v>
      </c>
      <c r="G199" s="10">
        <f t="shared" si="23"/>
        <v>0.15</v>
      </c>
      <c r="H199" s="12">
        <f t="shared" si="24"/>
        <v>0.15</v>
      </c>
      <c r="I199" s="12">
        <v>0.02</v>
      </c>
      <c r="J199" s="12">
        <v>7.0000000000000007E-2</v>
      </c>
      <c r="K199" s="12">
        <f t="shared" si="25"/>
        <v>0</v>
      </c>
      <c r="L199" s="12">
        <f t="shared" si="26"/>
        <v>0.24</v>
      </c>
      <c r="M199" s="12"/>
      <c r="N199" s="12"/>
      <c r="O199" s="12">
        <f>L199*500</f>
        <v>120</v>
      </c>
      <c r="P199" s="12"/>
      <c r="Q199" s="12"/>
      <c r="R199" s="28">
        <v>16.666666666666668</v>
      </c>
    </row>
    <row r="200" spans="1:18" hidden="1" x14ac:dyDescent="0.25">
      <c r="A200" s="17">
        <v>45541</v>
      </c>
      <c r="B200" s="10" t="s">
        <v>95</v>
      </c>
      <c r="C200" s="10">
        <v>150</v>
      </c>
      <c r="D200" s="19"/>
      <c r="E200" s="11"/>
      <c r="F200" s="10">
        <f t="shared" ref="F200:F263" si="33">1000-1000*D200</f>
        <v>1000</v>
      </c>
      <c r="G200" s="10">
        <f t="shared" ref="G200:G263" si="34">C200/1000</f>
        <v>0.15</v>
      </c>
      <c r="H200" s="12">
        <f t="shared" ref="H200:H263" si="35">C200/F200</f>
        <v>0.15</v>
      </c>
      <c r="I200" s="12">
        <v>0.02</v>
      </c>
      <c r="J200" s="12">
        <v>7.0000000000000007E-2</v>
      </c>
      <c r="K200" s="12">
        <f t="shared" ref="K200:K263" si="36">SUM(H200:J200)*E200</f>
        <v>0</v>
      </c>
      <c r="L200" s="12">
        <f t="shared" ref="L200:L263" si="37">SUM(H200:K200)</f>
        <v>0.24</v>
      </c>
      <c r="M200" s="12"/>
      <c r="N200" s="12"/>
      <c r="O200" s="12">
        <f>L200*500</f>
        <v>120</v>
      </c>
      <c r="P200" s="12"/>
      <c r="Q200" s="12"/>
      <c r="R200" s="28">
        <v>16.666666666666668</v>
      </c>
    </row>
    <row r="201" spans="1:18" hidden="1" x14ac:dyDescent="0.25">
      <c r="A201" s="17">
        <v>45541</v>
      </c>
      <c r="B201" s="10" t="s">
        <v>138</v>
      </c>
      <c r="C201" s="10">
        <v>350</v>
      </c>
      <c r="D201" s="19">
        <v>0.61</v>
      </c>
      <c r="E201" s="11">
        <v>0.19600000000000001</v>
      </c>
      <c r="F201" s="10">
        <f t="shared" si="33"/>
        <v>390</v>
      </c>
      <c r="G201" s="10">
        <f t="shared" si="34"/>
        <v>0.35</v>
      </c>
      <c r="H201" s="12">
        <f t="shared" si="35"/>
        <v>0.89743589743589747</v>
      </c>
      <c r="I201" s="12">
        <v>0.02</v>
      </c>
      <c r="J201" s="12">
        <v>7.0000000000000007E-2</v>
      </c>
      <c r="K201" s="12">
        <f t="shared" si="36"/>
        <v>0.19353743589743591</v>
      </c>
      <c r="L201" s="12">
        <f t="shared" si="37"/>
        <v>1.1809733333333334</v>
      </c>
      <c r="M201" s="12">
        <f>L201*250</f>
        <v>295.24333333333334</v>
      </c>
      <c r="N201" s="12"/>
      <c r="O201" s="12"/>
      <c r="P201" s="12"/>
      <c r="Q201" s="12"/>
      <c r="R201" s="28">
        <v>16.666666666666668</v>
      </c>
    </row>
    <row r="202" spans="1:18" hidden="1" x14ac:dyDescent="0.25">
      <c r="A202" s="17">
        <v>45541</v>
      </c>
      <c r="B202" s="10" t="s">
        <v>143</v>
      </c>
      <c r="C202" s="10">
        <v>350</v>
      </c>
      <c r="D202" s="19">
        <v>0.61</v>
      </c>
      <c r="E202" s="11">
        <v>0.105</v>
      </c>
      <c r="F202" s="10">
        <f t="shared" si="33"/>
        <v>390</v>
      </c>
      <c r="G202" s="10">
        <f t="shared" si="34"/>
        <v>0.35</v>
      </c>
      <c r="H202" s="12">
        <f t="shared" si="35"/>
        <v>0.89743589743589747</v>
      </c>
      <c r="I202" s="12">
        <v>0.02</v>
      </c>
      <c r="J202" s="12">
        <v>7.0000000000000007E-2</v>
      </c>
      <c r="K202" s="12">
        <f t="shared" si="36"/>
        <v>0.10368076923076923</v>
      </c>
      <c r="L202" s="12">
        <f t="shared" si="37"/>
        <v>1.0911166666666667</v>
      </c>
      <c r="M202" s="12"/>
      <c r="N202" s="12"/>
      <c r="O202" s="12">
        <f t="shared" ref="O202:O207" si="38">L202*500</f>
        <v>545.55833333333339</v>
      </c>
      <c r="P202" s="12"/>
      <c r="Q202" s="12"/>
      <c r="R202" s="28">
        <v>16.666666666666668</v>
      </c>
    </row>
    <row r="203" spans="1:18" hidden="1" x14ac:dyDescent="0.25">
      <c r="A203" s="17">
        <v>45541</v>
      </c>
      <c r="B203" s="10" t="s">
        <v>90</v>
      </c>
      <c r="C203" s="10">
        <v>300</v>
      </c>
      <c r="D203" s="19">
        <v>0.3</v>
      </c>
      <c r="E203" s="11">
        <v>0.255</v>
      </c>
      <c r="F203" s="10">
        <f t="shared" si="33"/>
        <v>700</v>
      </c>
      <c r="G203" s="10">
        <f t="shared" si="34"/>
        <v>0.3</v>
      </c>
      <c r="H203" s="12">
        <f t="shared" si="35"/>
        <v>0.42857142857142855</v>
      </c>
      <c r="I203" s="12">
        <v>0.02</v>
      </c>
      <c r="J203" s="12">
        <v>7.0000000000000007E-2</v>
      </c>
      <c r="K203" s="12">
        <f t="shared" si="36"/>
        <v>0.13223571428571429</v>
      </c>
      <c r="L203" s="12">
        <f t="shared" si="37"/>
        <v>0.65080714285714292</v>
      </c>
      <c r="M203" s="12"/>
      <c r="N203" s="12"/>
      <c r="O203" s="12">
        <f t="shared" si="38"/>
        <v>325.40357142857147</v>
      </c>
      <c r="P203" s="12"/>
      <c r="Q203" s="12"/>
      <c r="R203" s="28">
        <v>16.666666666666668</v>
      </c>
    </row>
    <row r="204" spans="1:18" hidden="1" x14ac:dyDescent="0.25">
      <c r="A204" s="17">
        <v>45541</v>
      </c>
      <c r="B204" s="10" t="s">
        <v>91</v>
      </c>
      <c r="C204" s="10">
        <v>300</v>
      </c>
      <c r="D204" s="19">
        <v>0.3</v>
      </c>
      <c r="E204" s="11">
        <v>0.255</v>
      </c>
      <c r="F204" s="10">
        <f t="shared" si="33"/>
        <v>700</v>
      </c>
      <c r="G204" s="10">
        <f t="shared" si="34"/>
        <v>0.3</v>
      </c>
      <c r="H204" s="12">
        <f t="shared" si="35"/>
        <v>0.42857142857142855</v>
      </c>
      <c r="I204" s="12">
        <v>0.02</v>
      </c>
      <c r="J204" s="12">
        <v>7.0000000000000007E-2</v>
      </c>
      <c r="K204" s="12">
        <f t="shared" si="36"/>
        <v>0.13223571428571429</v>
      </c>
      <c r="L204" s="12">
        <f t="shared" si="37"/>
        <v>0.65080714285714292</v>
      </c>
      <c r="M204" s="12"/>
      <c r="N204" s="12"/>
      <c r="O204" s="12">
        <f t="shared" si="38"/>
        <v>325.40357142857147</v>
      </c>
      <c r="P204" s="12"/>
      <c r="Q204" s="12"/>
      <c r="R204" s="28">
        <v>16.666666666666668</v>
      </c>
    </row>
    <row r="205" spans="1:18" hidden="1" x14ac:dyDescent="0.25">
      <c r="A205" s="17">
        <v>45545</v>
      </c>
      <c r="B205" s="10" t="s">
        <v>92</v>
      </c>
      <c r="C205" s="10">
        <v>430</v>
      </c>
      <c r="D205" s="19">
        <v>0</v>
      </c>
      <c r="E205" s="11">
        <v>0.25</v>
      </c>
      <c r="F205" s="10">
        <f t="shared" si="33"/>
        <v>1000</v>
      </c>
      <c r="G205" s="10">
        <f t="shared" si="34"/>
        <v>0.43</v>
      </c>
      <c r="H205" s="12">
        <f t="shared" si="35"/>
        <v>0.43</v>
      </c>
      <c r="I205" s="12">
        <v>0.02</v>
      </c>
      <c r="J205" s="12">
        <v>7.0000000000000007E-2</v>
      </c>
      <c r="K205" s="12">
        <f t="shared" si="36"/>
        <v>0.13</v>
      </c>
      <c r="L205" s="12">
        <f t="shared" si="37"/>
        <v>0.65</v>
      </c>
      <c r="M205" s="12"/>
      <c r="N205" s="12"/>
      <c r="O205" s="12">
        <f t="shared" si="38"/>
        <v>325</v>
      </c>
      <c r="P205" s="12"/>
      <c r="Q205" s="12"/>
      <c r="R205" s="28">
        <v>16.666666666666668</v>
      </c>
    </row>
    <row r="206" spans="1:18" hidden="1" x14ac:dyDescent="0.25">
      <c r="A206" s="17">
        <v>45545</v>
      </c>
      <c r="B206" s="10" t="s">
        <v>94</v>
      </c>
      <c r="C206" s="10">
        <v>180</v>
      </c>
      <c r="D206" s="19">
        <v>7.0000000000000007E-2</v>
      </c>
      <c r="E206" s="11">
        <v>0.38</v>
      </c>
      <c r="F206" s="10">
        <f t="shared" si="33"/>
        <v>930</v>
      </c>
      <c r="G206" s="10">
        <f t="shared" si="34"/>
        <v>0.18</v>
      </c>
      <c r="H206" s="12">
        <f t="shared" si="35"/>
        <v>0.19354838709677419</v>
      </c>
      <c r="I206" s="12">
        <v>0.02</v>
      </c>
      <c r="J206" s="12">
        <v>7.0000000000000007E-2</v>
      </c>
      <c r="K206" s="12">
        <f t="shared" si="36"/>
        <v>0.1077483870967742</v>
      </c>
      <c r="L206" s="12">
        <f t="shared" si="37"/>
        <v>0.39129677419354841</v>
      </c>
      <c r="M206" s="12"/>
      <c r="N206" s="12"/>
      <c r="O206" s="12">
        <f t="shared" si="38"/>
        <v>195.6483870967742</v>
      </c>
      <c r="P206" s="12"/>
      <c r="Q206" s="12"/>
      <c r="R206" s="28">
        <v>16.666666666666668</v>
      </c>
    </row>
    <row r="207" spans="1:18" hidden="1" x14ac:dyDescent="0.25">
      <c r="A207" s="17">
        <v>45545</v>
      </c>
      <c r="B207" s="10" t="s">
        <v>95</v>
      </c>
      <c r="C207" s="10">
        <v>180</v>
      </c>
      <c r="D207" s="19">
        <v>7.0000000000000007E-2</v>
      </c>
      <c r="E207" s="11">
        <v>0.38</v>
      </c>
      <c r="F207" s="10">
        <f t="shared" si="33"/>
        <v>930</v>
      </c>
      <c r="G207" s="10">
        <f t="shared" si="34"/>
        <v>0.18</v>
      </c>
      <c r="H207" s="12">
        <f t="shared" si="35"/>
        <v>0.19354838709677419</v>
      </c>
      <c r="I207" s="12">
        <v>0.02</v>
      </c>
      <c r="J207" s="12">
        <v>7.0000000000000007E-2</v>
      </c>
      <c r="K207" s="12">
        <f t="shared" si="36"/>
        <v>0.1077483870967742</v>
      </c>
      <c r="L207" s="12">
        <f t="shared" si="37"/>
        <v>0.39129677419354841</v>
      </c>
      <c r="M207" s="12"/>
      <c r="N207" s="12"/>
      <c r="O207" s="12">
        <f t="shared" si="38"/>
        <v>195.6483870967742</v>
      </c>
      <c r="P207" s="12"/>
      <c r="Q207" s="12"/>
      <c r="R207" s="28">
        <v>16.666666666666668</v>
      </c>
    </row>
    <row r="208" spans="1:18" hidden="1" x14ac:dyDescent="0.25">
      <c r="A208" s="17">
        <v>45545</v>
      </c>
      <c r="B208" s="10" t="s">
        <v>111</v>
      </c>
      <c r="C208" s="10">
        <v>750</v>
      </c>
      <c r="D208" s="19">
        <v>0.3</v>
      </c>
      <c r="E208" s="11">
        <v>0.36199999999999999</v>
      </c>
      <c r="F208" s="10">
        <f t="shared" si="33"/>
        <v>700</v>
      </c>
      <c r="G208" s="10">
        <f t="shared" si="34"/>
        <v>0.75</v>
      </c>
      <c r="H208" s="12">
        <f t="shared" si="35"/>
        <v>1.0714285714285714</v>
      </c>
      <c r="I208" s="12">
        <v>0.02</v>
      </c>
      <c r="J208" s="12">
        <v>7.0000000000000007E-2</v>
      </c>
      <c r="K208" s="12">
        <f t="shared" si="36"/>
        <v>0.42043714285714284</v>
      </c>
      <c r="L208" s="12">
        <f t="shared" si="37"/>
        <v>1.5818657142857142</v>
      </c>
      <c r="M208" s="12">
        <f>L208*250</f>
        <v>395.46642857142854</v>
      </c>
      <c r="N208" s="12"/>
      <c r="O208" s="12"/>
      <c r="P208" s="12"/>
      <c r="Q208" s="12"/>
      <c r="R208" s="28">
        <v>16.666666666666668</v>
      </c>
    </row>
    <row r="209" spans="1:18" hidden="1" x14ac:dyDescent="0.25">
      <c r="A209" s="17">
        <v>45545</v>
      </c>
      <c r="B209" s="10" t="s">
        <v>138</v>
      </c>
      <c r="C209" s="10">
        <v>350</v>
      </c>
      <c r="D209" s="19">
        <v>0.6</v>
      </c>
      <c r="E209" s="11">
        <v>0.43</v>
      </c>
      <c r="F209" s="10">
        <f t="shared" si="33"/>
        <v>400</v>
      </c>
      <c r="G209" s="10">
        <f t="shared" si="34"/>
        <v>0.35</v>
      </c>
      <c r="H209" s="12">
        <f t="shared" si="35"/>
        <v>0.875</v>
      </c>
      <c r="I209" s="12">
        <v>0.02</v>
      </c>
      <c r="J209" s="12">
        <v>7.0000000000000007E-2</v>
      </c>
      <c r="K209" s="12">
        <f t="shared" si="36"/>
        <v>0.41495000000000004</v>
      </c>
      <c r="L209" s="12">
        <f t="shared" si="37"/>
        <v>1.37995</v>
      </c>
      <c r="M209" s="12">
        <f>L209*250</f>
        <v>344.98750000000001</v>
      </c>
      <c r="N209" s="12"/>
      <c r="O209" s="12"/>
      <c r="P209" s="12"/>
      <c r="Q209" s="12"/>
      <c r="R209" s="28">
        <v>16.666666666666668</v>
      </c>
    </row>
    <row r="210" spans="1:18" hidden="1" x14ac:dyDescent="0.25">
      <c r="A210" s="17">
        <v>45545</v>
      </c>
      <c r="B210" s="10" t="s">
        <v>90</v>
      </c>
      <c r="C210" s="10">
        <v>280</v>
      </c>
      <c r="D210" s="19">
        <v>0.18</v>
      </c>
      <c r="E210" s="11">
        <v>0.51</v>
      </c>
      <c r="F210" s="10">
        <f t="shared" si="33"/>
        <v>820</v>
      </c>
      <c r="G210" s="10">
        <f t="shared" si="34"/>
        <v>0.28000000000000003</v>
      </c>
      <c r="H210" s="12">
        <f t="shared" si="35"/>
        <v>0.34146341463414637</v>
      </c>
      <c r="I210" s="12">
        <v>0.02</v>
      </c>
      <c r="J210" s="12">
        <v>7.0000000000000007E-2</v>
      </c>
      <c r="K210" s="12">
        <f t="shared" si="36"/>
        <v>0.22004634146341467</v>
      </c>
      <c r="L210" s="12">
        <f t="shared" si="37"/>
        <v>0.65150975609756112</v>
      </c>
      <c r="M210" s="12"/>
      <c r="N210" s="12"/>
      <c r="O210" s="12">
        <f>L210*500</f>
        <v>325.75487804878054</v>
      </c>
      <c r="P210" s="12"/>
      <c r="Q210" s="12"/>
      <c r="R210" s="28">
        <v>16.666666666666668</v>
      </c>
    </row>
    <row r="211" spans="1:18" hidden="1" x14ac:dyDescent="0.25">
      <c r="A211" s="17">
        <v>45545</v>
      </c>
      <c r="B211" s="10" t="s">
        <v>145</v>
      </c>
      <c r="C211" s="10">
        <v>280</v>
      </c>
      <c r="D211" s="19">
        <v>0.18</v>
      </c>
      <c r="E211" s="11">
        <v>0.37</v>
      </c>
      <c r="F211" s="10">
        <f t="shared" si="33"/>
        <v>820</v>
      </c>
      <c r="G211" s="10">
        <f t="shared" si="34"/>
        <v>0.28000000000000003</v>
      </c>
      <c r="H211" s="12">
        <f t="shared" si="35"/>
        <v>0.34146341463414637</v>
      </c>
      <c r="I211" s="12">
        <v>0.02</v>
      </c>
      <c r="J211" s="12">
        <v>7.0000000000000007E-2</v>
      </c>
      <c r="K211" s="12">
        <f t="shared" si="36"/>
        <v>0.15964146341463417</v>
      </c>
      <c r="L211" s="12">
        <f t="shared" si="37"/>
        <v>0.59110487804878054</v>
      </c>
      <c r="M211" s="12"/>
      <c r="N211" s="12"/>
      <c r="O211" s="12">
        <f>L211*500</f>
        <v>295.55243902439025</v>
      </c>
      <c r="P211" s="12"/>
      <c r="Q211" s="12"/>
      <c r="R211" s="28">
        <v>16.666666666666668</v>
      </c>
    </row>
    <row r="212" spans="1:18" hidden="1" x14ac:dyDescent="0.25">
      <c r="A212" s="17">
        <v>45546</v>
      </c>
      <c r="B212" s="10" t="s">
        <v>111</v>
      </c>
      <c r="C212" s="10">
        <v>750</v>
      </c>
      <c r="D212" s="19">
        <v>0.34</v>
      </c>
      <c r="E212" s="11">
        <v>0.28999999999999998</v>
      </c>
      <c r="F212" s="10">
        <f t="shared" si="33"/>
        <v>660</v>
      </c>
      <c r="G212" s="10">
        <f t="shared" si="34"/>
        <v>0.75</v>
      </c>
      <c r="H212" s="12">
        <f t="shared" si="35"/>
        <v>1.1363636363636365</v>
      </c>
      <c r="I212" s="12">
        <v>0.02</v>
      </c>
      <c r="J212" s="12">
        <v>7.0000000000000007E-2</v>
      </c>
      <c r="K212" s="12">
        <f t="shared" si="36"/>
        <v>0.3556454545454546</v>
      </c>
      <c r="L212" s="12">
        <f t="shared" si="37"/>
        <v>1.5820090909090911</v>
      </c>
      <c r="M212" s="12">
        <f>L212*250</f>
        <v>395.50227272727278</v>
      </c>
      <c r="N212" s="12"/>
      <c r="O212" s="12"/>
      <c r="P212" s="12"/>
      <c r="Q212" s="12"/>
      <c r="R212" s="28">
        <v>16.666666666666668</v>
      </c>
    </row>
    <row r="213" spans="1:18" hidden="1" x14ac:dyDescent="0.25">
      <c r="A213" s="17">
        <v>45546</v>
      </c>
      <c r="B213" s="10" t="s">
        <v>112</v>
      </c>
      <c r="C213" s="10">
        <v>750</v>
      </c>
      <c r="D213" s="19">
        <v>0.34</v>
      </c>
      <c r="E213" s="11">
        <v>0.26500000000000001</v>
      </c>
      <c r="F213" s="10">
        <f t="shared" si="33"/>
        <v>660</v>
      </c>
      <c r="G213" s="10">
        <f t="shared" si="34"/>
        <v>0.75</v>
      </c>
      <c r="H213" s="12">
        <f t="shared" si="35"/>
        <v>1.1363636363636365</v>
      </c>
      <c r="I213" s="12">
        <v>0.02</v>
      </c>
      <c r="J213" s="12">
        <v>7.0000000000000007E-2</v>
      </c>
      <c r="K213" s="12">
        <f t="shared" si="36"/>
        <v>0.32498636363636368</v>
      </c>
      <c r="L213" s="12">
        <f t="shared" si="37"/>
        <v>1.5513500000000002</v>
      </c>
      <c r="M213" s="12"/>
      <c r="N213" s="12"/>
      <c r="O213" s="12">
        <f>L213*500</f>
        <v>775.67500000000007</v>
      </c>
      <c r="P213" s="12"/>
      <c r="Q213" s="12"/>
      <c r="R213" s="28">
        <v>16.666666666666668</v>
      </c>
    </row>
    <row r="214" spans="1:18" hidden="1" x14ac:dyDescent="0.25">
      <c r="A214" s="17">
        <v>45546</v>
      </c>
      <c r="B214" s="10" t="s">
        <v>138</v>
      </c>
      <c r="C214" s="10">
        <v>340</v>
      </c>
      <c r="D214" s="19">
        <v>0.6</v>
      </c>
      <c r="E214" s="11">
        <v>0.47</v>
      </c>
      <c r="F214" s="10">
        <f t="shared" si="33"/>
        <v>400</v>
      </c>
      <c r="G214" s="10">
        <f t="shared" si="34"/>
        <v>0.34</v>
      </c>
      <c r="H214" s="12">
        <f t="shared" si="35"/>
        <v>0.85</v>
      </c>
      <c r="I214" s="12">
        <v>0.02</v>
      </c>
      <c r="J214" s="12">
        <v>7.0000000000000007E-2</v>
      </c>
      <c r="K214" s="12">
        <f t="shared" si="36"/>
        <v>0.44179999999999997</v>
      </c>
      <c r="L214" s="12">
        <f t="shared" si="37"/>
        <v>1.3817999999999999</v>
      </c>
      <c r="M214" s="12">
        <f>L214*250</f>
        <v>345.45</v>
      </c>
      <c r="N214" s="12"/>
      <c r="O214" s="12"/>
      <c r="P214" s="12"/>
      <c r="Q214" s="12"/>
      <c r="R214" s="28">
        <v>16.666666666666668</v>
      </c>
    </row>
    <row r="215" spans="1:18" hidden="1" x14ac:dyDescent="0.25">
      <c r="A215" s="17">
        <v>45546</v>
      </c>
      <c r="B215" s="10" t="s">
        <v>118</v>
      </c>
      <c r="C215" s="10">
        <v>250</v>
      </c>
      <c r="D215" s="19">
        <v>0.44</v>
      </c>
      <c r="E215" s="11">
        <v>0.46</v>
      </c>
      <c r="F215" s="10">
        <f t="shared" si="33"/>
        <v>560</v>
      </c>
      <c r="G215" s="10">
        <f t="shared" si="34"/>
        <v>0.25</v>
      </c>
      <c r="H215" s="12">
        <f t="shared" si="35"/>
        <v>0.44642857142857145</v>
      </c>
      <c r="I215" s="12">
        <v>0.02</v>
      </c>
      <c r="J215" s="12">
        <v>7.0000000000000007E-2</v>
      </c>
      <c r="K215" s="12">
        <f t="shared" si="36"/>
        <v>0.2467571428571429</v>
      </c>
      <c r="L215" s="12">
        <f t="shared" si="37"/>
        <v>0.78318571428571437</v>
      </c>
      <c r="M215" s="12">
        <f>L215*250</f>
        <v>195.79642857142861</v>
      </c>
      <c r="N215" s="12"/>
      <c r="O215" s="12"/>
      <c r="P215" s="12"/>
      <c r="Q215" s="12"/>
      <c r="R215" s="28">
        <v>16.666666666666668</v>
      </c>
    </row>
    <row r="216" spans="1:18" hidden="1" x14ac:dyDescent="0.25">
      <c r="A216" s="17">
        <v>45546</v>
      </c>
      <c r="B216" s="10" t="s">
        <v>95</v>
      </c>
      <c r="C216" s="10">
        <v>160</v>
      </c>
      <c r="D216" s="19">
        <v>0</v>
      </c>
      <c r="E216" s="11">
        <v>0.19500000000000001</v>
      </c>
      <c r="F216" s="10">
        <f t="shared" si="33"/>
        <v>1000</v>
      </c>
      <c r="G216" s="10">
        <f t="shared" si="34"/>
        <v>0.16</v>
      </c>
      <c r="H216" s="12">
        <f t="shared" si="35"/>
        <v>0.16</v>
      </c>
      <c r="I216" s="12">
        <v>0.02</v>
      </c>
      <c r="J216" s="12">
        <v>7.0000000000000007E-2</v>
      </c>
      <c r="K216" s="12">
        <f t="shared" si="36"/>
        <v>4.8750000000000002E-2</v>
      </c>
      <c r="L216" s="12">
        <f t="shared" si="37"/>
        <v>0.29875000000000002</v>
      </c>
      <c r="M216" s="12"/>
      <c r="N216" s="12"/>
      <c r="O216" s="12">
        <f t="shared" ref="O216:O229" si="39">L216*500</f>
        <v>149.375</v>
      </c>
      <c r="P216" s="12"/>
      <c r="Q216" s="12"/>
      <c r="R216" s="28">
        <v>16.666666666666668</v>
      </c>
    </row>
    <row r="217" spans="1:18" hidden="1" x14ac:dyDescent="0.25">
      <c r="A217" s="17">
        <v>45546</v>
      </c>
      <c r="B217" s="10" t="s">
        <v>94</v>
      </c>
      <c r="C217" s="10">
        <v>160</v>
      </c>
      <c r="D217" s="19">
        <v>0</v>
      </c>
      <c r="E217" s="11">
        <v>0.19500000000000001</v>
      </c>
      <c r="F217" s="10">
        <f t="shared" si="33"/>
        <v>1000</v>
      </c>
      <c r="G217" s="10">
        <f t="shared" si="34"/>
        <v>0.16</v>
      </c>
      <c r="H217" s="12">
        <f t="shared" si="35"/>
        <v>0.16</v>
      </c>
      <c r="I217" s="12">
        <v>0.02</v>
      </c>
      <c r="J217" s="12">
        <v>7.0000000000000007E-2</v>
      </c>
      <c r="K217" s="12">
        <f t="shared" si="36"/>
        <v>4.8750000000000002E-2</v>
      </c>
      <c r="L217" s="12">
        <f t="shared" si="37"/>
        <v>0.29875000000000002</v>
      </c>
      <c r="M217" s="12"/>
      <c r="N217" s="12"/>
      <c r="O217" s="12">
        <f t="shared" si="39"/>
        <v>149.375</v>
      </c>
      <c r="P217" s="12"/>
      <c r="Q217" s="12"/>
      <c r="R217" s="28">
        <v>16.666666666666668</v>
      </c>
    </row>
    <row r="218" spans="1:18" hidden="1" x14ac:dyDescent="0.25">
      <c r="A218" s="17">
        <v>45546</v>
      </c>
      <c r="B218" s="10" t="s">
        <v>92</v>
      </c>
      <c r="C218" s="10">
        <v>420</v>
      </c>
      <c r="D218" s="19">
        <v>0.04</v>
      </c>
      <c r="E218" s="11">
        <v>0.23499999999999999</v>
      </c>
      <c r="F218" s="10">
        <f t="shared" si="33"/>
        <v>960</v>
      </c>
      <c r="G218" s="10">
        <f t="shared" si="34"/>
        <v>0.42</v>
      </c>
      <c r="H218" s="12">
        <f t="shared" si="35"/>
        <v>0.4375</v>
      </c>
      <c r="I218" s="12">
        <v>0.02</v>
      </c>
      <c r="J218" s="12">
        <v>7.0000000000000007E-2</v>
      </c>
      <c r="K218" s="12">
        <f t="shared" si="36"/>
        <v>0.12396250000000002</v>
      </c>
      <c r="L218" s="12">
        <f t="shared" si="37"/>
        <v>0.65146250000000006</v>
      </c>
      <c r="M218" s="12"/>
      <c r="N218" s="12"/>
      <c r="O218" s="12">
        <f t="shared" si="39"/>
        <v>325.73125000000005</v>
      </c>
      <c r="P218" s="12"/>
      <c r="Q218" s="12"/>
      <c r="R218" s="28">
        <v>16.666666666666668</v>
      </c>
    </row>
    <row r="219" spans="1:18" ht="16.5" hidden="1" customHeight="1" x14ac:dyDescent="0.25">
      <c r="A219" s="17">
        <v>45546</v>
      </c>
      <c r="B219" s="10" t="s">
        <v>146</v>
      </c>
      <c r="C219" s="10">
        <v>420</v>
      </c>
      <c r="D219" s="19">
        <v>0.04</v>
      </c>
      <c r="E219" s="11">
        <v>0.31</v>
      </c>
      <c r="F219" s="10">
        <f t="shared" si="33"/>
        <v>960</v>
      </c>
      <c r="G219" s="10">
        <f t="shared" si="34"/>
        <v>0.42</v>
      </c>
      <c r="H219" s="12">
        <f t="shared" si="35"/>
        <v>0.4375</v>
      </c>
      <c r="I219" s="12">
        <v>0.02</v>
      </c>
      <c r="J219" s="12">
        <v>7.0000000000000007E-2</v>
      </c>
      <c r="K219" s="12">
        <f t="shared" si="36"/>
        <v>0.16352500000000003</v>
      </c>
      <c r="L219" s="12">
        <f t="shared" si="37"/>
        <v>0.69102500000000011</v>
      </c>
      <c r="M219" s="12"/>
      <c r="N219" s="12"/>
      <c r="O219" s="12">
        <f t="shared" si="39"/>
        <v>345.51250000000005</v>
      </c>
      <c r="P219" s="12"/>
      <c r="Q219" s="12"/>
      <c r="R219" s="28">
        <v>16.666666666666668</v>
      </c>
    </row>
    <row r="220" spans="1:18" ht="16.5" hidden="1" customHeight="1" x14ac:dyDescent="0.25">
      <c r="A220" s="17">
        <v>45546</v>
      </c>
      <c r="B220" s="10" t="s">
        <v>106</v>
      </c>
      <c r="C220" s="10">
        <v>270</v>
      </c>
      <c r="D220" s="19">
        <v>0.13</v>
      </c>
      <c r="E220" s="11">
        <v>-2.5000000000000001E-2</v>
      </c>
      <c r="F220" s="10">
        <f t="shared" si="33"/>
        <v>870</v>
      </c>
      <c r="G220" s="10">
        <f t="shared" si="34"/>
        <v>0.27</v>
      </c>
      <c r="H220" s="12">
        <f t="shared" si="35"/>
        <v>0.31034482758620691</v>
      </c>
      <c r="I220" s="12">
        <v>0.02</v>
      </c>
      <c r="J220" s="12">
        <v>7.0000000000000007E-2</v>
      </c>
      <c r="K220" s="12">
        <f t="shared" si="36"/>
        <v>-1.0008620689655174E-2</v>
      </c>
      <c r="L220" s="12">
        <f t="shared" si="37"/>
        <v>0.39033620689655174</v>
      </c>
      <c r="M220" s="12"/>
      <c r="N220" s="12"/>
      <c r="O220" s="12">
        <f t="shared" si="39"/>
        <v>195.16810344827587</v>
      </c>
      <c r="P220" s="12"/>
      <c r="Q220" s="12"/>
      <c r="R220" s="28">
        <v>16.666666666666668</v>
      </c>
    </row>
    <row r="221" spans="1:18" ht="16.5" hidden="1" customHeight="1" x14ac:dyDescent="0.25">
      <c r="A221" s="17">
        <v>45547</v>
      </c>
      <c r="B221" s="10" t="s">
        <v>106</v>
      </c>
      <c r="C221" s="10">
        <v>270</v>
      </c>
      <c r="D221" s="19">
        <v>0.09</v>
      </c>
      <c r="E221" s="11">
        <v>0.27</v>
      </c>
      <c r="F221" s="10">
        <f t="shared" si="33"/>
        <v>910</v>
      </c>
      <c r="G221" s="10">
        <f t="shared" si="34"/>
        <v>0.27</v>
      </c>
      <c r="H221" s="12">
        <f t="shared" si="35"/>
        <v>0.2967032967032967</v>
      </c>
      <c r="I221" s="12">
        <v>0.02</v>
      </c>
      <c r="J221" s="12">
        <v>7.0000000000000007E-2</v>
      </c>
      <c r="K221" s="12">
        <f t="shared" si="36"/>
        <v>0.10440989010989013</v>
      </c>
      <c r="L221" s="12">
        <f t="shared" si="37"/>
        <v>0.49111318681318683</v>
      </c>
      <c r="M221" s="12"/>
      <c r="N221" s="12"/>
      <c r="O221" s="12">
        <f t="shared" si="39"/>
        <v>245.55659340659341</v>
      </c>
      <c r="P221" s="12"/>
      <c r="Q221" s="12"/>
      <c r="R221" s="28">
        <v>16.666666666666668</v>
      </c>
    </row>
    <row r="222" spans="1:18" ht="16.5" hidden="1" customHeight="1" x14ac:dyDescent="0.25">
      <c r="A222" s="17">
        <v>45547</v>
      </c>
      <c r="B222" s="10" t="s">
        <v>94</v>
      </c>
      <c r="C222" s="10">
        <v>180</v>
      </c>
      <c r="D222" s="19">
        <v>0</v>
      </c>
      <c r="E222" s="11">
        <v>0.19500000000000001</v>
      </c>
      <c r="F222" s="10">
        <f t="shared" si="33"/>
        <v>1000</v>
      </c>
      <c r="G222" s="10">
        <f t="shared" si="34"/>
        <v>0.18</v>
      </c>
      <c r="H222" s="12">
        <f t="shared" si="35"/>
        <v>0.18</v>
      </c>
      <c r="I222" s="12">
        <v>0.02</v>
      </c>
      <c r="J222" s="12">
        <v>7.0000000000000007E-2</v>
      </c>
      <c r="K222" s="12">
        <f t="shared" si="36"/>
        <v>5.2650000000000002E-2</v>
      </c>
      <c r="L222" s="12">
        <f t="shared" si="37"/>
        <v>0.32264999999999999</v>
      </c>
      <c r="M222" s="12"/>
      <c r="N222" s="12"/>
      <c r="O222" s="12">
        <f t="shared" si="39"/>
        <v>161.32499999999999</v>
      </c>
      <c r="P222" s="12"/>
      <c r="Q222" s="12"/>
      <c r="R222" s="28">
        <v>16.666666666666668</v>
      </c>
    </row>
    <row r="223" spans="1:18" ht="16.5" hidden="1" customHeight="1" x14ac:dyDescent="0.25">
      <c r="A223" s="17">
        <v>45547</v>
      </c>
      <c r="B223" s="10" t="s">
        <v>95</v>
      </c>
      <c r="C223" s="10">
        <v>180</v>
      </c>
      <c r="D223" s="19">
        <v>0</v>
      </c>
      <c r="E223" s="11">
        <v>0.19500000000000001</v>
      </c>
      <c r="F223" s="10">
        <f t="shared" si="33"/>
        <v>1000</v>
      </c>
      <c r="G223" s="10">
        <f t="shared" si="34"/>
        <v>0.18</v>
      </c>
      <c r="H223" s="12">
        <f t="shared" si="35"/>
        <v>0.18</v>
      </c>
      <c r="I223" s="12">
        <v>0.02</v>
      </c>
      <c r="J223" s="12">
        <v>7.0000000000000007E-2</v>
      </c>
      <c r="K223" s="12">
        <f t="shared" si="36"/>
        <v>5.2650000000000002E-2</v>
      </c>
      <c r="L223" s="12">
        <f t="shared" si="37"/>
        <v>0.32264999999999999</v>
      </c>
      <c r="M223" s="12"/>
      <c r="N223" s="12"/>
      <c r="O223" s="12">
        <f t="shared" si="39"/>
        <v>161.32499999999999</v>
      </c>
      <c r="P223" s="12"/>
      <c r="Q223" s="12"/>
      <c r="R223" s="28">
        <v>16.666666666666668</v>
      </c>
    </row>
    <row r="224" spans="1:18" ht="16.5" hidden="1" customHeight="1" x14ac:dyDescent="0.25">
      <c r="A224" s="17">
        <v>45548</v>
      </c>
      <c r="B224" s="10" t="s">
        <v>93</v>
      </c>
      <c r="C224" s="10">
        <v>540</v>
      </c>
      <c r="D224" s="19">
        <v>0</v>
      </c>
      <c r="E224" s="11">
        <v>0.19</v>
      </c>
      <c r="F224" s="10">
        <f t="shared" si="33"/>
        <v>1000</v>
      </c>
      <c r="G224" s="10">
        <f t="shared" si="34"/>
        <v>0.54</v>
      </c>
      <c r="H224" s="12">
        <f t="shared" si="35"/>
        <v>0.54</v>
      </c>
      <c r="I224" s="12">
        <v>0.02</v>
      </c>
      <c r="J224" s="12">
        <v>7.0000000000000007E-2</v>
      </c>
      <c r="K224" s="12">
        <f t="shared" si="36"/>
        <v>0.11970000000000003</v>
      </c>
      <c r="L224" s="12">
        <f t="shared" si="37"/>
        <v>0.74970000000000014</v>
      </c>
      <c r="M224" s="12"/>
      <c r="N224" s="12"/>
      <c r="O224" s="12">
        <f t="shared" si="39"/>
        <v>374.85000000000008</v>
      </c>
      <c r="P224" s="12"/>
      <c r="Q224" s="12"/>
      <c r="R224" s="28">
        <v>16.666666666666668</v>
      </c>
    </row>
    <row r="225" spans="1:18" ht="16.5" hidden="1" customHeight="1" x14ac:dyDescent="0.25">
      <c r="A225" s="17">
        <v>45548</v>
      </c>
      <c r="B225" s="10" t="s">
        <v>94</v>
      </c>
      <c r="C225" s="10">
        <v>180</v>
      </c>
      <c r="D225" s="19">
        <v>0</v>
      </c>
      <c r="E225" s="11">
        <v>0.19500000000000001</v>
      </c>
      <c r="F225" s="10">
        <f t="shared" si="33"/>
        <v>1000</v>
      </c>
      <c r="G225" s="10">
        <f t="shared" si="34"/>
        <v>0.18</v>
      </c>
      <c r="H225" s="12">
        <f t="shared" si="35"/>
        <v>0.18</v>
      </c>
      <c r="I225" s="12">
        <v>0.02</v>
      </c>
      <c r="J225" s="12">
        <v>7.0000000000000007E-2</v>
      </c>
      <c r="K225" s="12">
        <f t="shared" si="36"/>
        <v>5.2650000000000002E-2</v>
      </c>
      <c r="L225" s="12">
        <f t="shared" si="37"/>
        <v>0.32264999999999999</v>
      </c>
      <c r="M225" s="12"/>
      <c r="N225" s="12"/>
      <c r="O225" s="12">
        <f t="shared" si="39"/>
        <v>161.32499999999999</v>
      </c>
      <c r="P225" s="12"/>
      <c r="Q225" s="12"/>
      <c r="R225" s="28">
        <v>16.666666666666668</v>
      </c>
    </row>
    <row r="226" spans="1:18" ht="16.5" hidden="1" customHeight="1" x14ac:dyDescent="0.25">
      <c r="A226" s="17">
        <v>45548</v>
      </c>
      <c r="B226" s="10" t="s">
        <v>95</v>
      </c>
      <c r="C226" s="10">
        <v>180</v>
      </c>
      <c r="D226" s="19">
        <v>0</v>
      </c>
      <c r="E226" s="11">
        <v>0.19500000000000001</v>
      </c>
      <c r="F226" s="10">
        <f t="shared" si="33"/>
        <v>1000</v>
      </c>
      <c r="G226" s="10">
        <f t="shared" si="34"/>
        <v>0.18</v>
      </c>
      <c r="H226" s="12">
        <f t="shared" si="35"/>
        <v>0.18</v>
      </c>
      <c r="I226" s="12">
        <v>0.02</v>
      </c>
      <c r="J226" s="12">
        <v>7.0000000000000007E-2</v>
      </c>
      <c r="K226" s="12">
        <f t="shared" si="36"/>
        <v>5.2650000000000002E-2</v>
      </c>
      <c r="L226" s="12">
        <f t="shared" si="37"/>
        <v>0.32264999999999999</v>
      </c>
      <c r="M226" s="12"/>
      <c r="N226" s="12"/>
      <c r="O226" s="12">
        <f t="shared" si="39"/>
        <v>161.32499999999999</v>
      </c>
      <c r="P226" s="12"/>
      <c r="Q226" s="12"/>
      <c r="R226" s="28">
        <v>16.666666666666668</v>
      </c>
    </row>
    <row r="227" spans="1:18" ht="16.5" hidden="1" customHeight="1" x14ac:dyDescent="0.25">
      <c r="A227" s="17">
        <v>45548</v>
      </c>
      <c r="B227" s="10" t="s">
        <v>106</v>
      </c>
      <c r="C227" s="10">
        <v>270</v>
      </c>
      <c r="D227" s="19">
        <v>0.19</v>
      </c>
      <c r="E227" s="11">
        <v>0.16</v>
      </c>
      <c r="F227" s="10">
        <f t="shared" si="33"/>
        <v>810</v>
      </c>
      <c r="G227" s="10">
        <f t="shared" si="34"/>
        <v>0.27</v>
      </c>
      <c r="H227" s="12">
        <f t="shared" si="35"/>
        <v>0.33333333333333331</v>
      </c>
      <c r="I227" s="12">
        <v>0.02</v>
      </c>
      <c r="J227" s="12">
        <v>7.0000000000000007E-2</v>
      </c>
      <c r="K227" s="12">
        <f t="shared" si="36"/>
        <v>6.773333333333334E-2</v>
      </c>
      <c r="L227" s="12">
        <f t="shared" si="37"/>
        <v>0.49106666666666665</v>
      </c>
      <c r="M227" s="12"/>
      <c r="N227" s="12"/>
      <c r="O227" s="12">
        <f t="shared" si="39"/>
        <v>245.53333333333333</v>
      </c>
      <c r="P227" s="12"/>
      <c r="Q227" s="12"/>
      <c r="R227" s="28">
        <v>16.666666666666668</v>
      </c>
    </row>
    <row r="228" spans="1:18" ht="16.5" hidden="1" customHeight="1" x14ac:dyDescent="0.25">
      <c r="A228" s="17">
        <v>45548</v>
      </c>
      <c r="B228" s="2" t="s">
        <v>128</v>
      </c>
      <c r="C228" s="2">
        <v>300</v>
      </c>
      <c r="D228" s="19">
        <v>0.03</v>
      </c>
      <c r="E228" s="11">
        <v>0.23</v>
      </c>
      <c r="F228" s="10">
        <f t="shared" si="33"/>
        <v>970</v>
      </c>
      <c r="G228" s="10">
        <f t="shared" si="34"/>
        <v>0.3</v>
      </c>
      <c r="H228" s="12">
        <f t="shared" si="35"/>
        <v>0.30927835051546393</v>
      </c>
      <c r="I228" s="12">
        <v>0.02</v>
      </c>
      <c r="J228" s="12">
        <v>7.0000000000000007E-2</v>
      </c>
      <c r="K228" s="12">
        <f t="shared" si="36"/>
        <v>9.1834020618556708E-2</v>
      </c>
      <c r="L228" s="12">
        <f t="shared" si="37"/>
        <v>0.49111237113402068</v>
      </c>
      <c r="M228" s="12"/>
      <c r="N228" s="12"/>
      <c r="O228" s="12">
        <f t="shared" si="39"/>
        <v>245.55618556701035</v>
      </c>
      <c r="P228" s="12"/>
      <c r="Q228" s="12"/>
      <c r="R228" s="28">
        <f>K228/L228%</f>
        <v>18.699186991869915</v>
      </c>
    </row>
    <row r="229" spans="1:18" ht="16.5" hidden="1" customHeight="1" x14ac:dyDescent="0.25">
      <c r="A229" s="17">
        <v>45548</v>
      </c>
      <c r="B229" s="10" t="s">
        <v>147</v>
      </c>
      <c r="C229" s="2">
        <v>230</v>
      </c>
      <c r="D229" s="19">
        <v>0.56999999999999995</v>
      </c>
      <c r="E229" s="11">
        <v>0.42499999999999999</v>
      </c>
      <c r="F229" s="10">
        <f t="shared" si="33"/>
        <v>430</v>
      </c>
      <c r="G229" s="10">
        <f t="shared" si="34"/>
        <v>0.23</v>
      </c>
      <c r="H229" s="12">
        <f t="shared" si="35"/>
        <v>0.53488372093023251</v>
      </c>
      <c r="I229" s="12">
        <v>0.02</v>
      </c>
      <c r="J229" s="12">
        <v>7.0000000000000007E-2</v>
      </c>
      <c r="K229" s="12">
        <f t="shared" si="36"/>
        <v>0.26557558139534881</v>
      </c>
      <c r="L229" s="12">
        <f t="shared" si="37"/>
        <v>0.89045930232558135</v>
      </c>
      <c r="M229" s="12"/>
      <c r="N229" s="12"/>
      <c r="O229" s="12">
        <f t="shared" si="39"/>
        <v>445.22965116279067</v>
      </c>
      <c r="P229" s="12"/>
      <c r="Q229" s="12"/>
      <c r="R229" s="28">
        <v>16.666666666666668</v>
      </c>
    </row>
    <row r="230" spans="1:18" ht="16.5" hidden="1" customHeight="1" x14ac:dyDescent="0.25">
      <c r="A230" s="17">
        <v>45548</v>
      </c>
      <c r="B230" s="10" t="s">
        <v>148</v>
      </c>
      <c r="C230" s="10">
        <v>230</v>
      </c>
      <c r="D230" s="19">
        <v>0.56999999999999995</v>
      </c>
      <c r="E230" s="11">
        <v>0.56999999999999995</v>
      </c>
      <c r="F230" s="10">
        <f t="shared" si="33"/>
        <v>430</v>
      </c>
      <c r="G230" s="10">
        <f t="shared" si="34"/>
        <v>0.23</v>
      </c>
      <c r="H230" s="12">
        <f t="shared" si="35"/>
        <v>0.53488372093023251</v>
      </c>
      <c r="I230" s="12">
        <v>0.02</v>
      </c>
      <c r="J230" s="12">
        <v>7.0000000000000007E-2</v>
      </c>
      <c r="K230" s="12">
        <f t="shared" si="36"/>
        <v>0.35618372093023248</v>
      </c>
      <c r="L230" s="12">
        <f t="shared" si="37"/>
        <v>0.98106744186046502</v>
      </c>
      <c r="M230" s="12">
        <f>L230*250</f>
        <v>245.26686046511625</v>
      </c>
      <c r="N230" s="12"/>
      <c r="O230" s="12"/>
      <c r="P230" s="12"/>
      <c r="Q230" s="12"/>
      <c r="R230" s="28">
        <v>16.666666666666668</v>
      </c>
    </row>
    <row r="231" spans="1:18" ht="16.5" hidden="1" customHeight="1" x14ac:dyDescent="0.25">
      <c r="A231" s="17">
        <v>45548</v>
      </c>
      <c r="B231" s="2" t="s">
        <v>138</v>
      </c>
      <c r="C231" s="10">
        <v>330</v>
      </c>
      <c r="D231" s="19">
        <v>0.56999999999999995</v>
      </c>
      <c r="E231" s="11">
        <v>0.61</v>
      </c>
      <c r="F231" s="10">
        <f t="shared" si="33"/>
        <v>430</v>
      </c>
      <c r="G231" s="10">
        <f t="shared" si="34"/>
        <v>0.33</v>
      </c>
      <c r="H231" s="12">
        <f t="shared" si="35"/>
        <v>0.76744186046511631</v>
      </c>
      <c r="I231" s="12">
        <v>0.02</v>
      </c>
      <c r="J231" s="12">
        <v>7.0000000000000007E-2</v>
      </c>
      <c r="K231" s="12">
        <f t="shared" si="36"/>
        <v>0.52303953488372101</v>
      </c>
      <c r="L231" s="12">
        <f t="shared" si="37"/>
        <v>1.3804813953488373</v>
      </c>
      <c r="M231" s="12">
        <f>L231*250</f>
        <v>345.12034883720935</v>
      </c>
      <c r="N231" s="12"/>
      <c r="O231" s="12"/>
      <c r="P231" s="12"/>
      <c r="Q231" s="12"/>
      <c r="R231" s="28">
        <v>16.666666666666668</v>
      </c>
    </row>
    <row r="232" spans="1:18" ht="16.5" hidden="1" customHeight="1" x14ac:dyDescent="0.25">
      <c r="A232" s="17">
        <v>45548</v>
      </c>
      <c r="B232" s="10" t="s">
        <v>92</v>
      </c>
      <c r="C232" s="10">
        <v>400</v>
      </c>
      <c r="D232" s="19">
        <v>0</v>
      </c>
      <c r="E232" s="11">
        <v>0.33</v>
      </c>
      <c r="F232" s="10">
        <f t="shared" si="33"/>
        <v>1000</v>
      </c>
      <c r="G232" s="10">
        <f t="shared" si="34"/>
        <v>0.4</v>
      </c>
      <c r="H232" s="12">
        <f t="shared" si="35"/>
        <v>0.4</v>
      </c>
      <c r="I232" s="12">
        <v>0.02</v>
      </c>
      <c r="J232" s="12">
        <v>7.0000000000000007E-2</v>
      </c>
      <c r="K232" s="12">
        <f t="shared" si="36"/>
        <v>0.16170000000000001</v>
      </c>
      <c r="L232" s="12">
        <f t="shared" si="37"/>
        <v>0.65170000000000006</v>
      </c>
      <c r="M232" s="12"/>
      <c r="N232" s="12"/>
      <c r="O232" s="12">
        <f>L232*500</f>
        <v>325.85000000000002</v>
      </c>
      <c r="P232" s="12"/>
      <c r="Q232" s="12"/>
      <c r="R232" s="28">
        <v>16.666666666666668</v>
      </c>
    </row>
    <row r="233" spans="1:18" ht="16.5" hidden="1" customHeight="1" x14ac:dyDescent="0.25">
      <c r="A233" s="17">
        <v>45548</v>
      </c>
      <c r="B233" s="10" t="s">
        <v>113</v>
      </c>
      <c r="C233" s="10">
        <v>1000</v>
      </c>
      <c r="D233" s="19">
        <v>0.5</v>
      </c>
      <c r="E233" s="11">
        <v>0</v>
      </c>
      <c r="F233" s="10">
        <f t="shared" si="33"/>
        <v>500</v>
      </c>
      <c r="G233" s="10">
        <f t="shared" si="34"/>
        <v>1</v>
      </c>
      <c r="H233" s="12">
        <f t="shared" si="35"/>
        <v>2</v>
      </c>
      <c r="I233" s="12">
        <v>0.02</v>
      </c>
      <c r="J233" s="12">
        <v>7.0000000000000007E-2</v>
      </c>
      <c r="K233" s="12">
        <f t="shared" si="36"/>
        <v>0</v>
      </c>
      <c r="L233" s="12">
        <f t="shared" si="37"/>
        <v>2.09</v>
      </c>
      <c r="M233" s="12">
        <f>L233*250</f>
        <v>522.5</v>
      </c>
      <c r="N233" s="12" t="s">
        <v>72</v>
      </c>
      <c r="O233" s="12"/>
      <c r="P233" s="12"/>
      <c r="Q233" s="12"/>
      <c r="R233" s="28">
        <f>K233/L233%</f>
        <v>0</v>
      </c>
    </row>
    <row r="234" spans="1:18" ht="16.5" hidden="1" customHeight="1" x14ac:dyDescent="0.25">
      <c r="A234" s="17">
        <v>45549</v>
      </c>
      <c r="B234" s="10" t="s">
        <v>111</v>
      </c>
      <c r="C234" s="10">
        <v>750</v>
      </c>
      <c r="D234" s="19">
        <v>0.4</v>
      </c>
      <c r="E234" s="11">
        <v>0.33</v>
      </c>
      <c r="F234" s="10">
        <f t="shared" si="33"/>
        <v>600</v>
      </c>
      <c r="G234" s="10">
        <f t="shared" si="34"/>
        <v>0.75</v>
      </c>
      <c r="H234" s="12">
        <f t="shared" si="35"/>
        <v>1.25</v>
      </c>
      <c r="I234" s="12">
        <v>0.02</v>
      </c>
      <c r="J234" s="12">
        <v>7.0000000000000007E-2</v>
      </c>
      <c r="K234" s="12">
        <f t="shared" si="36"/>
        <v>0.44220000000000004</v>
      </c>
      <c r="L234" s="12">
        <f t="shared" si="37"/>
        <v>1.7822</v>
      </c>
      <c r="M234" s="12">
        <f>L234*250</f>
        <v>445.55</v>
      </c>
      <c r="N234" s="12"/>
      <c r="O234" s="12"/>
      <c r="P234" s="12"/>
      <c r="Q234" s="12"/>
      <c r="R234" s="28">
        <v>16.666666666666668</v>
      </c>
    </row>
    <row r="235" spans="1:18" ht="16.5" hidden="1" customHeight="1" x14ac:dyDescent="0.25">
      <c r="A235" s="17">
        <v>45549</v>
      </c>
      <c r="B235" s="2" t="s">
        <v>160</v>
      </c>
      <c r="C235" s="10">
        <v>750</v>
      </c>
      <c r="D235" s="19">
        <v>0.4</v>
      </c>
      <c r="E235" s="11">
        <v>0.23</v>
      </c>
      <c r="F235" s="10">
        <f t="shared" si="33"/>
        <v>600</v>
      </c>
      <c r="G235" s="10">
        <f t="shared" si="34"/>
        <v>0.75</v>
      </c>
      <c r="H235" s="12">
        <f t="shared" si="35"/>
        <v>1.25</v>
      </c>
      <c r="I235" s="12">
        <v>0.02</v>
      </c>
      <c r="J235" s="12">
        <v>7.0000000000000007E-2</v>
      </c>
      <c r="K235" s="12">
        <f t="shared" si="36"/>
        <v>0.30820000000000003</v>
      </c>
      <c r="L235" s="12">
        <f t="shared" si="37"/>
        <v>1.6482000000000001</v>
      </c>
      <c r="M235" s="12"/>
      <c r="N235" s="12"/>
      <c r="O235" s="12">
        <f>L235*500</f>
        <v>824.1</v>
      </c>
      <c r="P235" s="12"/>
      <c r="Q235" s="12"/>
      <c r="R235" s="28">
        <v>16.666666666666668</v>
      </c>
    </row>
    <row r="236" spans="1:18" ht="16.5" hidden="1" customHeight="1" x14ac:dyDescent="0.25">
      <c r="A236" s="17">
        <v>45549</v>
      </c>
      <c r="B236" s="10" t="s">
        <v>113</v>
      </c>
      <c r="C236" s="10">
        <v>750</v>
      </c>
      <c r="D236" s="19">
        <v>0.4</v>
      </c>
      <c r="E236" s="11">
        <v>0.48</v>
      </c>
      <c r="F236" s="10">
        <f t="shared" si="33"/>
        <v>600</v>
      </c>
      <c r="G236" s="10">
        <f t="shared" si="34"/>
        <v>0.75</v>
      </c>
      <c r="H236" s="12">
        <f t="shared" si="35"/>
        <v>1.25</v>
      </c>
      <c r="I236" s="12">
        <v>0.02</v>
      </c>
      <c r="J236" s="12">
        <v>7.0000000000000007E-2</v>
      </c>
      <c r="K236" s="12">
        <f t="shared" si="36"/>
        <v>0.64319999999999999</v>
      </c>
      <c r="L236" s="12">
        <f t="shared" si="37"/>
        <v>1.9832000000000001</v>
      </c>
      <c r="M236" s="12">
        <f>L236*250</f>
        <v>495.8</v>
      </c>
      <c r="N236" s="12" t="s">
        <v>72</v>
      </c>
      <c r="O236" s="12"/>
      <c r="P236" s="12"/>
      <c r="Q236" s="12"/>
      <c r="R236" s="28">
        <f>K236/L236%</f>
        <v>32.432432432432428</v>
      </c>
    </row>
    <row r="237" spans="1:18" ht="16.5" hidden="1" customHeight="1" x14ac:dyDescent="0.25">
      <c r="A237" s="17">
        <v>45549</v>
      </c>
      <c r="B237" s="10" t="s">
        <v>114</v>
      </c>
      <c r="C237" s="10">
        <v>500</v>
      </c>
      <c r="D237" s="19">
        <v>0.62</v>
      </c>
      <c r="E237" s="11">
        <v>0.3</v>
      </c>
      <c r="F237" s="10">
        <f t="shared" si="33"/>
        <v>380</v>
      </c>
      <c r="G237" s="10">
        <f t="shared" si="34"/>
        <v>0.5</v>
      </c>
      <c r="H237" s="12">
        <f t="shared" si="35"/>
        <v>1.3157894736842106</v>
      </c>
      <c r="I237" s="12">
        <v>0.02</v>
      </c>
      <c r="J237" s="12">
        <v>7.0000000000000007E-2</v>
      </c>
      <c r="K237" s="12">
        <f t="shared" si="36"/>
        <v>0.42173684210526319</v>
      </c>
      <c r="L237" s="12">
        <f t="shared" si="37"/>
        <v>1.8275263157894739</v>
      </c>
      <c r="M237" s="12">
        <f>L237*250</f>
        <v>456.8815789473685</v>
      </c>
      <c r="N237" s="12"/>
      <c r="O237" s="12"/>
      <c r="P237" s="12"/>
      <c r="Q237" s="12"/>
      <c r="R237" s="28">
        <v>16.666666666666668</v>
      </c>
    </row>
    <row r="238" spans="1:18" ht="16.5" hidden="1" customHeight="1" x14ac:dyDescent="0.25">
      <c r="A238" s="17">
        <v>45549</v>
      </c>
      <c r="B238" s="10" t="s">
        <v>115</v>
      </c>
      <c r="C238" s="10">
        <v>180</v>
      </c>
      <c r="D238" s="19">
        <v>0.52</v>
      </c>
      <c r="E238" s="11">
        <v>0.5</v>
      </c>
      <c r="F238" s="10">
        <f t="shared" si="33"/>
        <v>480</v>
      </c>
      <c r="G238" s="10">
        <f t="shared" si="34"/>
        <v>0.18</v>
      </c>
      <c r="H238" s="12">
        <f t="shared" si="35"/>
        <v>0.375</v>
      </c>
      <c r="I238" s="12">
        <v>0.02</v>
      </c>
      <c r="J238" s="12">
        <v>7.0000000000000007E-2</v>
      </c>
      <c r="K238" s="12">
        <f t="shared" si="36"/>
        <v>0.23250000000000001</v>
      </c>
      <c r="L238" s="12">
        <f t="shared" si="37"/>
        <v>0.69750000000000001</v>
      </c>
      <c r="M238" s="12">
        <f>L238*250</f>
        <v>174.375</v>
      </c>
      <c r="N238" s="12"/>
      <c r="O238" s="12" t="s">
        <v>72</v>
      </c>
      <c r="P238" s="12"/>
      <c r="Q238" s="12"/>
      <c r="R238" s="28">
        <f>K238/L238%</f>
        <v>33.333333333333336</v>
      </c>
    </row>
    <row r="239" spans="1:18" ht="16.5" hidden="1" customHeight="1" x14ac:dyDescent="0.25">
      <c r="A239" s="17">
        <v>45549</v>
      </c>
      <c r="B239" s="10" t="s">
        <v>118</v>
      </c>
      <c r="C239" s="10">
        <v>250</v>
      </c>
      <c r="D239" s="19">
        <v>0.33</v>
      </c>
      <c r="E239" s="11">
        <v>0.52</v>
      </c>
      <c r="F239" s="10">
        <f t="shared" si="33"/>
        <v>670</v>
      </c>
      <c r="G239" s="10">
        <f t="shared" si="34"/>
        <v>0.25</v>
      </c>
      <c r="H239" s="12">
        <f t="shared" si="35"/>
        <v>0.37313432835820898</v>
      </c>
      <c r="I239" s="12">
        <v>0.02</v>
      </c>
      <c r="J239" s="12">
        <v>7.0000000000000007E-2</v>
      </c>
      <c r="K239" s="12">
        <f t="shared" si="36"/>
        <v>0.2408298507462687</v>
      </c>
      <c r="L239" s="12">
        <f t="shared" si="37"/>
        <v>0.70396417910447773</v>
      </c>
      <c r="M239" s="12">
        <f>L239*250</f>
        <v>175.99104477611942</v>
      </c>
      <c r="N239" s="12"/>
      <c r="O239" s="12"/>
      <c r="P239" s="12"/>
      <c r="Q239" s="12"/>
      <c r="R239" s="28">
        <v>16.666666666666668</v>
      </c>
    </row>
    <row r="240" spans="1:18" ht="16.5" hidden="1" customHeight="1" x14ac:dyDescent="0.25">
      <c r="A240" s="17">
        <v>45549</v>
      </c>
      <c r="B240" s="10" t="s">
        <v>92</v>
      </c>
      <c r="C240" s="10">
        <v>420</v>
      </c>
      <c r="D240" s="19">
        <v>0</v>
      </c>
      <c r="E240" s="11">
        <v>0.27500000000000002</v>
      </c>
      <c r="F240" s="10">
        <f t="shared" si="33"/>
        <v>1000</v>
      </c>
      <c r="G240" s="10">
        <f t="shared" si="34"/>
        <v>0.42</v>
      </c>
      <c r="H240" s="12">
        <f t="shared" si="35"/>
        <v>0.42</v>
      </c>
      <c r="I240" s="12">
        <v>0.02</v>
      </c>
      <c r="J240" s="12">
        <v>7.0000000000000007E-2</v>
      </c>
      <c r="K240" s="12">
        <f t="shared" si="36"/>
        <v>0.14025000000000001</v>
      </c>
      <c r="L240" s="12">
        <f t="shared" si="37"/>
        <v>0.65024999999999999</v>
      </c>
      <c r="M240" s="12"/>
      <c r="N240" s="12"/>
      <c r="O240" s="12">
        <f>L240*500</f>
        <v>325.125</v>
      </c>
      <c r="P240" s="12"/>
      <c r="Q240" s="12"/>
      <c r="R240" s="28">
        <v>16.666666666666668</v>
      </c>
    </row>
    <row r="241" spans="1:18" ht="16.5" hidden="1" customHeight="1" x14ac:dyDescent="0.25">
      <c r="A241" s="17">
        <v>45549</v>
      </c>
      <c r="B241" s="10" t="s">
        <v>90</v>
      </c>
      <c r="C241" s="10">
        <v>300</v>
      </c>
      <c r="D241" s="19">
        <v>0.21</v>
      </c>
      <c r="E241" s="11">
        <v>0.38500000000000001</v>
      </c>
      <c r="F241" s="10">
        <f t="shared" si="33"/>
        <v>790</v>
      </c>
      <c r="G241" s="10">
        <f t="shared" si="34"/>
        <v>0.3</v>
      </c>
      <c r="H241" s="12">
        <f t="shared" si="35"/>
        <v>0.379746835443038</v>
      </c>
      <c r="I241" s="12">
        <v>0.02</v>
      </c>
      <c r="J241" s="12">
        <v>7.0000000000000007E-2</v>
      </c>
      <c r="K241" s="12">
        <f t="shared" si="36"/>
        <v>0.18085253164556964</v>
      </c>
      <c r="L241" s="12">
        <f t="shared" si="37"/>
        <v>0.65059936708860766</v>
      </c>
      <c r="M241" s="12"/>
      <c r="N241" s="12"/>
      <c r="O241" s="12">
        <f>L241*500</f>
        <v>325.29968354430383</v>
      </c>
      <c r="P241" s="12"/>
      <c r="Q241" s="12"/>
      <c r="R241" s="28">
        <v>16.666666666666668</v>
      </c>
    </row>
    <row r="242" spans="1:18" ht="16.5" hidden="1" customHeight="1" x14ac:dyDescent="0.25">
      <c r="A242" s="17">
        <v>45549</v>
      </c>
      <c r="B242" s="10" t="s">
        <v>147</v>
      </c>
      <c r="C242" s="2">
        <v>230</v>
      </c>
      <c r="D242" s="19">
        <v>0.75</v>
      </c>
      <c r="E242" s="11">
        <v>-0.12</v>
      </c>
      <c r="F242" s="10">
        <f t="shared" si="33"/>
        <v>250</v>
      </c>
      <c r="G242" s="10">
        <f t="shared" si="34"/>
        <v>0.23</v>
      </c>
      <c r="H242" s="12">
        <f t="shared" si="35"/>
        <v>0.92</v>
      </c>
      <c r="I242" s="12">
        <v>0.02</v>
      </c>
      <c r="J242" s="12">
        <v>7.0000000000000007E-2</v>
      </c>
      <c r="K242" s="12">
        <f t="shared" si="36"/>
        <v>-0.1212</v>
      </c>
      <c r="L242" s="12">
        <f t="shared" si="37"/>
        <v>0.88880000000000003</v>
      </c>
      <c r="M242" s="12"/>
      <c r="N242" s="12"/>
      <c r="O242" s="12">
        <f>L242*500</f>
        <v>444.40000000000003</v>
      </c>
      <c r="P242" s="12"/>
      <c r="Q242" s="12"/>
      <c r="R242" s="28">
        <v>16.666666666666668</v>
      </c>
    </row>
    <row r="243" spans="1:18" ht="16.5" hidden="1" customHeight="1" x14ac:dyDescent="0.25">
      <c r="A243" s="17">
        <v>45549</v>
      </c>
      <c r="B243" s="10" t="s">
        <v>148</v>
      </c>
      <c r="C243" s="10">
        <v>230</v>
      </c>
      <c r="D243" s="19">
        <v>0.75</v>
      </c>
      <c r="E243" s="11">
        <v>-0.03</v>
      </c>
      <c r="F243" s="10">
        <f t="shared" si="33"/>
        <v>250</v>
      </c>
      <c r="G243" s="10">
        <f t="shared" si="34"/>
        <v>0.23</v>
      </c>
      <c r="H243" s="12">
        <f t="shared" si="35"/>
        <v>0.92</v>
      </c>
      <c r="I243" s="12">
        <v>0.02</v>
      </c>
      <c r="J243" s="12">
        <v>7.0000000000000007E-2</v>
      </c>
      <c r="K243" s="12">
        <f t="shared" si="36"/>
        <v>-3.0300000000000001E-2</v>
      </c>
      <c r="L243" s="12">
        <f t="shared" si="37"/>
        <v>0.97970000000000002</v>
      </c>
      <c r="M243" s="12">
        <f>L243*250</f>
        <v>244.92500000000001</v>
      </c>
      <c r="N243" s="12"/>
      <c r="O243" s="12"/>
      <c r="P243" s="12"/>
      <c r="Q243" s="12"/>
      <c r="R243" s="28">
        <v>16.666666666666668</v>
      </c>
    </row>
    <row r="244" spans="1:18" ht="16.5" hidden="1" customHeight="1" x14ac:dyDescent="0.25">
      <c r="A244" s="17">
        <v>45549</v>
      </c>
      <c r="B244" s="2" t="s">
        <v>138</v>
      </c>
      <c r="C244" s="10">
        <v>380</v>
      </c>
      <c r="D244" s="19">
        <v>0.505</v>
      </c>
      <c r="E244" s="11">
        <v>0.61</v>
      </c>
      <c r="F244" s="10">
        <f t="shared" si="33"/>
        <v>495</v>
      </c>
      <c r="G244" s="10">
        <f t="shared" si="34"/>
        <v>0.38</v>
      </c>
      <c r="H244" s="12">
        <f t="shared" si="35"/>
        <v>0.76767676767676762</v>
      </c>
      <c r="I244" s="12">
        <v>0.02</v>
      </c>
      <c r="J244" s="12">
        <v>7.0000000000000007E-2</v>
      </c>
      <c r="K244" s="12">
        <f t="shared" si="36"/>
        <v>0.52318282828282825</v>
      </c>
      <c r="L244" s="12">
        <f t="shared" si="37"/>
        <v>1.380859595959596</v>
      </c>
      <c r="M244" s="12">
        <f>L244*250</f>
        <v>345.21489898989898</v>
      </c>
      <c r="N244" s="12"/>
      <c r="O244" s="12"/>
      <c r="P244" s="12"/>
      <c r="Q244" s="12"/>
      <c r="R244" s="28">
        <v>16.666666666666668</v>
      </c>
    </row>
    <row r="245" spans="1:18" ht="16.5" hidden="1" customHeight="1" x14ac:dyDescent="0.25">
      <c r="A245" s="17">
        <v>45549</v>
      </c>
      <c r="B245" s="10" t="s">
        <v>106</v>
      </c>
      <c r="C245" s="10">
        <v>260</v>
      </c>
      <c r="D245" s="19">
        <v>0.15</v>
      </c>
      <c r="E245" s="11">
        <v>0.21</v>
      </c>
      <c r="F245" s="10">
        <f t="shared" si="33"/>
        <v>850</v>
      </c>
      <c r="G245" s="10">
        <f t="shared" si="34"/>
        <v>0.26</v>
      </c>
      <c r="H245" s="12">
        <f t="shared" si="35"/>
        <v>0.30588235294117649</v>
      </c>
      <c r="I245" s="12">
        <v>0.02</v>
      </c>
      <c r="J245" s="12">
        <v>7.0000000000000007E-2</v>
      </c>
      <c r="K245" s="12">
        <f t="shared" si="36"/>
        <v>8.3135294117647071E-2</v>
      </c>
      <c r="L245" s="12">
        <f t="shared" si="37"/>
        <v>0.4790176470588236</v>
      </c>
      <c r="M245" s="12"/>
      <c r="N245" s="12"/>
      <c r="O245" s="12">
        <f t="shared" ref="O245:O251" si="40">L245*500</f>
        <v>239.50882352941181</v>
      </c>
      <c r="P245" s="12"/>
      <c r="Q245" s="12"/>
      <c r="R245" s="28">
        <v>16.666666666666668</v>
      </c>
    </row>
    <row r="246" spans="1:18" ht="16.5" hidden="1" customHeight="1" x14ac:dyDescent="0.25">
      <c r="A246" s="17">
        <v>45549</v>
      </c>
      <c r="B246" s="10" t="s">
        <v>94</v>
      </c>
      <c r="C246" s="10">
        <v>180</v>
      </c>
      <c r="D246" s="19">
        <v>3.5000000000000003E-2</v>
      </c>
      <c r="E246" s="11">
        <v>8.3000000000000004E-2</v>
      </c>
      <c r="F246" s="10">
        <f t="shared" si="33"/>
        <v>965</v>
      </c>
      <c r="G246" s="10">
        <f t="shared" si="34"/>
        <v>0.18</v>
      </c>
      <c r="H246" s="12">
        <f t="shared" si="35"/>
        <v>0.18652849740932642</v>
      </c>
      <c r="I246" s="12">
        <v>0.02</v>
      </c>
      <c r="J246" s="12">
        <v>7.0000000000000007E-2</v>
      </c>
      <c r="K246" s="12">
        <f t="shared" si="36"/>
        <v>2.2951865284974091E-2</v>
      </c>
      <c r="L246" s="12">
        <f t="shared" si="37"/>
        <v>0.29948036269430051</v>
      </c>
      <c r="M246" s="12"/>
      <c r="N246" s="12"/>
      <c r="O246" s="12">
        <f t="shared" si="40"/>
        <v>149.74018134715024</v>
      </c>
      <c r="P246" s="12"/>
      <c r="Q246" s="12"/>
      <c r="R246" s="28">
        <v>16.666666666666668</v>
      </c>
    </row>
    <row r="247" spans="1:18" ht="16.5" hidden="1" customHeight="1" x14ac:dyDescent="0.25">
      <c r="A247" s="17">
        <v>45549</v>
      </c>
      <c r="B247" s="10" t="s">
        <v>95</v>
      </c>
      <c r="C247" s="10">
        <v>180</v>
      </c>
      <c r="D247" s="19">
        <v>3.5000000000000003E-2</v>
      </c>
      <c r="E247" s="11">
        <v>8.3000000000000004E-2</v>
      </c>
      <c r="F247" s="10">
        <f t="shared" si="33"/>
        <v>965</v>
      </c>
      <c r="G247" s="10">
        <f t="shared" si="34"/>
        <v>0.18</v>
      </c>
      <c r="H247" s="12">
        <f t="shared" si="35"/>
        <v>0.18652849740932642</v>
      </c>
      <c r="I247" s="12">
        <v>0.02</v>
      </c>
      <c r="J247" s="12">
        <v>7.0000000000000007E-2</v>
      </c>
      <c r="K247" s="12">
        <f t="shared" si="36"/>
        <v>2.2951865284974091E-2</v>
      </c>
      <c r="L247" s="12">
        <f t="shared" si="37"/>
        <v>0.29948036269430051</v>
      </c>
      <c r="M247" s="12"/>
      <c r="N247" s="12"/>
      <c r="O247" s="12">
        <f t="shared" si="40"/>
        <v>149.74018134715024</v>
      </c>
      <c r="P247" s="12"/>
      <c r="Q247" s="12"/>
      <c r="R247" s="28">
        <v>16.666666666666668</v>
      </c>
    </row>
    <row r="248" spans="1:18" ht="16.5" hidden="1" customHeight="1" x14ac:dyDescent="0.25">
      <c r="A248" s="17">
        <v>45550</v>
      </c>
      <c r="B248" s="10" t="s">
        <v>95</v>
      </c>
      <c r="C248" s="10">
        <v>180</v>
      </c>
      <c r="D248" s="19">
        <v>7.3999999999999996E-2</v>
      </c>
      <c r="E248" s="11">
        <v>0.05</v>
      </c>
      <c r="F248" s="10">
        <f t="shared" si="33"/>
        <v>926</v>
      </c>
      <c r="G248" s="10">
        <f t="shared" si="34"/>
        <v>0.18</v>
      </c>
      <c r="H248" s="12">
        <f t="shared" si="35"/>
        <v>0.19438444924406048</v>
      </c>
      <c r="I248" s="12">
        <v>0.02</v>
      </c>
      <c r="J248" s="12">
        <v>7.0000000000000007E-2</v>
      </c>
      <c r="K248" s="12">
        <f t="shared" si="36"/>
        <v>1.4219222462203024E-2</v>
      </c>
      <c r="L248" s="12">
        <f t="shared" si="37"/>
        <v>0.29860367170626351</v>
      </c>
      <c r="M248" s="12"/>
      <c r="N248" s="12"/>
      <c r="O248" s="12">
        <f t="shared" si="40"/>
        <v>149.30183585313176</v>
      </c>
      <c r="P248" s="12"/>
      <c r="Q248" s="12"/>
      <c r="R248" s="28">
        <v>16.666666666666668</v>
      </c>
    </row>
    <row r="249" spans="1:18" ht="16.5" hidden="1" customHeight="1" x14ac:dyDescent="0.25">
      <c r="A249" s="17">
        <v>45550</v>
      </c>
      <c r="B249" s="10" t="s">
        <v>95</v>
      </c>
      <c r="C249" s="10">
        <v>180</v>
      </c>
      <c r="D249" s="19">
        <v>7.0000000000000007E-2</v>
      </c>
      <c r="E249" s="11">
        <v>0.05</v>
      </c>
      <c r="F249" s="10">
        <f t="shared" si="33"/>
        <v>930</v>
      </c>
      <c r="G249" s="10">
        <f t="shared" si="34"/>
        <v>0.18</v>
      </c>
      <c r="H249" s="12">
        <f t="shared" si="35"/>
        <v>0.19354838709677419</v>
      </c>
      <c r="I249" s="12">
        <v>0.02</v>
      </c>
      <c r="J249" s="12">
        <v>7.0000000000000007E-2</v>
      </c>
      <c r="K249" s="12">
        <f t="shared" si="36"/>
        <v>1.4177419354838711E-2</v>
      </c>
      <c r="L249" s="12">
        <f t="shared" si="37"/>
        <v>0.29772580645161295</v>
      </c>
      <c r="M249" s="12"/>
      <c r="N249" s="12"/>
      <c r="O249" s="12">
        <f t="shared" si="40"/>
        <v>148.86290322580646</v>
      </c>
      <c r="P249" s="12"/>
      <c r="Q249" s="12"/>
      <c r="R249" s="28">
        <v>16.666666666666668</v>
      </c>
    </row>
    <row r="250" spans="1:18" ht="16.5" customHeight="1" x14ac:dyDescent="0.25">
      <c r="A250" s="17">
        <v>45551</v>
      </c>
      <c r="B250" s="10" t="s">
        <v>151</v>
      </c>
      <c r="C250" s="10">
        <v>800</v>
      </c>
      <c r="D250" s="19">
        <v>0.28000000000000003</v>
      </c>
      <c r="E250" s="11">
        <v>0.41499999999999998</v>
      </c>
      <c r="F250" s="10">
        <f t="shared" si="33"/>
        <v>720</v>
      </c>
      <c r="G250" s="10">
        <f t="shared" si="34"/>
        <v>0.8</v>
      </c>
      <c r="H250" s="12">
        <f t="shared" si="35"/>
        <v>1.1111111111111112</v>
      </c>
      <c r="I250" s="12">
        <v>0.02</v>
      </c>
      <c r="J250" s="12">
        <v>7.0000000000000007E-2</v>
      </c>
      <c r="K250" s="12">
        <f t="shared" si="36"/>
        <v>0.49846111111111113</v>
      </c>
      <c r="L250" s="12">
        <f t="shared" si="37"/>
        <v>1.6995722222222223</v>
      </c>
      <c r="M250" s="12">
        <f>L250*250</f>
        <v>424.89305555555558</v>
      </c>
      <c r="N250" s="12"/>
      <c r="O250" s="12">
        <f t="shared" si="40"/>
        <v>849.78611111111115</v>
      </c>
      <c r="P250" s="12"/>
      <c r="Q250" s="12"/>
      <c r="R250" s="36">
        <v>16.666666666666668</v>
      </c>
    </row>
    <row r="251" spans="1:18" ht="16.5" customHeight="1" x14ac:dyDescent="0.25">
      <c r="A251" s="17">
        <v>45552</v>
      </c>
      <c r="B251" s="10" t="s">
        <v>151</v>
      </c>
      <c r="C251" s="10">
        <v>800</v>
      </c>
      <c r="D251" s="19">
        <v>0.28100000000000003</v>
      </c>
      <c r="E251" s="11">
        <v>0.41499999999999998</v>
      </c>
      <c r="F251" s="10">
        <f t="shared" si="33"/>
        <v>719</v>
      </c>
      <c r="G251" s="10">
        <f t="shared" si="34"/>
        <v>0.8</v>
      </c>
      <c r="H251" s="12">
        <f t="shared" si="35"/>
        <v>1.1126564673157162</v>
      </c>
      <c r="I251" s="12">
        <v>0.02</v>
      </c>
      <c r="J251" s="12">
        <v>7.0000000000000007E-2</v>
      </c>
      <c r="K251" s="12">
        <f t="shared" si="36"/>
        <v>0.49910243393602222</v>
      </c>
      <c r="L251" s="12">
        <f t="shared" si="37"/>
        <v>1.7017589012517385</v>
      </c>
      <c r="M251" s="12">
        <f>L251*250</f>
        <v>425.43972531293463</v>
      </c>
      <c r="N251" s="12"/>
      <c r="O251" s="12">
        <f t="shared" si="40"/>
        <v>850.87945062586925</v>
      </c>
      <c r="P251" s="12"/>
      <c r="Q251" s="12"/>
      <c r="R251" s="36">
        <v>16.666666666666668</v>
      </c>
    </row>
    <row r="252" spans="1:18" hidden="1" x14ac:dyDescent="0.25">
      <c r="A252" s="17">
        <v>45552</v>
      </c>
      <c r="B252" s="2" t="s">
        <v>138</v>
      </c>
      <c r="C252" s="10">
        <v>350</v>
      </c>
      <c r="D252" s="19">
        <v>0.61</v>
      </c>
      <c r="E252" s="11">
        <v>0.4</v>
      </c>
      <c r="F252" s="10">
        <f t="shared" si="33"/>
        <v>390</v>
      </c>
      <c r="G252" s="10">
        <f t="shared" si="34"/>
        <v>0.35</v>
      </c>
      <c r="H252" s="12">
        <f t="shared" si="35"/>
        <v>0.89743589743589747</v>
      </c>
      <c r="I252" s="12">
        <v>0.02</v>
      </c>
      <c r="J252" s="12">
        <v>7.0000000000000007E-2</v>
      </c>
      <c r="K252" s="12">
        <f t="shared" si="36"/>
        <v>0.39497435897435901</v>
      </c>
      <c r="L252" s="12">
        <f t="shared" si="37"/>
        <v>1.3824102564102565</v>
      </c>
      <c r="M252" s="12">
        <f>L252*250</f>
        <v>345.60256410256414</v>
      </c>
      <c r="N252" s="12"/>
      <c r="O252" s="12"/>
      <c r="P252" s="12"/>
      <c r="Q252" s="12"/>
      <c r="R252" s="28">
        <v>16.666666666666668</v>
      </c>
    </row>
    <row r="253" spans="1:18" ht="16.5" hidden="1" customHeight="1" x14ac:dyDescent="0.25">
      <c r="A253" s="17">
        <v>45552</v>
      </c>
      <c r="B253" s="10" t="s">
        <v>152</v>
      </c>
      <c r="C253" s="10">
        <v>240</v>
      </c>
      <c r="D253" s="19">
        <v>0.13</v>
      </c>
      <c r="E253" s="11">
        <v>0.3</v>
      </c>
      <c r="F253" s="10">
        <f t="shared" si="33"/>
        <v>870</v>
      </c>
      <c r="G253" s="10">
        <f t="shared" si="34"/>
        <v>0.24</v>
      </c>
      <c r="H253" s="12">
        <f t="shared" si="35"/>
        <v>0.27586206896551724</v>
      </c>
      <c r="I253" s="12">
        <v>0.02</v>
      </c>
      <c r="J253" s="12">
        <v>7.0000000000000007E-2</v>
      </c>
      <c r="K253" s="12">
        <f t="shared" si="36"/>
        <v>0.10975862068965518</v>
      </c>
      <c r="L253" s="12">
        <f t="shared" si="37"/>
        <v>0.47562068965517246</v>
      </c>
      <c r="M253" s="12"/>
      <c r="N253" s="12"/>
      <c r="O253" s="12">
        <f>L253*500</f>
        <v>237.81034482758622</v>
      </c>
      <c r="P253" s="12"/>
      <c r="Q253" s="12"/>
      <c r="R253" s="28">
        <v>16.666666666666668</v>
      </c>
    </row>
    <row r="254" spans="1:18" ht="16.5" hidden="1" customHeight="1" x14ac:dyDescent="0.25">
      <c r="A254" s="17">
        <v>45552</v>
      </c>
      <c r="B254" s="10" t="s">
        <v>106</v>
      </c>
      <c r="C254" s="10">
        <v>240</v>
      </c>
      <c r="D254" s="19">
        <v>0.13</v>
      </c>
      <c r="E254" s="11">
        <v>0.3</v>
      </c>
      <c r="F254" s="10">
        <f t="shared" si="33"/>
        <v>870</v>
      </c>
      <c r="G254" s="10">
        <f t="shared" si="34"/>
        <v>0.24</v>
      </c>
      <c r="H254" s="12">
        <f t="shared" si="35"/>
        <v>0.27586206896551724</v>
      </c>
      <c r="I254" s="12">
        <v>0.02</v>
      </c>
      <c r="J254" s="12">
        <v>7.0000000000000007E-2</v>
      </c>
      <c r="K254" s="12">
        <f t="shared" si="36"/>
        <v>0.10975862068965518</v>
      </c>
      <c r="L254" s="12">
        <f t="shared" si="37"/>
        <v>0.47562068965517246</v>
      </c>
      <c r="M254" s="12"/>
      <c r="N254" s="12"/>
      <c r="O254" s="12">
        <f>L254*500</f>
        <v>237.81034482758622</v>
      </c>
      <c r="P254" s="12"/>
      <c r="Q254" s="12"/>
      <c r="R254" s="28">
        <v>16.666666666666668</v>
      </c>
    </row>
    <row r="255" spans="1:18" ht="16.5" hidden="1" customHeight="1" x14ac:dyDescent="0.25">
      <c r="A255" s="17">
        <v>45552</v>
      </c>
      <c r="B255" s="10" t="s">
        <v>111</v>
      </c>
      <c r="C255" s="10">
        <v>670</v>
      </c>
      <c r="D255" s="19">
        <v>0.38</v>
      </c>
      <c r="E255" s="11">
        <v>0.35</v>
      </c>
      <c r="F255" s="10">
        <f t="shared" si="33"/>
        <v>620</v>
      </c>
      <c r="G255" s="10">
        <f t="shared" si="34"/>
        <v>0.67</v>
      </c>
      <c r="H255" s="12">
        <f t="shared" si="35"/>
        <v>1.0806451612903225</v>
      </c>
      <c r="I255" s="12">
        <v>0.02</v>
      </c>
      <c r="J255" s="12">
        <v>7.0000000000000007E-2</v>
      </c>
      <c r="K255" s="12">
        <f t="shared" si="36"/>
        <v>0.40972580645161288</v>
      </c>
      <c r="L255" s="12">
        <f t="shared" si="37"/>
        <v>1.5803709677419355</v>
      </c>
      <c r="M255" s="12">
        <f>L255*250</f>
        <v>395.0927419354839</v>
      </c>
      <c r="N255" s="12"/>
      <c r="O255" s="12"/>
      <c r="P255" s="12"/>
      <c r="Q255" s="12"/>
      <c r="R255" s="28">
        <v>16.666666666666668</v>
      </c>
    </row>
    <row r="256" spans="1:18" ht="16.5" hidden="1" customHeight="1" x14ac:dyDescent="0.25">
      <c r="A256" s="17">
        <v>45552</v>
      </c>
      <c r="B256" s="2" t="s">
        <v>160</v>
      </c>
      <c r="C256" s="10">
        <v>670</v>
      </c>
      <c r="D256" s="19">
        <v>0.38</v>
      </c>
      <c r="E256" s="11">
        <v>0.35899999999999999</v>
      </c>
      <c r="F256" s="10">
        <f t="shared" si="33"/>
        <v>620</v>
      </c>
      <c r="G256" s="10">
        <f t="shared" si="34"/>
        <v>0.67</v>
      </c>
      <c r="H256" s="12">
        <f t="shared" si="35"/>
        <v>1.0806451612903225</v>
      </c>
      <c r="I256" s="12">
        <v>0.02</v>
      </c>
      <c r="J256" s="12">
        <v>7.0000000000000007E-2</v>
      </c>
      <c r="K256" s="12">
        <f t="shared" si="36"/>
        <v>0.42026161290322578</v>
      </c>
      <c r="L256" s="12">
        <f t="shared" si="37"/>
        <v>1.5909067741935483</v>
      </c>
      <c r="M256" s="12"/>
      <c r="N256" s="12"/>
      <c r="O256" s="12">
        <f>L256*500</f>
        <v>795.45338709677412</v>
      </c>
      <c r="P256" s="12"/>
      <c r="Q256" s="12"/>
      <c r="R256" s="28">
        <v>16.666666666666668</v>
      </c>
    </row>
    <row r="257" spans="1:18" ht="16.5" hidden="1" customHeight="1" x14ac:dyDescent="0.25">
      <c r="A257" s="17">
        <v>45552</v>
      </c>
      <c r="B257" s="10" t="s">
        <v>113</v>
      </c>
      <c r="C257" s="10">
        <v>670</v>
      </c>
      <c r="D257" s="19">
        <v>0.38</v>
      </c>
      <c r="E257" s="11">
        <v>0.625</v>
      </c>
      <c r="F257" s="10">
        <f t="shared" si="33"/>
        <v>620</v>
      </c>
      <c r="G257" s="10">
        <f t="shared" si="34"/>
        <v>0.67</v>
      </c>
      <c r="H257" s="12">
        <f t="shared" si="35"/>
        <v>1.0806451612903225</v>
      </c>
      <c r="I257" s="12">
        <v>0.02</v>
      </c>
      <c r="J257" s="12">
        <v>7.0000000000000007E-2</v>
      </c>
      <c r="K257" s="12">
        <f t="shared" si="36"/>
        <v>0.73165322580645165</v>
      </c>
      <c r="L257" s="12">
        <f t="shared" si="37"/>
        <v>1.9022983870967742</v>
      </c>
      <c r="M257" s="12">
        <f>L257*250</f>
        <v>475.57459677419354</v>
      </c>
      <c r="N257" s="12" t="s">
        <v>72</v>
      </c>
      <c r="O257" s="12"/>
      <c r="P257" s="12"/>
      <c r="Q257" s="12"/>
      <c r="R257" s="28">
        <f t="shared" ref="R257:R263" si="41">K257/L257%</f>
        <v>38.46153846153846</v>
      </c>
    </row>
    <row r="258" spans="1:18" ht="16.5" hidden="1" customHeight="1" x14ac:dyDescent="0.25">
      <c r="A258" s="17">
        <v>45552</v>
      </c>
      <c r="B258" s="10" t="s">
        <v>110</v>
      </c>
      <c r="C258" s="10">
        <v>100</v>
      </c>
      <c r="D258" s="19">
        <v>0</v>
      </c>
      <c r="E258" s="11">
        <v>0.53</v>
      </c>
      <c r="F258" s="10">
        <f t="shared" si="33"/>
        <v>1000</v>
      </c>
      <c r="G258" s="10">
        <f t="shared" si="34"/>
        <v>0.1</v>
      </c>
      <c r="H258" s="12">
        <f t="shared" si="35"/>
        <v>0.1</v>
      </c>
      <c r="I258" s="12">
        <v>0.02</v>
      </c>
      <c r="J258" s="12">
        <v>7.0000000000000007E-2</v>
      </c>
      <c r="K258" s="12">
        <f t="shared" si="36"/>
        <v>0.10070000000000001</v>
      </c>
      <c r="L258" s="12">
        <f t="shared" si="37"/>
        <v>0.29070000000000001</v>
      </c>
      <c r="M258" s="12"/>
      <c r="N258" s="12"/>
      <c r="O258" s="12">
        <f t="shared" ref="O258:O263" si="42">L258*500</f>
        <v>145.35</v>
      </c>
      <c r="P258" s="12"/>
      <c r="Q258" s="12"/>
      <c r="R258" s="28">
        <f t="shared" si="41"/>
        <v>34.640522875816991</v>
      </c>
    </row>
    <row r="259" spans="1:18" ht="16.5" hidden="1" customHeight="1" x14ac:dyDescent="0.25">
      <c r="A259" s="17">
        <v>45552</v>
      </c>
      <c r="B259" s="10" t="s">
        <v>128</v>
      </c>
      <c r="C259" s="10">
        <v>280</v>
      </c>
      <c r="D259" s="19"/>
      <c r="E259" s="11"/>
      <c r="F259" s="10">
        <f t="shared" si="33"/>
        <v>1000</v>
      </c>
      <c r="G259" s="10">
        <f t="shared" si="34"/>
        <v>0.28000000000000003</v>
      </c>
      <c r="H259" s="12">
        <f t="shared" si="35"/>
        <v>0.28000000000000003</v>
      </c>
      <c r="I259" s="12">
        <v>0.02</v>
      </c>
      <c r="J259" s="12">
        <v>7.0000000000000007E-2</v>
      </c>
      <c r="K259" s="12">
        <f t="shared" si="36"/>
        <v>0</v>
      </c>
      <c r="L259" s="12">
        <f t="shared" si="37"/>
        <v>0.37000000000000005</v>
      </c>
      <c r="M259" s="12"/>
      <c r="N259" s="12"/>
      <c r="O259" s="12">
        <f t="shared" si="42"/>
        <v>185.00000000000003</v>
      </c>
      <c r="P259" s="12"/>
      <c r="Q259" s="12"/>
      <c r="R259" s="28">
        <f t="shared" si="41"/>
        <v>0</v>
      </c>
    </row>
    <row r="260" spans="1:18" ht="16.5" hidden="1" customHeight="1" x14ac:dyDescent="0.25">
      <c r="A260" s="17">
        <v>45552</v>
      </c>
      <c r="B260" s="10" t="s">
        <v>90</v>
      </c>
      <c r="C260" s="10">
        <v>300</v>
      </c>
      <c r="D260" s="19">
        <v>0.17</v>
      </c>
      <c r="E260" s="11">
        <v>0.44</v>
      </c>
      <c r="F260" s="10">
        <f t="shared" si="33"/>
        <v>830</v>
      </c>
      <c r="G260" s="10">
        <f t="shared" si="34"/>
        <v>0.3</v>
      </c>
      <c r="H260" s="12">
        <f t="shared" si="35"/>
        <v>0.36144578313253012</v>
      </c>
      <c r="I260" s="12">
        <v>0.02</v>
      </c>
      <c r="J260" s="12">
        <v>7.0000000000000007E-2</v>
      </c>
      <c r="K260" s="12">
        <f t="shared" si="36"/>
        <v>0.19863614457831327</v>
      </c>
      <c r="L260" s="12">
        <f t="shared" si="37"/>
        <v>0.65008192771084339</v>
      </c>
      <c r="M260" s="12"/>
      <c r="N260" s="12"/>
      <c r="O260" s="12">
        <f t="shared" si="42"/>
        <v>325.04096385542169</v>
      </c>
      <c r="P260" s="12"/>
      <c r="Q260" s="12"/>
      <c r="R260" s="28">
        <f t="shared" si="41"/>
        <v>30.555555555555557</v>
      </c>
    </row>
    <row r="261" spans="1:18" ht="16.5" hidden="1" customHeight="1" x14ac:dyDescent="0.25">
      <c r="A261" s="17">
        <v>45552</v>
      </c>
      <c r="B261" s="10" t="s">
        <v>93</v>
      </c>
      <c r="C261" s="10">
        <v>500</v>
      </c>
      <c r="D261" s="19">
        <v>0</v>
      </c>
      <c r="E261" s="11">
        <v>0.27300000000000002</v>
      </c>
      <c r="F261" s="10">
        <f t="shared" si="33"/>
        <v>1000</v>
      </c>
      <c r="G261" s="10">
        <f t="shared" si="34"/>
        <v>0.5</v>
      </c>
      <c r="H261" s="12">
        <f t="shared" si="35"/>
        <v>0.5</v>
      </c>
      <c r="I261" s="12">
        <v>0.02</v>
      </c>
      <c r="J261" s="12">
        <v>7.0000000000000007E-2</v>
      </c>
      <c r="K261" s="12">
        <f t="shared" si="36"/>
        <v>0.16107000000000005</v>
      </c>
      <c r="L261" s="12">
        <f t="shared" si="37"/>
        <v>0.75107000000000013</v>
      </c>
      <c r="M261" s="12"/>
      <c r="N261" s="12"/>
      <c r="O261" s="12">
        <f t="shared" si="42"/>
        <v>375.53500000000008</v>
      </c>
      <c r="P261" s="12"/>
      <c r="Q261" s="12"/>
      <c r="R261" s="28">
        <f t="shared" si="41"/>
        <v>21.445404556166537</v>
      </c>
    </row>
    <row r="262" spans="1:18" ht="16.5" hidden="1" customHeight="1" x14ac:dyDescent="0.25">
      <c r="A262" s="17">
        <v>45552</v>
      </c>
      <c r="B262" s="10" t="s">
        <v>92</v>
      </c>
      <c r="C262" s="10">
        <v>390</v>
      </c>
      <c r="D262" s="19">
        <v>0.02</v>
      </c>
      <c r="E262" s="11">
        <v>0.33500000000000002</v>
      </c>
      <c r="F262" s="10">
        <f t="shared" si="33"/>
        <v>980</v>
      </c>
      <c r="G262" s="10">
        <f t="shared" si="34"/>
        <v>0.39</v>
      </c>
      <c r="H262" s="12">
        <f t="shared" si="35"/>
        <v>0.39795918367346939</v>
      </c>
      <c r="I262" s="12">
        <v>0.02</v>
      </c>
      <c r="J262" s="12">
        <v>7.0000000000000007E-2</v>
      </c>
      <c r="K262" s="12">
        <f t="shared" si="36"/>
        <v>0.16346632653061227</v>
      </c>
      <c r="L262" s="12">
        <f t="shared" si="37"/>
        <v>0.65142551020408168</v>
      </c>
      <c r="M262" s="12"/>
      <c r="N262" s="12"/>
      <c r="O262" s="12">
        <f t="shared" si="42"/>
        <v>325.71275510204083</v>
      </c>
      <c r="P262" s="12"/>
      <c r="Q262" s="12"/>
      <c r="R262" s="28">
        <f t="shared" si="41"/>
        <v>25.0936329588015</v>
      </c>
    </row>
    <row r="263" spans="1:18" ht="16.5" hidden="1" customHeight="1" x14ac:dyDescent="0.25">
      <c r="A263" s="17">
        <v>45552</v>
      </c>
      <c r="B263" s="10" t="s">
        <v>108</v>
      </c>
      <c r="C263" s="10"/>
      <c r="D263" s="19"/>
      <c r="E263" s="11"/>
      <c r="F263" s="10">
        <f t="shared" si="33"/>
        <v>1000</v>
      </c>
      <c r="G263" s="10">
        <f t="shared" si="34"/>
        <v>0</v>
      </c>
      <c r="H263" s="12">
        <f t="shared" si="35"/>
        <v>0</v>
      </c>
      <c r="I263" s="12">
        <v>0.02</v>
      </c>
      <c r="J263" s="12">
        <v>7.0000000000000007E-2</v>
      </c>
      <c r="K263" s="12">
        <f t="shared" si="36"/>
        <v>0</v>
      </c>
      <c r="L263" s="12">
        <f t="shared" si="37"/>
        <v>9.0000000000000011E-2</v>
      </c>
      <c r="M263" s="12"/>
      <c r="N263" s="12"/>
      <c r="O263" s="12">
        <f t="shared" si="42"/>
        <v>45.000000000000007</v>
      </c>
      <c r="P263" s="12"/>
      <c r="Q263" s="12"/>
      <c r="R263" s="28">
        <f t="shared" si="41"/>
        <v>0</v>
      </c>
    </row>
    <row r="264" spans="1:18" ht="16.5" hidden="1" customHeight="1" x14ac:dyDescent="0.25">
      <c r="A264" s="17">
        <v>45552</v>
      </c>
      <c r="B264" s="2" t="s">
        <v>138</v>
      </c>
      <c r="C264" s="10">
        <v>330</v>
      </c>
      <c r="D264" s="19">
        <v>0.56999999999999995</v>
      </c>
      <c r="E264" s="11">
        <v>0.61</v>
      </c>
      <c r="F264" s="10">
        <f t="shared" ref="F264:F327" si="43">1000-1000*D264</f>
        <v>430</v>
      </c>
      <c r="G264" s="10">
        <f t="shared" ref="G264:G327" si="44">C264/1000</f>
        <v>0.33</v>
      </c>
      <c r="H264" s="12">
        <f t="shared" ref="H264:H327" si="45">C264/F264</f>
        <v>0.76744186046511631</v>
      </c>
      <c r="I264" s="12">
        <v>0.02</v>
      </c>
      <c r="J264" s="12">
        <v>7.0000000000000007E-2</v>
      </c>
      <c r="K264" s="12">
        <f t="shared" ref="K264:K327" si="46">SUM(H264:J264)*E264</f>
        <v>0.52303953488372101</v>
      </c>
      <c r="L264" s="12">
        <f t="shared" ref="L264:L327" si="47">SUM(H264:K264)</f>
        <v>1.3804813953488373</v>
      </c>
      <c r="M264" s="12">
        <f>L264*250</f>
        <v>345.12034883720935</v>
      </c>
      <c r="N264" s="12"/>
      <c r="O264" s="12"/>
      <c r="P264" s="12"/>
      <c r="Q264" s="12"/>
      <c r="R264" s="28">
        <v>16.666666666666668</v>
      </c>
    </row>
    <row r="265" spans="1:18" ht="16.5" hidden="1" customHeight="1" x14ac:dyDescent="0.25">
      <c r="A265" s="17">
        <v>45553</v>
      </c>
      <c r="B265" s="10" t="s">
        <v>152</v>
      </c>
      <c r="C265" s="10">
        <v>240</v>
      </c>
      <c r="D265" s="19">
        <v>0.13</v>
      </c>
      <c r="E265" s="11">
        <v>0.3</v>
      </c>
      <c r="F265" s="10">
        <f t="shared" si="43"/>
        <v>870</v>
      </c>
      <c r="G265" s="10">
        <f t="shared" si="44"/>
        <v>0.24</v>
      </c>
      <c r="H265" s="12">
        <f t="shared" si="45"/>
        <v>0.27586206896551724</v>
      </c>
      <c r="I265" s="12">
        <v>0.02</v>
      </c>
      <c r="J265" s="12">
        <v>7.0000000000000007E-2</v>
      </c>
      <c r="K265" s="12">
        <f t="shared" si="46"/>
        <v>0.10975862068965518</v>
      </c>
      <c r="L265" s="12">
        <f t="shared" si="47"/>
        <v>0.47562068965517246</v>
      </c>
      <c r="M265" s="12"/>
      <c r="N265" s="12"/>
      <c r="O265" s="12">
        <f>L265*500</f>
        <v>237.81034482758622</v>
      </c>
      <c r="P265" s="12"/>
      <c r="Q265" s="12"/>
      <c r="R265" s="28">
        <v>16.666666666666668</v>
      </c>
    </row>
    <row r="266" spans="1:18" ht="16.5" hidden="1" customHeight="1" x14ac:dyDescent="0.25">
      <c r="A266" s="17">
        <v>45553</v>
      </c>
      <c r="B266" s="10" t="s">
        <v>106</v>
      </c>
      <c r="C266" s="10">
        <v>240</v>
      </c>
      <c r="D266" s="19">
        <v>0.13</v>
      </c>
      <c r="E266" s="11">
        <v>0.3</v>
      </c>
      <c r="F266" s="10">
        <f t="shared" si="43"/>
        <v>870</v>
      </c>
      <c r="G266" s="10">
        <f t="shared" si="44"/>
        <v>0.24</v>
      </c>
      <c r="H266" s="12">
        <f t="shared" si="45"/>
        <v>0.27586206896551724</v>
      </c>
      <c r="I266" s="12">
        <v>0.02</v>
      </c>
      <c r="J266" s="12">
        <v>7.0000000000000007E-2</v>
      </c>
      <c r="K266" s="12">
        <f t="shared" si="46"/>
        <v>0.10975862068965518</v>
      </c>
      <c r="L266" s="12">
        <f t="shared" si="47"/>
        <v>0.47562068965517246</v>
      </c>
      <c r="M266" s="12"/>
      <c r="N266" s="12"/>
      <c r="O266" s="12">
        <f>L266*500</f>
        <v>237.81034482758622</v>
      </c>
      <c r="P266" s="12"/>
      <c r="Q266" s="12"/>
      <c r="R266" s="28">
        <v>16.666666666666668</v>
      </c>
    </row>
    <row r="267" spans="1:18" ht="16.5" hidden="1" customHeight="1" x14ac:dyDescent="0.25">
      <c r="A267" s="17">
        <v>45553</v>
      </c>
      <c r="B267" s="10" t="s">
        <v>94</v>
      </c>
      <c r="C267" s="10">
        <v>180</v>
      </c>
      <c r="D267" s="19">
        <v>3.5000000000000003E-2</v>
      </c>
      <c r="E267" s="11">
        <v>8.3000000000000004E-2</v>
      </c>
      <c r="F267" s="10">
        <f t="shared" si="43"/>
        <v>965</v>
      </c>
      <c r="G267" s="10">
        <f t="shared" si="44"/>
        <v>0.18</v>
      </c>
      <c r="H267" s="12">
        <f t="shared" si="45"/>
        <v>0.18652849740932642</v>
      </c>
      <c r="I267" s="12">
        <v>0.02</v>
      </c>
      <c r="J267" s="12">
        <v>7.0000000000000007E-2</v>
      </c>
      <c r="K267" s="12">
        <f t="shared" si="46"/>
        <v>2.2951865284974091E-2</v>
      </c>
      <c r="L267" s="12">
        <f t="shared" si="47"/>
        <v>0.29948036269430051</v>
      </c>
      <c r="M267" s="12"/>
      <c r="N267" s="12"/>
      <c r="O267" s="12">
        <f>L267*500</f>
        <v>149.74018134715024</v>
      </c>
      <c r="P267" s="12"/>
      <c r="Q267" s="12"/>
      <c r="R267" s="28">
        <v>16.666666666666668</v>
      </c>
    </row>
    <row r="268" spans="1:18" ht="16.5" hidden="1" customHeight="1" x14ac:dyDescent="0.25">
      <c r="A268" s="17">
        <v>45553</v>
      </c>
      <c r="B268" s="10" t="s">
        <v>94</v>
      </c>
      <c r="C268" s="10">
        <v>180</v>
      </c>
      <c r="D268" s="19">
        <v>3.5000000000000003E-2</v>
      </c>
      <c r="E268" s="11">
        <v>8.3000000000000004E-2</v>
      </c>
      <c r="F268" s="10">
        <f t="shared" si="43"/>
        <v>965</v>
      </c>
      <c r="G268" s="10">
        <f t="shared" si="44"/>
        <v>0.18</v>
      </c>
      <c r="H268" s="12">
        <f t="shared" si="45"/>
        <v>0.18652849740932642</v>
      </c>
      <c r="I268" s="12">
        <v>0.02</v>
      </c>
      <c r="J268" s="12">
        <v>7.0000000000000007E-2</v>
      </c>
      <c r="K268" s="12">
        <f t="shared" si="46"/>
        <v>2.2951865284974091E-2</v>
      </c>
      <c r="L268" s="12">
        <f t="shared" si="47"/>
        <v>0.29948036269430051</v>
      </c>
      <c r="M268" s="12"/>
      <c r="N268" s="12"/>
      <c r="O268" s="12">
        <f>L268*500</f>
        <v>149.74018134715024</v>
      </c>
      <c r="P268" s="12"/>
      <c r="Q268" s="12"/>
      <c r="R268" s="28">
        <v>16.666666666666668</v>
      </c>
    </row>
    <row r="269" spans="1:18" ht="16.5" hidden="1" customHeight="1" x14ac:dyDescent="0.25">
      <c r="A269" s="17">
        <v>45554</v>
      </c>
      <c r="B269" s="2" t="s">
        <v>138</v>
      </c>
      <c r="C269" s="10">
        <v>350</v>
      </c>
      <c r="D269" s="19">
        <v>0.55000000000000004</v>
      </c>
      <c r="E269" s="11">
        <v>0.82199999999999995</v>
      </c>
      <c r="F269" s="10">
        <f t="shared" si="43"/>
        <v>450</v>
      </c>
      <c r="G269" s="10">
        <f t="shared" si="44"/>
        <v>0.35</v>
      </c>
      <c r="H269" s="12">
        <f t="shared" si="45"/>
        <v>0.77777777777777779</v>
      </c>
      <c r="I269" s="12">
        <v>0.02</v>
      </c>
      <c r="J269" s="12">
        <v>7.0000000000000007E-2</v>
      </c>
      <c r="K269" s="12">
        <f t="shared" si="46"/>
        <v>0.71331333333333324</v>
      </c>
      <c r="L269" s="12">
        <f t="shared" si="47"/>
        <v>1.581091111111111</v>
      </c>
      <c r="M269" s="12">
        <f>L269*250</f>
        <v>395.27277777777778</v>
      </c>
      <c r="N269" s="12"/>
      <c r="O269" s="12"/>
      <c r="P269" s="12"/>
      <c r="Q269" s="12"/>
      <c r="R269" s="28">
        <v>16.666666666666668</v>
      </c>
    </row>
    <row r="270" spans="1:18" ht="16.5" hidden="1" customHeight="1" x14ac:dyDescent="0.25">
      <c r="A270" s="17">
        <v>45554</v>
      </c>
      <c r="B270" s="10" t="s">
        <v>143</v>
      </c>
      <c r="C270" s="10">
        <v>350</v>
      </c>
      <c r="D270" s="19">
        <v>0.61</v>
      </c>
      <c r="E270" s="11">
        <v>0.77400000000000002</v>
      </c>
      <c r="F270" s="10">
        <f t="shared" si="43"/>
        <v>390</v>
      </c>
      <c r="G270" s="10">
        <f t="shared" si="44"/>
        <v>0.35</v>
      </c>
      <c r="H270" s="12">
        <f t="shared" si="45"/>
        <v>0.89743589743589747</v>
      </c>
      <c r="I270" s="12">
        <v>0.02</v>
      </c>
      <c r="J270" s="12">
        <v>7.0000000000000007E-2</v>
      </c>
      <c r="K270" s="12">
        <f t="shared" si="46"/>
        <v>0.76427538461538469</v>
      </c>
      <c r="L270" s="12">
        <f t="shared" si="47"/>
        <v>1.7517112820512821</v>
      </c>
      <c r="M270" s="12"/>
      <c r="N270" s="12"/>
      <c r="O270" s="12">
        <f t="shared" ref="O270:O275" si="48">L270*500</f>
        <v>875.85564102564103</v>
      </c>
      <c r="P270" s="12"/>
      <c r="Q270" s="12"/>
      <c r="R270" s="28">
        <v>16.666666666666668</v>
      </c>
    </row>
    <row r="271" spans="1:18" ht="16.5" hidden="1" customHeight="1" x14ac:dyDescent="0.25">
      <c r="A271" s="17">
        <v>45554</v>
      </c>
      <c r="B271" s="10" t="s">
        <v>106</v>
      </c>
      <c r="C271" s="10">
        <v>260</v>
      </c>
      <c r="D271" s="19">
        <v>0</v>
      </c>
      <c r="E271" s="11">
        <v>0.4</v>
      </c>
      <c r="F271" s="10">
        <f t="shared" si="43"/>
        <v>1000</v>
      </c>
      <c r="G271" s="10">
        <f t="shared" si="44"/>
        <v>0.26</v>
      </c>
      <c r="H271" s="12">
        <f t="shared" si="45"/>
        <v>0.26</v>
      </c>
      <c r="I271" s="12">
        <v>0.02</v>
      </c>
      <c r="J271" s="12">
        <v>7.0000000000000007E-2</v>
      </c>
      <c r="K271" s="12">
        <f t="shared" si="46"/>
        <v>0.14000000000000001</v>
      </c>
      <c r="L271" s="12">
        <f t="shared" si="47"/>
        <v>0.49000000000000005</v>
      </c>
      <c r="M271" s="12"/>
      <c r="N271" s="12"/>
      <c r="O271" s="12">
        <f t="shared" si="48"/>
        <v>245.00000000000003</v>
      </c>
      <c r="P271" s="12"/>
      <c r="Q271" s="12"/>
      <c r="R271" s="28">
        <v>16.666666666666668</v>
      </c>
    </row>
    <row r="272" spans="1:18" ht="16.5" hidden="1" customHeight="1" x14ac:dyDescent="0.25">
      <c r="A272" s="17">
        <v>45554</v>
      </c>
      <c r="B272" s="10" t="s">
        <v>153</v>
      </c>
      <c r="C272" s="10">
        <v>260</v>
      </c>
      <c r="D272" s="19">
        <v>0</v>
      </c>
      <c r="E272" s="11">
        <v>0.4</v>
      </c>
      <c r="F272" s="10">
        <f t="shared" si="43"/>
        <v>1000</v>
      </c>
      <c r="G272" s="10">
        <f t="shared" si="44"/>
        <v>0.26</v>
      </c>
      <c r="H272" s="12">
        <f t="shared" si="45"/>
        <v>0.26</v>
      </c>
      <c r="I272" s="12">
        <v>0.02</v>
      </c>
      <c r="J272" s="12">
        <v>7.0000000000000007E-2</v>
      </c>
      <c r="K272" s="12">
        <f t="shared" si="46"/>
        <v>0.14000000000000001</v>
      </c>
      <c r="L272" s="12">
        <f t="shared" si="47"/>
        <v>0.49000000000000005</v>
      </c>
      <c r="M272" s="12"/>
      <c r="N272" s="12"/>
      <c r="O272" s="12">
        <f t="shared" si="48"/>
        <v>245.00000000000003</v>
      </c>
      <c r="P272" s="12"/>
      <c r="Q272" s="12"/>
      <c r="R272" s="28">
        <v>16.666666666666668</v>
      </c>
    </row>
    <row r="273" spans="1:18" ht="16.5" hidden="1" customHeight="1" x14ac:dyDescent="0.25">
      <c r="A273" s="17">
        <v>45554</v>
      </c>
      <c r="B273" s="10" t="s">
        <v>92</v>
      </c>
      <c r="C273" s="10">
        <v>400</v>
      </c>
      <c r="D273" s="19">
        <v>0.02</v>
      </c>
      <c r="E273" s="11">
        <v>0.187</v>
      </c>
      <c r="F273" s="10">
        <f t="shared" si="43"/>
        <v>980</v>
      </c>
      <c r="G273" s="10">
        <f t="shared" si="44"/>
        <v>0.4</v>
      </c>
      <c r="H273" s="12">
        <f t="shared" si="45"/>
        <v>0.40816326530612246</v>
      </c>
      <c r="I273" s="12">
        <v>0.02</v>
      </c>
      <c r="J273" s="12">
        <v>7.0000000000000007E-2</v>
      </c>
      <c r="K273" s="12">
        <f t="shared" si="46"/>
        <v>9.3156530612244909E-2</v>
      </c>
      <c r="L273" s="12">
        <f t="shared" si="47"/>
        <v>0.59131979591836736</v>
      </c>
      <c r="M273" s="12"/>
      <c r="N273" s="12"/>
      <c r="O273" s="12">
        <f t="shared" si="48"/>
        <v>295.6598979591837</v>
      </c>
      <c r="P273" s="12"/>
      <c r="Q273" s="12"/>
      <c r="R273" s="28">
        <f>K273/L273%</f>
        <v>15.754001684919967</v>
      </c>
    </row>
    <row r="274" spans="1:18" ht="16.5" hidden="1" customHeight="1" x14ac:dyDescent="0.25">
      <c r="A274" s="17">
        <v>45554</v>
      </c>
      <c r="B274" s="10" t="s">
        <v>90</v>
      </c>
      <c r="C274" s="10">
        <v>310</v>
      </c>
      <c r="D274" s="19">
        <v>0.15</v>
      </c>
      <c r="E274" s="11">
        <v>0.43</v>
      </c>
      <c r="F274" s="10">
        <f t="shared" si="43"/>
        <v>850</v>
      </c>
      <c r="G274" s="10">
        <f t="shared" si="44"/>
        <v>0.31</v>
      </c>
      <c r="H274" s="12">
        <f t="shared" si="45"/>
        <v>0.36470588235294116</v>
      </c>
      <c r="I274" s="12">
        <v>0.02</v>
      </c>
      <c r="J274" s="12">
        <v>7.0000000000000007E-2</v>
      </c>
      <c r="K274" s="12">
        <f t="shared" si="46"/>
        <v>0.19552352941176471</v>
      </c>
      <c r="L274" s="12">
        <f t="shared" si="47"/>
        <v>0.65022941176470583</v>
      </c>
      <c r="M274" s="12"/>
      <c r="N274" s="12"/>
      <c r="O274" s="12">
        <f t="shared" si="48"/>
        <v>325.11470588235289</v>
      </c>
      <c r="P274" s="12"/>
      <c r="Q274" s="12"/>
      <c r="R274" s="28">
        <f>K274/L274%</f>
        <v>30.069930069930074</v>
      </c>
    </row>
    <row r="275" spans="1:18" ht="16.5" hidden="1" customHeight="1" x14ac:dyDescent="0.25">
      <c r="A275" s="17">
        <v>45554</v>
      </c>
      <c r="B275" s="10" t="s">
        <v>93</v>
      </c>
      <c r="C275" s="10">
        <v>550</v>
      </c>
      <c r="D275" s="19">
        <v>0</v>
      </c>
      <c r="E275" s="11">
        <v>0.17299999999999999</v>
      </c>
      <c r="F275" s="10">
        <f t="shared" si="43"/>
        <v>1000</v>
      </c>
      <c r="G275" s="10">
        <f t="shared" si="44"/>
        <v>0.55000000000000004</v>
      </c>
      <c r="H275" s="12">
        <f t="shared" si="45"/>
        <v>0.55000000000000004</v>
      </c>
      <c r="I275" s="12">
        <v>0.02</v>
      </c>
      <c r="J275" s="12">
        <v>7.0000000000000007E-2</v>
      </c>
      <c r="K275" s="12">
        <f t="shared" si="46"/>
        <v>0.11072000000000001</v>
      </c>
      <c r="L275" s="12">
        <f t="shared" si="47"/>
        <v>0.75072000000000016</v>
      </c>
      <c r="M275" s="12"/>
      <c r="N275" s="12"/>
      <c r="O275" s="12">
        <f t="shared" si="48"/>
        <v>375.36000000000007</v>
      </c>
      <c r="P275" s="12"/>
      <c r="Q275" s="12"/>
      <c r="R275" s="28"/>
    </row>
    <row r="276" spans="1:18" ht="16.5" hidden="1" customHeight="1" x14ac:dyDescent="0.25">
      <c r="A276" s="17">
        <v>45554</v>
      </c>
      <c r="B276" s="10" t="s">
        <v>111</v>
      </c>
      <c r="C276" s="10">
        <v>674</v>
      </c>
      <c r="D276" s="19">
        <v>0.44</v>
      </c>
      <c r="E276" s="11">
        <v>0.222</v>
      </c>
      <c r="F276" s="10">
        <f t="shared" si="43"/>
        <v>560</v>
      </c>
      <c r="G276" s="10">
        <f t="shared" si="44"/>
        <v>0.67400000000000004</v>
      </c>
      <c r="H276" s="12">
        <f t="shared" si="45"/>
        <v>1.2035714285714285</v>
      </c>
      <c r="I276" s="12">
        <v>0.02</v>
      </c>
      <c r="J276" s="12">
        <v>7.0000000000000007E-2</v>
      </c>
      <c r="K276" s="12">
        <f t="shared" si="46"/>
        <v>0.28717285714285717</v>
      </c>
      <c r="L276" s="12">
        <f t="shared" si="47"/>
        <v>1.5807442857142857</v>
      </c>
      <c r="M276" s="12">
        <f>L276*250</f>
        <v>395.18607142857144</v>
      </c>
      <c r="N276" s="12"/>
      <c r="O276" s="12"/>
      <c r="P276" s="12"/>
      <c r="Q276" s="12"/>
      <c r="R276" s="28">
        <v>16.666666666666668</v>
      </c>
    </row>
    <row r="277" spans="1:18" ht="16.5" hidden="1" customHeight="1" x14ac:dyDescent="0.25">
      <c r="A277" s="17">
        <v>45554</v>
      </c>
      <c r="B277" s="2" t="s">
        <v>160</v>
      </c>
      <c r="C277" s="10">
        <v>674</v>
      </c>
      <c r="D277" s="19">
        <v>0.44</v>
      </c>
      <c r="E277" s="11">
        <v>0.23</v>
      </c>
      <c r="F277" s="10">
        <f t="shared" si="43"/>
        <v>560</v>
      </c>
      <c r="G277" s="10">
        <f t="shared" si="44"/>
        <v>0.67400000000000004</v>
      </c>
      <c r="H277" s="12">
        <f t="shared" si="45"/>
        <v>1.2035714285714285</v>
      </c>
      <c r="I277" s="12">
        <v>0.02</v>
      </c>
      <c r="J277" s="12">
        <v>7.0000000000000007E-2</v>
      </c>
      <c r="K277" s="12">
        <f t="shared" si="46"/>
        <v>0.2975214285714286</v>
      </c>
      <c r="L277" s="12">
        <f t="shared" si="47"/>
        <v>1.5910928571428573</v>
      </c>
      <c r="M277" s="12"/>
      <c r="N277" s="12"/>
      <c r="O277" s="12">
        <f>L277*500</f>
        <v>795.54642857142869</v>
      </c>
      <c r="P277" s="12"/>
      <c r="Q277" s="12"/>
      <c r="R277" s="28">
        <v>16.666666666666668</v>
      </c>
    </row>
    <row r="278" spans="1:18" ht="16.5" hidden="1" customHeight="1" x14ac:dyDescent="0.25">
      <c r="A278" s="17">
        <v>45554</v>
      </c>
      <c r="B278" s="10" t="s">
        <v>113</v>
      </c>
      <c r="C278" s="10">
        <v>674</v>
      </c>
      <c r="D278" s="19">
        <v>0.44</v>
      </c>
      <c r="E278" s="11">
        <v>0.53</v>
      </c>
      <c r="F278" s="10">
        <f t="shared" si="43"/>
        <v>560</v>
      </c>
      <c r="G278" s="10">
        <f t="shared" si="44"/>
        <v>0.67400000000000004</v>
      </c>
      <c r="H278" s="12">
        <f t="shared" si="45"/>
        <v>1.2035714285714285</v>
      </c>
      <c r="I278" s="12">
        <v>0.02</v>
      </c>
      <c r="J278" s="12">
        <v>7.0000000000000007E-2</v>
      </c>
      <c r="K278" s="12">
        <f t="shared" si="46"/>
        <v>0.68559285714285723</v>
      </c>
      <c r="L278" s="12">
        <f t="shared" si="47"/>
        <v>1.9791642857142859</v>
      </c>
      <c r="M278" s="12">
        <f>L278*250</f>
        <v>494.79107142857146</v>
      </c>
      <c r="N278" s="12" t="s">
        <v>72</v>
      </c>
      <c r="O278" s="12"/>
      <c r="P278" s="12"/>
      <c r="Q278" s="12"/>
      <c r="R278" s="28">
        <f>K278/L278%</f>
        <v>34.640522875816998</v>
      </c>
    </row>
    <row r="279" spans="1:18" ht="16.5" hidden="1" customHeight="1" x14ac:dyDescent="0.25">
      <c r="A279" s="17">
        <v>45554</v>
      </c>
      <c r="B279" s="10" t="s">
        <v>154</v>
      </c>
      <c r="C279" s="10">
        <v>180</v>
      </c>
      <c r="D279" s="19">
        <v>0.14000000000000001</v>
      </c>
      <c r="E279" s="11">
        <v>0</v>
      </c>
      <c r="F279" s="10">
        <f t="shared" si="43"/>
        <v>860</v>
      </c>
      <c r="G279" s="10">
        <f t="shared" si="44"/>
        <v>0.18</v>
      </c>
      <c r="H279" s="12">
        <f t="shared" si="45"/>
        <v>0.20930232558139536</v>
      </c>
      <c r="I279" s="12">
        <v>0.02</v>
      </c>
      <c r="J279" s="12">
        <v>7.0000000000000007E-2</v>
      </c>
      <c r="K279" s="12">
        <f t="shared" si="46"/>
        <v>0</v>
      </c>
      <c r="L279" s="12">
        <f t="shared" si="47"/>
        <v>0.29930232558139536</v>
      </c>
      <c r="M279" s="12"/>
      <c r="N279" s="12"/>
      <c r="O279" s="12">
        <f>L279*500</f>
        <v>149.65116279069767</v>
      </c>
      <c r="P279" s="12"/>
      <c r="Q279" s="12"/>
      <c r="R279" s="28">
        <v>16.666666666666668</v>
      </c>
    </row>
    <row r="280" spans="1:18" ht="16.5" hidden="1" customHeight="1" x14ac:dyDescent="0.25">
      <c r="A280" s="17">
        <v>45554</v>
      </c>
      <c r="B280" s="10" t="s">
        <v>94</v>
      </c>
      <c r="C280" s="10">
        <v>180</v>
      </c>
      <c r="D280" s="19">
        <v>0.14000000000000001</v>
      </c>
      <c r="E280" s="11">
        <v>0</v>
      </c>
      <c r="F280" s="10">
        <f t="shared" si="43"/>
        <v>860</v>
      </c>
      <c r="G280" s="10">
        <f t="shared" si="44"/>
        <v>0.18</v>
      </c>
      <c r="H280" s="12">
        <f t="shared" si="45"/>
        <v>0.20930232558139536</v>
      </c>
      <c r="I280" s="12">
        <v>0.02</v>
      </c>
      <c r="J280" s="12">
        <v>7.0000000000000007E-2</v>
      </c>
      <c r="K280" s="12">
        <f t="shared" si="46"/>
        <v>0</v>
      </c>
      <c r="L280" s="12">
        <f t="shared" si="47"/>
        <v>0.29930232558139536</v>
      </c>
      <c r="M280" s="12"/>
      <c r="N280" s="12"/>
      <c r="O280" s="12">
        <f>L280*500</f>
        <v>149.65116279069767</v>
      </c>
      <c r="P280" s="12"/>
      <c r="Q280" s="12"/>
      <c r="R280" s="28">
        <v>16.666666666666668</v>
      </c>
    </row>
    <row r="281" spans="1:18" ht="16.5" hidden="1" customHeight="1" x14ac:dyDescent="0.25">
      <c r="A281" s="17">
        <v>45555</v>
      </c>
      <c r="B281" s="10" t="s">
        <v>148</v>
      </c>
      <c r="C281" s="10">
        <v>210</v>
      </c>
      <c r="D281" s="19">
        <v>0.73</v>
      </c>
      <c r="E281" s="11">
        <v>0.36</v>
      </c>
      <c r="F281" s="10">
        <f t="shared" si="43"/>
        <v>270</v>
      </c>
      <c r="G281" s="10">
        <f t="shared" si="44"/>
        <v>0.21</v>
      </c>
      <c r="H281" s="12">
        <f t="shared" si="45"/>
        <v>0.77777777777777779</v>
      </c>
      <c r="I281" s="12">
        <v>0.02</v>
      </c>
      <c r="J281" s="12">
        <v>7.0000000000000007E-2</v>
      </c>
      <c r="K281" s="12">
        <f t="shared" si="46"/>
        <v>0.31239999999999996</v>
      </c>
      <c r="L281" s="12">
        <f t="shared" si="47"/>
        <v>1.1801777777777778</v>
      </c>
      <c r="M281" s="12">
        <f>L281*250</f>
        <v>295.04444444444442</v>
      </c>
      <c r="N281" s="12"/>
      <c r="O281" s="12"/>
      <c r="P281" s="12"/>
      <c r="Q281" s="12"/>
      <c r="R281" s="28">
        <v>16.666666666666668</v>
      </c>
    </row>
    <row r="282" spans="1:18" ht="16.5" hidden="1" customHeight="1" x14ac:dyDescent="0.25">
      <c r="A282" s="17">
        <v>45555</v>
      </c>
      <c r="B282" s="10" t="s">
        <v>111</v>
      </c>
      <c r="C282" s="10">
        <v>830</v>
      </c>
      <c r="D282" s="19">
        <v>0.44</v>
      </c>
      <c r="E282" s="11">
        <v>0</v>
      </c>
      <c r="F282" s="10">
        <f t="shared" si="43"/>
        <v>560</v>
      </c>
      <c r="G282" s="10">
        <f t="shared" si="44"/>
        <v>0.83</v>
      </c>
      <c r="H282" s="12">
        <f t="shared" si="45"/>
        <v>1.4821428571428572</v>
      </c>
      <c r="I282" s="12">
        <v>0.02</v>
      </c>
      <c r="J282" s="12">
        <v>7.0000000000000007E-2</v>
      </c>
      <c r="K282" s="12">
        <f t="shared" si="46"/>
        <v>0</v>
      </c>
      <c r="L282" s="12">
        <f t="shared" si="47"/>
        <v>1.5721428571428573</v>
      </c>
      <c r="M282" s="12">
        <f>L282*250</f>
        <v>393.03571428571433</v>
      </c>
      <c r="N282" s="12"/>
      <c r="O282" s="12"/>
      <c r="P282" s="12"/>
      <c r="Q282" s="12"/>
      <c r="R282" s="28">
        <v>16.666666666666668</v>
      </c>
    </row>
    <row r="283" spans="1:18" ht="16.5" hidden="1" customHeight="1" x14ac:dyDescent="0.25">
      <c r="A283" s="17">
        <v>45555</v>
      </c>
      <c r="B283" s="2" t="s">
        <v>160</v>
      </c>
      <c r="C283" s="10">
        <v>830</v>
      </c>
      <c r="D283" s="19">
        <v>0.44</v>
      </c>
      <c r="E283" s="11">
        <v>0</v>
      </c>
      <c r="F283" s="10">
        <f t="shared" si="43"/>
        <v>560</v>
      </c>
      <c r="G283" s="10">
        <f t="shared" si="44"/>
        <v>0.83</v>
      </c>
      <c r="H283" s="12">
        <f t="shared" si="45"/>
        <v>1.4821428571428572</v>
      </c>
      <c r="I283" s="12">
        <v>0.02</v>
      </c>
      <c r="J283" s="12">
        <v>7.0000000000000007E-2</v>
      </c>
      <c r="K283" s="12">
        <f t="shared" si="46"/>
        <v>0</v>
      </c>
      <c r="L283" s="12">
        <f t="shared" si="47"/>
        <v>1.5721428571428573</v>
      </c>
      <c r="M283" s="12"/>
      <c r="N283" s="12"/>
      <c r="O283" s="12">
        <f>L283*500</f>
        <v>786.07142857142867</v>
      </c>
      <c r="P283" s="12"/>
      <c r="Q283" s="12">
        <f>L283*1000</f>
        <v>1572.1428571428573</v>
      </c>
      <c r="R283" s="28">
        <v>16.666666666666668</v>
      </c>
    </row>
    <row r="284" spans="1:18" ht="16.5" hidden="1" customHeight="1" x14ac:dyDescent="0.25">
      <c r="A284" s="17">
        <v>45555</v>
      </c>
      <c r="B284" s="10" t="s">
        <v>154</v>
      </c>
      <c r="C284" s="10">
        <v>200</v>
      </c>
      <c r="D284" s="19">
        <v>0.12</v>
      </c>
      <c r="E284" s="11">
        <v>-0.08</v>
      </c>
      <c r="F284" s="10">
        <f t="shared" si="43"/>
        <v>880</v>
      </c>
      <c r="G284" s="10">
        <f t="shared" si="44"/>
        <v>0.2</v>
      </c>
      <c r="H284" s="12">
        <f t="shared" si="45"/>
        <v>0.22727272727272727</v>
      </c>
      <c r="I284" s="12">
        <v>0.02</v>
      </c>
      <c r="J284" s="12">
        <v>7.0000000000000007E-2</v>
      </c>
      <c r="K284" s="12">
        <f t="shared" si="46"/>
        <v>-2.5381818181818182E-2</v>
      </c>
      <c r="L284" s="12">
        <f t="shared" si="47"/>
        <v>0.29189090909090909</v>
      </c>
      <c r="M284" s="12"/>
      <c r="N284" s="12"/>
      <c r="O284" s="12">
        <f>L284*500</f>
        <v>145.94545454545454</v>
      </c>
      <c r="P284" s="12"/>
      <c r="Q284" s="12"/>
      <c r="R284" s="28">
        <v>16.666666666666668</v>
      </c>
    </row>
    <row r="285" spans="1:18" ht="16.5" hidden="1" customHeight="1" x14ac:dyDescent="0.25">
      <c r="A285" s="17">
        <v>45555</v>
      </c>
      <c r="B285" s="10" t="s">
        <v>94</v>
      </c>
      <c r="C285" s="10">
        <v>180</v>
      </c>
      <c r="D285" s="19">
        <v>0.12</v>
      </c>
      <c r="E285" s="11">
        <v>-0.08</v>
      </c>
      <c r="F285" s="10">
        <f t="shared" si="43"/>
        <v>880</v>
      </c>
      <c r="G285" s="10">
        <f t="shared" si="44"/>
        <v>0.18</v>
      </c>
      <c r="H285" s="12">
        <f t="shared" si="45"/>
        <v>0.20454545454545456</v>
      </c>
      <c r="I285" s="12">
        <v>0.02</v>
      </c>
      <c r="J285" s="12">
        <v>7.0000000000000007E-2</v>
      </c>
      <c r="K285" s="12">
        <f t="shared" si="46"/>
        <v>-2.3563636363636366E-2</v>
      </c>
      <c r="L285" s="12">
        <f t="shared" si="47"/>
        <v>0.27098181818181821</v>
      </c>
      <c r="M285" s="12"/>
      <c r="N285" s="12"/>
      <c r="O285" s="12">
        <f>L285*500</f>
        <v>135.4909090909091</v>
      </c>
      <c r="P285" s="12"/>
      <c r="Q285" s="12"/>
      <c r="R285" s="28">
        <v>16.666666666666668</v>
      </c>
    </row>
    <row r="286" spans="1:18" ht="16.5" hidden="1" customHeight="1" x14ac:dyDescent="0.25">
      <c r="A286" s="17">
        <v>45556</v>
      </c>
      <c r="B286" s="10" t="s">
        <v>154</v>
      </c>
      <c r="C286" s="10">
        <v>180</v>
      </c>
      <c r="D286" s="19">
        <v>0.11</v>
      </c>
      <c r="E286" s="11">
        <v>0.02</v>
      </c>
      <c r="F286" s="10">
        <f t="shared" si="43"/>
        <v>890</v>
      </c>
      <c r="G286" s="10">
        <f t="shared" si="44"/>
        <v>0.18</v>
      </c>
      <c r="H286" s="12">
        <f t="shared" si="45"/>
        <v>0.20224719101123595</v>
      </c>
      <c r="I286" s="12">
        <v>0.02</v>
      </c>
      <c r="J286" s="12">
        <v>7.0000000000000007E-2</v>
      </c>
      <c r="K286" s="12">
        <f t="shared" si="46"/>
        <v>5.8449438202247198E-3</v>
      </c>
      <c r="L286" s="12">
        <f t="shared" si="47"/>
        <v>0.29809213483146069</v>
      </c>
      <c r="M286" s="12"/>
      <c r="N286" s="12"/>
      <c r="O286" s="12">
        <f>L286*500</f>
        <v>149.04606741573033</v>
      </c>
      <c r="P286" s="12"/>
      <c r="Q286" s="12"/>
      <c r="R286" s="28">
        <v>16.666666666666668</v>
      </c>
    </row>
    <row r="287" spans="1:18" ht="16.5" hidden="1" customHeight="1" x14ac:dyDescent="0.25">
      <c r="A287" s="17">
        <v>45556</v>
      </c>
      <c r="B287" s="10" t="s">
        <v>94</v>
      </c>
      <c r="C287" s="10">
        <v>180</v>
      </c>
      <c r="D287" s="19">
        <v>0.11</v>
      </c>
      <c r="E287" s="11">
        <v>0.02</v>
      </c>
      <c r="F287" s="10">
        <f t="shared" si="43"/>
        <v>890</v>
      </c>
      <c r="G287" s="10">
        <f t="shared" si="44"/>
        <v>0.18</v>
      </c>
      <c r="H287" s="12">
        <f t="shared" si="45"/>
        <v>0.20224719101123595</v>
      </c>
      <c r="I287" s="12">
        <v>0.02</v>
      </c>
      <c r="J287" s="12">
        <v>7.0000000000000007E-2</v>
      </c>
      <c r="K287" s="12">
        <f t="shared" si="46"/>
        <v>5.8449438202247198E-3</v>
      </c>
      <c r="L287" s="12">
        <f t="shared" si="47"/>
        <v>0.29809213483146069</v>
      </c>
      <c r="M287" s="12"/>
      <c r="N287" s="12"/>
      <c r="O287" s="12">
        <f>L287*500</f>
        <v>149.04606741573033</v>
      </c>
      <c r="P287" s="12"/>
      <c r="Q287" s="12"/>
      <c r="R287" s="28">
        <v>16.666666666666668</v>
      </c>
    </row>
    <row r="288" spans="1:18" ht="16.5" hidden="1" customHeight="1" x14ac:dyDescent="0.25">
      <c r="A288" s="17">
        <v>45556</v>
      </c>
      <c r="B288" s="10" t="s">
        <v>155</v>
      </c>
      <c r="C288" s="10">
        <v>531</v>
      </c>
      <c r="D288" s="19">
        <v>0.12</v>
      </c>
      <c r="E288" s="11">
        <v>0.3</v>
      </c>
      <c r="F288" s="10">
        <f t="shared" si="43"/>
        <v>880</v>
      </c>
      <c r="G288" s="10">
        <f t="shared" si="44"/>
        <v>0.53100000000000003</v>
      </c>
      <c r="H288" s="12">
        <f t="shared" si="45"/>
        <v>0.60340909090909089</v>
      </c>
      <c r="I288" s="12">
        <v>0.02</v>
      </c>
      <c r="J288" s="12">
        <v>7.0000000000000007E-2</v>
      </c>
      <c r="K288" s="12">
        <f t="shared" si="46"/>
        <v>0.20802272727272725</v>
      </c>
      <c r="L288" s="12">
        <f t="shared" si="47"/>
        <v>0.90143181818181817</v>
      </c>
      <c r="M288" s="12">
        <f>L288*250</f>
        <v>225.35795454545453</v>
      </c>
      <c r="N288" s="12"/>
      <c r="O288" s="12"/>
      <c r="P288" s="12"/>
      <c r="Q288" s="12"/>
      <c r="R288" s="28">
        <v>16.666666666666668</v>
      </c>
    </row>
    <row r="289" spans="1:18" ht="16.5" hidden="1" customHeight="1" x14ac:dyDescent="0.25">
      <c r="A289" s="17">
        <v>45556</v>
      </c>
      <c r="B289" s="10" t="s">
        <v>156</v>
      </c>
      <c r="C289" s="10">
        <v>531</v>
      </c>
      <c r="D289" s="19">
        <v>0.12</v>
      </c>
      <c r="E289" s="11">
        <v>0.14000000000000001</v>
      </c>
      <c r="F289" s="10">
        <f t="shared" si="43"/>
        <v>880</v>
      </c>
      <c r="G289" s="10">
        <f t="shared" si="44"/>
        <v>0.53100000000000003</v>
      </c>
      <c r="H289" s="12">
        <f t="shared" si="45"/>
        <v>0.60340909090909089</v>
      </c>
      <c r="I289" s="12">
        <v>0.02</v>
      </c>
      <c r="J289" s="12">
        <v>7.0000000000000007E-2</v>
      </c>
      <c r="K289" s="12">
        <f t="shared" si="46"/>
        <v>9.7077272727272734E-2</v>
      </c>
      <c r="L289" s="12">
        <f t="shared" si="47"/>
        <v>0.7904863636363636</v>
      </c>
      <c r="M289" s="12"/>
      <c r="N289" s="12"/>
      <c r="O289" s="12">
        <f>L289*500</f>
        <v>395.24318181818182</v>
      </c>
      <c r="P289" s="12"/>
      <c r="Q289" s="12"/>
      <c r="R289" s="28"/>
    </row>
    <row r="290" spans="1:18" ht="16.5" hidden="1" customHeight="1" x14ac:dyDescent="0.25">
      <c r="A290" s="17">
        <v>45556</v>
      </c>
      <c r="B290" s="10" t="s">
        <v>105</v>
      </c>
      <c r="C290" s="10">
        <v>120</v>
      </c>
      <c r="D290" s="19">
        <v>0.71</v>
      </c>
      <c r="E290" s="11">
        <v>0.19</v>
      </c>
      <c r="F290" s="10">
        <f t="shared" si="43"/>
        <v>290</v>
      </c>
      <c r="G290" s="10">
        <f t="shared" si="44"/>
        <v>0.12</v>
      </c>
      <c r="H290" s="12">
        <f t="shared" si="45"/>
        <v>0.41379310344827586</v>
      </c>
      <c r="I290" s="12">
        <v>0.02</v>
      </c>
      <c r="J290" s="12">
        <v>7.0000000000000007E-2</v>
      </c>
      <c r="K290" s="12">
        <f t="shared" si="46"/>
        <v>9.5720689655172414E-2</v>
      </c>
      <c r="L290" s="12">
        <f t="shared" si="47"/>
        <v>0.59951379310344832</v>
      </c>
      <c r="M290" s="12">
        <f>L290*250</f>
        <v>149.87844827586207</v>
      </c>
      <c r="N290" s="12"/>
      <c r="O290" s="12"/>
      <c r="P290" s="12"/>
      <c r="Q290" s="12">
        <f>L290*1000</f>
        <v>599.51379310344828</v>
      </c>
      <c r="R290" s="28">
        <v>16.666666666666668</v>
      </c>
    </row>
    <row r="291" spans="1:18" ht="16.5" hidden="1" customHeight="1" x14ac:dyDescent="0.25">
      <c r="A291" s="17">
        <v>45556</v>
      </c>
      <c r="B291" s="10" t="s">
        <v>166</v>
      </c>
      <c r="C291" s="10">
        <v>120</v>
      </c>
      <c r="D291" s="19">
        <v>0.71</v>
      </c>
      <c r="E291" s="11">
        <v>0.19</v>
      </c>
      <c r="F291" s="10">
        <f t="shared" si="43"/>
        <v>290</v>
      </c>
      <c r="G291" s="10">
        <f t="shared" si="44"/>
        <v>0.12</v>
      </c>
      <c r="H291" s="12">
        <f t="shared" si="45"/>
        <v>0.41379310344827586</v>
      </c>
      <c r="I291" s="12">
        <v>0.02</v>
      </c>
      <c r="J291" s="12">
        <v>7.0000000000000007E-2</v>
      </c>
      <c r="K291" s="12">
        <f t="shared" si="46"/>
        <v>9.5720689655172414E-2</v>
      </c>
      <c r="L291" s="12">
        <f t="shared" si="47"/>
        <v>0.59951379310344832</v>
      </c>
      <c r="M291" s="12">
        <f>L291*250</f>
        <v>149.87844827586207</v>
      </c>
      <c r="N291" s="12"/>
      <c r="O291" s="12"/>
      <c r="P291" s="12"/>
      <c r="Q291" s="12"/>
      <c r="R291" s="28"/>
    </row>
    <row r="292" spans="1:18" ht="16.5" hidden="1" customHeight="1" x14ac:dyDescent="0.25">
      <c r="A292" s="17">
        <v>45556</v>
      </c>
      <c r="B292" s="10" t="s">
        <v>120</v>
      </c>
      <c r="C292" s="10">
        <v>240</v>
      </c>
      <c r="D292" s="19">
        <v>0.6</v>
      </c>
      <c r="E292" s="11">
        <v>0.42</v>
      </c>
      <c r="F292" s="10">
        <f t="shared" si="43"/>
        <v>400</v>
      </c>
      <c r="G292" s="10">
        <f t="shared" si="44"/>
        <v>0.24</v>
      </c>
      <c r="H292" s="12">
        <f t="shared" si="45"/>
        <v>0.6</v>
      </c>
      <c r="I292" s="12">
        <v>0.02</v>
      </c>
      <c r="J292" s="12">
        <v>7.0000000000000007E-2</v>
      </c>
      <c r="K292" s="12">
        <f t="shared" si="46"/>
        <v>0.28979999999999995</v>
      </c>
      <c r="L292" s="12">
        <f t="shared" si="47"/>
        <v>0.97979999999999989</v>
      </c>
      <c r="M292" s="12">
        <f>L292*250</f>
        <v>244.94999999999996</v>
      </c>
      <c r="N292" s="12"/>
      <c r="O292" s="12"/>
      <c r="P292" s="12"/>
      <c r="Q292" s="12"/>
      <c r="R292" s="28">
        <v>16.666666666666668</v>
      </c>
    </row>
    <row r="293" spans="1:18" ht="16.5" hidden="1" customHeight="1" x14ac:dyDescent="0.25">
      <c r="A293" s="17">
        <v>45556</v>
      </c>
      <c r="B293" s="10" t="s">
        <v>110</v>
      </c>
      <c r="C293" s="10">
        <v>90</v>
      </c>
      <c r="D293" s="19">
        <v>0.38</v>
      </c>
      <c r="E293" s="11">
        <v>0.6</v>
      </c>
      <c r="F293" s="10">
        <f t="shared" si="43"/>
        <v>620</v>
      </c>
      <c r="G293" s="10">
        <f t="shared" si="44"/>
        <v>0.09</v>
      </c>
      <c r="H293" s="12">
        <f t="shared" si="45"/>
        <v>0.14516129032258066</v>
      </c>
      <c r="I293" s="12">
        <v>0.02</v>
      </c>
      <c r="J293" s="12">
        <v>7.0000000000000007E-2</v>
      </c>
      <c r="K293" s="12">
        <f t="shared" si="46"/>
        <v>0.14109677419354838</v>
      </c>
      <c r="L293" s="12">
        <f t="shared" si="47"/>
        <v>0.37625806451612903</v>
      </c>
      <c r="M293" s="12">
        <f>L293*250</f>
        <v>94.064516129032256</v>
      </c>
      <c r="N293" s="12"/>
      <c r="O293" s="12">
        <f>L293*500</f>
        <v>188.12903225806451</v>
      </c>
      <c r="P293" s="12"/>
      <c r="Q293" s="12"/>
      <c r="R293" s="28">
        <v>16.666666666666668</v>
      </c>
    </row>
    <row r="294" spans="1:18" ht="16.5" hidden="1" customHeight="1" x14ac:dyDescent="0.25">
      <c r="A294" s="17">
        <v>45556</v>
      </c>
      <c r="B294" s="10" t="s">
        <v>118</v>
      </c>
      <c r="C294" s="10">
        <v>230</v>
      </c>
      <c r="D294" s="19">
        <v>0.37</v>
      </c>
      <c r="E294" s="11">
        <v>0.53900000000000003</v>
      </c>
      <c r="F294" s="10">
        <f t="shared" si="43"/>
        <v>630</v>
      </c>
      <c r="G294" s="10">
        <f t="shared" si="44"/>
        <v>0.23</v>
      </c>
      <c r="H294" s="12">
        <f t="shared" si="45"/>
        <v>0.36507936507936506</v>
      </c>
      <c r="I294" s="12">
        <v>0.02</v>
      </c>
      <c r="J294" s="12">
        <v>7.0000000000000007E-2</v>
      </c>
      <c r="K294" s="12">
        <f t="shared" si="46"/>
        <v>0.2452877777777778</v>
      </c>
      <c r="L294" s="12">
        <f t="shared" si="47"/>
        <v>0.70036714285714285</v>
      </c>
      <c r="M294" s="12">
        <f>L294*250</f>
        <v>175.09178571428572</v>
      </c>
      <c r="N294" s="12"/>
      <c r="O294" s="12"/>
      <c r="P294" s="12"/>
      <c r="Q294" s="12"/>
      <c r="R294" s="28">
        <v>16.666666666666668</v>
      </c>
    </row>
    <row r="295" spans="1:18" ht="16.5" hidden="1" customHeight="1" x14ac:dyDescent="0.25">
      <c r="A295" s="17">
        <v>45556</v>
      </c>
      <c r="B295" s="10" t="s">
        <v>90</v>
      </c>
      <c r="C295" s="10">
        <v>300</v>
      </c>
      <c r="D295" s="19">
        <v>0.3</v>
      </c>
      <c r="E295" s="11">
        <v>0.25700000000000001</v>
      </c>
      <c r="F295" s="10">
        <f t="shared" si="43"/>
        <v>700</v>
      </c>
      <c r="G295" s="10">
        <f t="shared" si="44"/>
        <v>0.3</v>
      </c>
      <c r="H295" s="12">
        <f t="shared" si="45"/>
        <v>0.42857142857142855</v>
      </c>
      <c r="I295" s="12">
        <v>0.02</v>
      </c>
      <c r="J295" s="12">
        <v>7.0000000000000007E-2</v>
      </c>
      <c r="K295" s="12">
        <f t="shared" si="46"/>
        <v>0.13327285714285714</v>
      </c>
      <c r="L295" s="12">
        <f t="shared" si="47"/>
        <v>0.65184428571428565</v>
      </c>
      <c r="M295" s="12"/>
      <c r="N295" s="12"/>
      <c r="O295" s="12">
        <f>L295*500</f>
        <v>325.92214285714283</v>
      </c>
      <c r="P295" s="12"/>
      <c r="Q295" s="12"/>
      <c r="R295" s="28">
        <f>K295/L295%</f>
        <v>20.445505171042164</v>
      </c>
    </row>
    <row r="296" spans="1:18" ht="16.5" hidden="1" customHeight="1" x14ac:dyDescent="0.25">
      <c r="A296" s="17">
        <v>45557</v>
      </c>
      <c r="B296" s="10" t="s">
        <v>120</v>
      </c>
      <c r="C296" s="10">
        <v>240</v>
      </c>
      <c r="D296" s="19">
        <v>0.56000000000000005</v>
      </c>
      <c r="E296" s="11">
        <v>0.54300000000000004</v>
      </c>
      <c r="F296" s="10">
        <f t="shared" si="43"/>
        <v>440</v>
      </c>
      <c r="G296" s="10">
        <f t="shared" si="44"/>
        <v>0.24</v>
      </c>
      <c r="H296" s="12">
        <f t="shared" si="45"/>
        <v>0.54545454545454541</v>
      </c>
      <c r="I296" s="12">
        <v>0.02</v>
      </c>
      <c r="J296" s="12">
        <v>7.0000000000000007E-2</v>
      </c>
      <c r="K296" s="12">
        <f t="shared" si="46"/>
        <v>0.34505181818181824</v>
      </c>
      <c r="L296" s="12">
        <f t="shared" si="47"/>
        <v>0.98050636363636379</v>
      </c>
      <c r="M296" s="12">
        <f>L296*250</f>
        <v>245.12659090909094</v>
      </c>
      <c r="N296" s="12"/>
      <c r="O296" s="12"/>
      <c r="P296" s="12"/>
      <c r="Q296" s="12"/>
      <c r="R296" s="28">
        <v>16.666666666666668</v>
      </c>
    </row>
    <row r="297" spans="1:18" ht="16.5" hidden="1" customHeight="1" x14ac:dyDescent="0.25">
      <c r="A297" s="17">
        <v>45557</v>
      </c>
      <c r="B297" s="10" t="s">
        <v>172</v>
      </c>
      <c r="C297" s="10">
        <v>1100</v>
      </c>
      <c r="D297" s="19">
        <v>0.1</v>
      </c>
      <c r="E297" s="11">
        <v>0.13500000000000001</v>
      </c>
      <c r="F297" s="10">
        <f t="shared" si="43"/>
        <v>900</v>
      </c>
      <c r="G297" s="10">
        <f t="shared" si="44"/>
        <v>1.1000000000000001</v>
      </c>
      <c r="H297" s="12">
        <f t="shared" si="45"/>
        <v>1.2222222222222223</v>
      </c>
      <c r="I297" s="12">
        <v>0.02</v>
      </c>
      <c r="J297" s="12">
        <v>7.0000000000000007E-2</v>
      </c>
      <c r="K297" s="12">
        <f t="shared" si="46"/>
        <v>0.17715000000000003</v>
      </c>
      <c r="L297" s="12">
        <f t="shared" si="47"/>
        <v>1.4893722222222223</v>
      </c>
      <c r="M297" s="12"/>
      <c r="N297" s="12"/>
      <c r="O297" s="12">
        <f>L297*500</f>
        <v>744.68611111111113</v>
      </c>
      <c r="P297" s="12"/>
      <c r="Q297" s="12"/>
      <c r="R297" s="28">
        <f>K297/L297%</f>
        <v>11.894273127753305</v>
      </c>
    </row>
    <row r="298" spans="1:18" ht="16.5" hidden="1" customHeight="1" x14ac:dyDescent="0.25">
      <c r="A298" s="17">
        <v>45557</v>
      </c>
      <c r="B298" s="10" t="s">
        <v>92</v>
      </c>
      <c r="C298" s="10">
        <v>400</v>
      </c>
      <c r="D298" s="19">
        <v>0</v>
      </c>
      <c r="E298" s="11">
        <v>0.20499999999999999</v>
      </c>
      <c r="F298" s="10">
        <f t="shared" si="43"/>
        <v>1000</v>
      </c>
      <c r="G298" s="10">
        <f t="shared" si="44"/>
        <v>0.4</v>
      </c>
      <c r="H298" s="12">
        <f t="shared" si="45"/>
        <v>0.4</v>
      </c>
      <c r="I298" s="12">
        <v>0.02</v>
      </c>
      <c r="J298" s="12">
        <v>7.0000000000000007E-2</v>
      </c>
      <c r="K298" s="12">
        <f t="shared" si="46"/>
        <v>0.10045</v>
      </c>
      <c r="L298" s="12">
        <f t="shared" si="47"/>
        <v>0.59045000000000003</v>
      </c>
      <c r="M298" s="12"/>
      <c r="N298" s="12"/>
      <c r="O298" s="12">
        <f>L298*500</f>
        <v>295.22500000000002</v>
      </c>
      <c r="P298" s="12"/>
      <c r="Q298" s="12"/>
      <c r="R298" s="28">
        <f>K298/L298%</f>
        <v>17.012448132780083</v>
      </c>
    </row>
    <row r="299" spans="1:18" ht="16.5" hidden="1" customHeight="1" x14ac:dyDescent="0.25">
      <c r="A299" s="17">
        <v>45557</v>
      </c>
      <c r="B299" s="2" t="s">
        <v>138</v>
      </c>
      <c r="C299" s="10">
        <v>380</v>
      </c>
      <c r="D299" s="19">
        <v>0.56999999999999995</v>
      </c>
      <c r="E299" s="11">
        <v>0.624</v>
      </c>
      <c r="F299" s="10">
        <f t="shared" si="43"/>
        <v>430</v>
      </c>
      <c r="G299" s="10">
        <f t="shared" si="44"/>
        <v>0.38</v>
      </c>
      <c r="H299" s="12">
        <f t="shared" si="45"/>
        <v>0.88372093023255816</v>
      </c>
      <c r="I299" s="12">
        <v>0.02</v>
      </c>
      <c r="J299" s="12">
        <v>7.0000000000000007E-2</v>
      </c>
      <c r="K299" s="12">
        <f t="shared" si="46"/>
        <v>0.60760186046511633</v>
      </c>
      <c r="L299" s="12">
        <f t="shared" si="47"/>
        <v>1.5813227906976746</v>
      </c>
      <c r="M299" s="12">
        <f>L299*250</f>
        <v>395.33069767441862</v>
      </c>
      <c r="N299" s="12"/>
      <c r="O299" s="12"/>
      <c r="P299" s="12"/>
      <c r="Q299" s="12"/>
      <c r="R299" s="28">
        <v>16.666666666666668</v>
      </c>
    </row>
    <row r="300" spans="1:18" ht="16.5" hidden="1" customHeight="1" x14ac:dyDescent="0.25">
      <c r="A300" s="17">
        <v>45557</v>
      </c>
      <c r="B300" s="10" t="s">
        <v>111</v>
      </c>
      <c r="C300" s="10">
        <v>900</v>
      </c>
      <c r="D300" s="19">
        <v>0.45</v>
      </c>
      <c r="E300" s="11">
        <v>0.03</v>
      </c>
      <c r="F300" s="10">
        <f t="shared" si="43"/>
        <v>550</v>
      </c>
      <c r="G300" s="10">
        <f t="shared" si="44"/>
        <v>0.9</v>
      </c>
      <c r="H300" s="12">
        <f t="shared" si="45"/>
        <v>1.6363636363636365</v>
      </c>
      <c r="I300" s="12">
        <v>0.02</v>
      </c>
      <c r="J300" s="12">
        <v>7.0000000000000007E-2</v>
      </c>
      <c r="K300" s="12">
        <f t="shared" si="46"/>
        <v>5.1790909090909096E-2</v>
      </c>
      <c r="L300" s="12">
        <f t="shared" si="47"/>
        <v>1.7781545454545455</v>
      </c>
      <c r="M300" s="12">
        <f>L300*250</f>
        <v>444.53863636363639</v>
      </c>
      <c r="N300" s="12"/>
      <c r="O300" s="12"/>
      <c r="P300" s="12"/>
      <c r="Q300" s="12"/>
      <c r="R300" s="28">
        <v>16.666666666666668</v>
      </c>
    </row>
    <row r="301" spans="1:18" ht="16.5" hidden="1" customHeight="1" x14ac:dyDescent="0.25">
      <c r="A301" s="17">
        <v>45557</v>
      </c>
      <c r="B301" s="2" t="s">
        <v>160</v>
      </c>
      <c r="C301" s="10">
        <v>900</v>
      </c>
      <c r="D301" s="19">
        <v>0.45</v>
      </c>
      <c r="E301" s="11">
        <v>1.4E-2</v>
      </c>
      <c r="F301" s="10">
        <f t="shared" si="43"/>
        <v>550</v>
      </c>
      <c r="G301" s="10">
        <f t="shared" si="44"/>
        <v>0.9</v>
      </c>
      <c r="H301" s="12">
        <f t="shared" si="45"/>
        <v>1.6363636363636365</v>
      </c>
      <c r="I301" s="12">
        <v>0.02</v>
      </c>
      <c r="J301" s="12">
        <v>7.0000000000000007E-2</v>
      </c>
      <c r="K301" s="12">
        <f t="shared" si="46"/>
        <v>2.4169090909090911E-2</v>
      </c>
      <c r="L301" s="12">
        <f t="shared" si="47"/>
        <v>1.7505327272727274</v>
      </c>
      <c r="M301" s="12"/>
      <c r="N301" s="12"/>
      <c r="O301" s="12">
        <f>L301*500</f>
        <v>875.26636363636362</v>
      </c>
      <c r="P301" s="12"/>
      <c r="Q301" s="12">
        <f>L301*1000</f>
        <v>1750.5327272727272</v>
      </c>
      <c r="R301" s="28">
        <v>16.666666666666668</v>
      </c>
    </row>
    <row r="302" spans="1:18" ht="16.5" hidden="1" customHeight="1" x14ac:dyDescent="0.25">
      <c r="A302" s="17">
        <v>45557</v>
      </c>
      <c r="B302" s="10" t="s">
        <v>113</v>
      </c>
      <c r="C302" s="10">
        <v>900</v>
      </c>
      <c r="D302" s="19">
        <v>0.45</v>
      </c>
      <c r="E302" s="11">
        <v>0.14799999999999999</v>
      </c>
      <c r="F302" s="10">
        <f t="shared" si="43"/>
        <v>550</v>
      </c>
      <c r="G302" s="10">
        <f t="shared" si="44"/>
        <v>0.9</v>
      </c>
      <c r="H302" s="12">
        <f t="shared" si="45"/>
        <v>1.6363636363636365</v>
      </c>
      <c r="I302" s="12">
        <v>0.02</v>
      </c>
      <c r="J302" s="12">
        <v>7.0000000000000007E-2</v>
      </c>
      <c r="K302" s="12">
        <f t="shared" si="46"/>
        <v>0.25550181818181822</v>
      </c>
      <c r="L302" s="12">
        <f t="shared" si="47"/>
        <v>1.9818654545454548</v>
      </c>
      <c r="M302" s="12">
        <f>L302*250</f>
        <v>495.46636363636372</v>
      </c>
      <c r="N302" s="12" t="s">
        <v>72</v>
      </c>
      <c r="O302" s="12"/>
      <c r="P302" s="12"/>
      <c r="Q302" s="12"/>
      <c r="R302" s="28">
        <f>K302/L302%</f>
        <v>12.89198606271777</v>
      </c>
    </row>
    <row r="303" spans="1:18" ht="16.5" hidden="1" customHeight="1" x14ac:dyDescent="0.25">
      <c r="A303" s="17">
        <v>45559</v>
      </c>
      <c r="B303" s="10" t="s">
        <v>146</v>
      </c>
      <c r="C303" s="10">
        <v>420</v>
      </c>
      <c r="D303" s="19">
        <v>0.17</v>
      </c>
      <c r="E303" s="11">
        <v>0.16</v>
      </c>
      <c r="F303" s="10">
        <f t="shared" si="43"/>
        <v>830</v>
      </c>
      <c r="G303" s="10">
        <f t="shared" si="44"/>
        <v>0.42</v>
      </c>
      <c r="H303" s="12">
        <f t="shared" si="45"/>
        <v>0.50602409638554213</v>
      </c>
      <c r="I303" s="12">
        <v>0.02</v>
      </c>
      <c r="J303" s="12">
        <v>7.0000000000000007E-2</v>
      </c>
      <c r="K303" s="12">
        <f t="shared" si="46"/>
        <v>9.5363855421686738E-2</v>
      </c>
      <c r="L303" s="12">
        <f t="shared" si="47"/>
        <v>0.69138795180722878</v>
      </c>
      <c r="M303" s="12"/>
      <c r="N303" s="12"/>
      <c r="O303" s="12">
        <f t="shared" ref="O303:O310" si="49">L303*500</f>
        <v>345.69397590361439</v>
      </c>
      <c r="P303" s="12"/>
      <c r="Q303" s="12"/>
      <c r="R303" s="28">
        <v>16.666666666666668</v>
      </c>
    </row>
    <row r="304" spans="1:18" ht="16.5" hidden="1" customHeight="1" x14ac:dyDescent="0.25">
      <c r="A304" s="17">
        <v>45559</v>
      </c>
      <c r="B304" s="10" t="s">
        <v>92</v>
      </c>
      <c r="C304" s="10">
        <v>420</v>
      </c>
      <c r="D304" s="19">
        <v>0.17</v>
      </c>
      <c r="E304" s="11">
        <v>0.09</v>
      </c>
      <c r="F304" s="10">
        <f t="shared" si="43"/>
        <v>830</v>
      </c>
      <c r="G304" s="10">
        <f t="shared" si="44"/>
        <v>0.42</v>
      </c>
      <c r="H304" s="12">
        <f t="shared" si="45"/>
        <v>0.50602409638554213</v>
      </c>
      <c r="I304" s="12">
        <v>0.02</v>
      </c>
      <c r="J304" s="12">
        <v>7.0000000000000007E-2</v>
      </c>
      <c r="K304" s="12">
        <f t="shared" si="46"/>
        <v>5.3642168674698787E-2</v>
      </c>
      <c r="L304" s="12">
        <f t="shared" si="47"/>
        <v>0.64966626506024094</v>
      </c>
      <c r="M304" s="12"/>
      <c r="N304" s="12"/>
      <c r="O304" s="12">
        <f t="shared" si="49"/>
        <v>324.83313253012045</v>
      </c>
      <c r="P304" s="12"/>
      <c r="Q304" s="12"/>
      <c r="R304" s="28">
        <v>16.666666666666668</v>
      </c>
    </row>
    <row r="305" spans="1:18" ht="16.5" hidden="1" customHeight="1" x14ac:dyDescent="0.25">
      <c r="A305" s="17">
        <v>45559</v>
      </c>
      <c r="B305" s="10" t="s">
        <v>90</v>
      </c>
      <c r="C305" s="10">
        <v>320</v>
      </c>
      <c r="D305" s="19">
        <v>0.1</v>
      </c>
      <c r="E305" s="11">
        <v>0.32500000000000001</v>
      </c>
      <c r="F305" s="10">
        <f t="shared" si="43"/>
        <v>900</v>
      </c>
      <c r="G305" s="10">
        <f t="shared" si="44"/>
        <v>0.32</v>
      </c>
      <c r="H305" s="12">
        <f t="shared" si="45"/>
        <v>0.35555555555555557</v>
      </c>
      <c r="I305" s="12">
        <v>0.02</v>
      </c>
      <c r="J305" s="12">
        <v>7.0000000000000007E-2</v>
      </c>
      <c r="K305" s="12">
        <f t="shared" si="46"/>
        <v>0.14480555555555558</v>
      </c>
      <c r="L305" s="12">
        <f t="shared" si="47"/>
        <v>0.59036111111111111</v>
      </c>
      <c r="M305" s="12"/>
      <c r="N305" s="12"/>
      <c r="O305" s="12">
        <f t="shared" si="49"/>
        <v>295.18055555555554</v>
      </c>
      <c r="P305" s="12"/>
      <c r="Q305" s="12"/>
      <c r="R305" s="28">
        <f t="shared" ref="R305:R310" si="50">K305/L305%</f>
        <v>24.528301886792455</v>
      </c>
    </row>
    <row r="306" spans="1:18" ht="16.5" hidden="1" customHeight="1" x14ac:dyDescent="0.25">
      <c r="A306" s="17">
        <v>45559</v>
      </c>
      <c r="B306" s="10" t="s">
        <v>91</v>
      </c>
      <c r="C306" s="10">
        <v>320</v>
      </c>
      <c r="D306" s="19">
        <v>0.1</v>
      </c>
      <c r="E306" s="11">
        <v>0.46</v>
      </c>
      <c r="F306" s="10">
        <f t="shared" si="43"/>
        <v>900</v>
      </c>
      <c r="G306" s="10">
        <f t="shared" si="44"/>
        <v>0.32</v>
      </c>
      <c r="H306" s="12">
        <f t="shared" si="45"/>
        <v>0.35555555555555557</v>
      </c>
      <c r="I306" s="12">
        <v>0.02</v>
      </c>
      <c r="J306" s="12">
        <v>7.0000000000000007E-2</v>
      </c>
      <c r="K306" s="12">
        <f t="shared" si="46"/>
        <v>0.20495555555555559</v>
      </c>
      <c r="L306" s="12">
        <f t="shared" si="47"/>
        <v>0.65051111111111115</v>
      </c>
      <c r="M306" s="12"/>
      <c r="N306" s="12"/>
      <c r="O306" s="12">
        <f t="shared" si="49"/>
        <v>325.25555555555559</v>
      </c>
      <c r="P306" s="12"/>
      <c r="Q306" s="12"/>
      <c r="R306" s="28">
        <f t="shared" si="50"/>
        <v>31.506849315068497</v>
      </c>
    </row>
    <row r="307" spans="1:18" ht="16.5" hidden="1" customHeight="1" x14ac:dyDescent="0.25">
      <c r="A307" s="17">
        <v>45559</v>
      </c>
      <c r="B307" s="2" t="s">
        <v>93</v>
      </c>
      <c r="C307" s="10">
        <v>530</v>
      </c>
      <c r="D307" s="19">
        <v>0.08</v>
      </c>
      <c r="E307" s="11">
        <v>0.185</v>
      </c>
      <c r="F307" s="10">
        <f t="shared" si="43"/>
        <v>920</v>
      </c>
      <c r="G307" s="10">
        <f t="shared" si="44"/>
        <v>0.53</v>
      </c>
      <c r="H307" s="12">
        <f t="shared" si="45"/>
        <v>0.57608695652173914</v>
      </c>
      <c r="I307" s="12">
        <v>0.02</v>
      </c>
      <c r="J307" s="12">
        <v>7.0000000000000007E-2</v>
      </c>
      <c r="K307" s="12">
        <f t="shared" si="46"/>
        <v>0.12322608695652174</v>
      </c>
      <c r="L307" s="12">
        <f t="shared" si="47"/>
        <v>0.78931304347826081</v>
      </c>
      <c r="M307" s="12"/>
      <c r="N307" s="12"/>
      <c r="O307" s="12">
        <f t="shared" si="49"/>
        <v>394.65652173913043</v>
      </c>
      <c r="P307" s="12"/>
      <c r="Q307" s="12"/>
      <c r="R307" s="28">
        <f t="shared" si="50"/>
        <v>15.611814345991563</v>
      </c>
    </row>
    <row r="308" spans="1:18" ht="16.5" hidden="1" customHeight="1" x14ac:dyDescent="0.25">
      <c r="A308" s="17">
        <v>45559</v>
      </c>
      <c r="B308" s="10" t="s">
        <v>157</v>
      </c>
      <c r="C308" s="10">
        <v>530</v>
      </c>
      <c r="D308" s="19">
        <v>0.08</v>
      </c>
      <c r="E308" s="11">
        <v>0.27500000000000002</v>
      </c>
      <c r="F308" s="10">
        <f t="shared" si="43"/>
        <v>920</v>
      </c>
      <c r="G308" s="10">
        <f t="shared" si="44"/>
        <v>0.53</v>
      </c>
      <c r="H308" s="12">
        <f t="shared" si="45"/>
        <v>0.57608695652173914</v>
      </c>
      <c r="I308" s="12">
        <v>0.02</v>
      </c>
      <c r="J308" s="12">
        <v>7.0000000000000007E-2</v>
      </c>
      <c r="K308" s="12">
        <f t="shared" si="46"/>
        <v>0.18317391304347827</v>
      </c>
      <c r="L308" s="12">
        <f t="shared" si="47"/>
        <v>0.8492608695652174</v>
      </c>
      <c r="M308" s="12"/>
      <c r="N308" s="12"/>
      <c r="O308" s="12">
        <f t="shared" si="49"/>
        <v>424.63043478260869</v>
      </c>
      <c r="P308" s="12"/>
      <c r="Q308" s="12"/>
      <c r="R308" s="28">
        <f t="shared" si="50"/>
        <v>21.568627450980394</v>
      </c>
    </row>
    <row r="309" spans="1:18" ht="16.5" hidden="1" customHeight="1" x14ac:dyDescent="0.25">
      <c r="A309" s="17">
        <v>45559</v>
      </c>
      <c r="B309" s="10" t="s">
        <v>174</v>
      </c>
      <c r="C309" s="10">
        <v>1100</v>
      </c>
      <c r="D309" s="19">
        <v>0.19</v>
      </c>
      <c r="E309" s="11">
        <v>0.03</v>
      </c>
      <c r="F309" s="10">
        <f t="shared" si="43"/>
        <v>810</v>
      </c>
      <c r="G309" s="10">
        <f t="shared" si="44"/>
        <v>1.1000000000000001</v>
      </c>
      <c r="H309" s="12">
        <f t="shared" si="45"/>
        <v>1.3580246913580247</v>
      </c>
      <c r="I309" s="12">
        <v>0.02</v>
      </c>
      <c r="J309" s="12">
        <v>7.0000000000000007E-2</v>
      </c>
      <c r="K309" s="12">
        <f t="shared" si="46"/>
        <v>4.3440740740740745E-2</v>
      </c>
      <c r="L309" s="12">
        <f t="shared" si="47"/>
        <v>1.4914654320987655</v>
      </c>
      <c r="M309" s="12"/>
      <c r="N309" s="12"/>
      <c r="O309" s="12">
        <f t="shared" si="49"/>
        <v>745.7327160493827</v>
      </c>
      <c r="P309" s="12"/>
      <c r="Q309" s="12"/>
      <c r="R309" s="28">
        <f t="shared" si="50"/>
        <v>2.9126213592233015</v>
      </c>
    </row>
    <row r="310" spans="1:18" ht="16.5" hidden="1" customHeight="1" x14ac:dyDescent="0.25">
      <c r="A310" s="17">
        <v>45559</v>
      </c>
      <c r="B310" s="34" t="s">
        <v>158</v>
      </c>
      <c r="C310" s="10">
        <v>200</v>
      </c>
      <c r="D310" s="19">
        <v>0.2</v>
      </c>
      <c r="E310" s="37">
        <v>0.44</v>
      </c>
      <c r="F310" s="10">
        <f t="shared" si="43"/>
        <v>800</v>
      </c>
      <c r="G310" s="10">
        <f t="shared" si="44"/>
        <v>0.2</v>
      </c>
      <c r="H310" s="12">
        <f t="shared" si="45"/>
        <v>0.25</v>
      </c>
      <c r="I310" s="12">
        <v>0.02</v>
      </c>
      <c r="J310" s="12">
        <v>7.0000000000000007E-2</v>
      </c>
      <c r="K310" s="12">
        <f t="shared" si="46"/>
        <v>0.14960000000000001</v>
      </c>
      <c r="L310" s="12">
        <f t="shared" si="47"/>
        <v>0.48960000000000004</v>
      </c>
      <c r="M310" s="12"/>
      <c r="N310" s="12"/>
      <c r="O310" s="12">
        <f t="shared" si="49"/>
        <v>244.8</v>
      </c>
      <c r="R310" s="28">
        <f t="shared" si="50"/>
        <v>30.555555555555557</v>
      </c>
    </row>
    <row r="311" spans="1:18" ht="16.5" hidden="1" customHeight="1" x14ac:dyDescent="0.25">
      <c r="A311" s="17">
        <v>45559</v>
      </c>
      <c r="B311" s="10" t="s">
        <v>118</v>
      </c>
      <c r="C311" s="10">
        <v>240</v>
      </c>
      <c r="D311" s="19">
        <v>0.46</v>
      </c>
      <c r="E311" s="11">
        <v>0.31</v>
      </c>
      <c r="F311" s="10">
        <f t="shared" si="43"/>
        <v>540</v>
      </c>
      <c r="G311" s="10">
        <f t="shared" si="44"/>
        <v>0.24</v>
      </c>
      <c r="H311" s="12">
        <f t="shared" si="45"/>
        <v>0.44444444444444442</v>
      </c>
      <c r="I311" s="12">
        <v>0.02</v>
      </c>
      <c r="J311" s="12">
        <v>7.0000000000000007E-2</v>
      </c>
      <c r="K311" s="12">
        <f t="shared" si="46"/>
        <v>0.16567777777777778</v>
      </c>
      <c r="L311" s="12">
        <f t="shared" si="47"/>
        <v>0.70012222222222231</v>
      </c>
      <c r="M311" s="12">
        <f>L311*250</f>
        <v>175.03055555555557</v>
      </c>
      <c r="N311" s="12"/>
      <c r="O311" s="12"/>
      <c r="P311" s="12"/>
      <c r="Q311" s="12"/>
      <c r="R311" s="28">
        <v>16.666666666666668</v>
      </c>
    </row>
    <row r="312" spans="1:18" ht="16.5" hidden="1" customHeight="1" x14ac:dyDescent="0.25">
      <c r="A312" s="17">
        <v>45559</v>
      </c>
      <c r="B312" s="34" t="s">
        <v>106</v>
      </c>
      <c r="C312" s="10">
        <v>240</v>
      </c>
      <c r="D312" s="19">
        <v>0.22</v>
      </c>
      <c r="E312" s="11">
        <v>0.13500000000000001</v>
      </c>
      <c r="F312" s="10">
        <f t="shared" si="43"/>
        <v>780</v>
      </c>
      <c r="G312" s="10">
        <f t="shared" si="44"/>
        <v>0.24</v>
      </c>
      <c r="H312" s="12">
        <f t="shared" si="45"/>
        <v>0.30769230769230771</v>
      </c>
      <c r="I312" s="12">
        <v>0.02</v>
      </c>
      <c r="J312" s="12">
        <v>7.0000000000000007E-2</v>
      </c>
      <c r="K312" s="12">
        <f t="shared" si="46"/>
        <v>5.3688461538461546E-2</v>
      </c>
      <c r="L312" s="12">
        <f t="shared" si="47"/>
        <v>0.45138076923076931</v>
      </c>
      <c r="M312" s="12"/>
      <c r="N312" s="12"/>
      <c r="O312" s="12">
        <f>L312*500</f>
        <v>225.69038461538466</v>
      </c>
      <c r="P312" s="12"/>
      <c r="Q312" s="12"/>
      <c r="R312" s="28">
        <v>16.666666666666668</v>
      </c>
    </row>
    <row r="313" spans="1:18" ht="16.5" hidden="1" customHeight="1" x14ac:dyDescent="0.25">
      <c r="A313" s="17">
        <v>45559</v>
      </c>
      <c r="B313" s="10" t="s">
        <v>111</v>
      </c>
      <c r="C313" s="10">
        <v>780</v>
      </c>
      <c r="D313" s="19">
        <v>0.33</v>
      </c>
      <c r="E313" s="11">
        <v>0.1</v>
      </c>
      <c r="F313" s="10">
        <f t="shared" si="43"/>
        <v>670</v>
      </c>
      <c r="G313" s="10">
        <f t="shared" si="44"/>
        <v>0.78</v>
      </c>
      <c r="H313" s="12">
        <f t="shared" si="45"/>
        <v>1.164179104477612</v>
      </c>
      <c r="I313" s="12">
        <v>0.02</v>
      </c>
      <c r="J313" s="12">
        <v>7.0000000000000007E-2</v>
      </c>
      <c r="K313" s="12">
        <f t="shared" si="46"/>
        <v>0.12541791044776121</v>
      </c>
      <c r="L313" s="12">
        <f t="shared" si="47"/>
        <v>1.3795970149253733</v>
      </c>
      <c r="M313" s="12">
        <f>L313*250</f>
        <v>344.89925373134332</v>
      </c>
      <c r="N313" s="12"/>
      <c r="O313" s="12"/>
      <c r="P313" s="12"/>
      <c r="Q313" s="12"/>
      <c r="R313" s="28">
        <v>16.666666666666668</v>
      </c>
    </row>
    <row r="314" spans="1:18" ht="16.5" hidden="1" customHeight="1" x14ac:dyDescent="0.25">
      <c r="A314" s="17">
        <v>45559</v>
      </c>
      <c r="B314" s="10" t="s">
        <v>112</v>
      </c>
      <c r="C314" s="10">
        <v>780</v>
      </c>
      <c r="D314" s="19">
        <v>0.316</v>
      </c>
      <c r="E314" s="11">
        <v>0.1</v>
      </c>
      <c r="F314" s="10">
        <f t="shared" si="43"/>
        <v>684</v>
      </c>
      <c r="G314" s="10">
        <f t="shared" si="44"/>
        <v>0.78</v>
      </c>
      <c r="H314" s="12">
        <f t="shared" si="45"/>
        <v>1.1403508771929824</v>
      </c>
      <c r="I314" s="12">
        <v>0.02</v>
      </c>
      <c r="J314" s="12">
        <v>7.0000000000000007E-2</v>
      </c>
      <c r="K314" s="12">
        <f t="shared" si="46"/>
        <v>0.12303508771929826</v>
      </c>
      <c r="L314" s="12">
        <f t="shared" si="47"/>
        <v>1.3533859649122808</v>
      </c>
      <c r="M314" s="12"/>
      <c r="N314" s="12"/>
      <c r="O314" s="12">
        <f>L314*500</f>
        <v>676.69298245614038</v>
      </c>
      <c r="P314" s="12"/>
      <c r="Q314" s="12"/>
      <c r="R314" s="28">
        <v>16.666666666666668</v>
      </c>
    </row>
    <row r="315" spans="1:18" hidden="1" x14ac:dyDescent="0.25">
      <c r="A315" s="16">
        <v>45560</v>
      </c>
      <c r="B315" s="2" t="s">
        <v>159</v>
      </c>
      <c r="C315" s="10">
        <v>400</v>
      </c>
      <c r="D315" s="19">
        <v>0</v>
      </c>
      <c r="E315" s="11">
        <v>0.41</v>
      </c>
      <c r="F315" s="10">
        <f t="shared" si="43"/>
        <v>1000</v>
      </c>
      <c r="G315" s="10">
        <f t="shared" si="44"/>
        <v>0.4</v>
      </c>
      <c r="H315" s="12">
        <f t="shared" si="45"/>
        <v>0.4</v>
      </c>
      <c r="I315" s="12">
        <v>0.02</v>
      </c>
      <c r="J315" s="12">
        <v>7.0000000000000007E-2</v>
      </c>
      <c r="K315" s="12">
        <f t="shared" si="46"/>
        <v>0.2009</v>
      </c>
      <c r="L315" s="12">
        <f t="shared" si="47"/>
        <v>0.69090000000000007</v>
      </c>
      <c r="M315" s="12"/>
      <c r="N315" s="12"/>
      <c r="O315" s="12">
        <f>L315*500</f>
        <v>345.45000000000005</v>
      </c>
      <c r="P315" s="12"/>
      <c r="Q315" s="12"/>
      <c r="R315" s="28">
        <f t="shared" ref="R315:R332" si="51">K315/L315%</f>
        <v>29.078014184397158</v>
      </c>
    </row>
    <row r="316" spans="1:18" hidden="1" x14ac:dyDescent="0.25">
      <c r="A316" s="16">
        <v>45560</v>
      </c>
      <c r="B316" s="2" t="s">
        <v>120</v>
      </c>
      <c r="C316" s="10">
        <v>260</v>
      </c>
      <c r="D316" s="19">
        <v>0.55000000000000004</v>
      </c>
      <c r="E316" s="11">
        <v>0.47</v>
      </c>
      <c r="F316" s="10">
        <f t="shared" si="43"/>
        <v>450</v>
      </c>
      <c r="G316" s="10">
        <f t="shared" si="44"/>
        <v>0.26</v>
      </c>
      <c r="H316" s="12">
        <f t="shared" si="45"/>
        <v>0.57777777777777772</v>
      </c>
      <c r="I316" s="12">
        <v>0.02</v>
      </c>
      <c r="J316" s="12">
        <v>7.0000000000000007E-2</v>
      </c>
      <c r="K316" s="12">
        <f t="shared" si="46"/>
        <v>0.31385555555555555</v>
      </c>
      <c r="L316" s="12">
        <f t="shared" si="47"/>
        <v>0.98163333333333336</v>
      </c>
      <c r="M316" s="12">
        <f>L316*250</f>
        <v>245.40833333333333</v>
      </c>
      <c r="N316" s="12"/>
      <c r="O316" s="12"/>
      <c r="P316" s="12"/>
      <c r="Q316" s="12"/>
      <c r="R316" s="28">
        <f t="shared" si="51"/>
        <v>31.972789115646258</v>
      </c>
    </row>
    <row r="317" spans="1:18" hidden="1" x14ac:dyDescent="0.25">
      <c r="A317" s="16">
        <v>45560</v>
      </c>
      <c r="B317" s="2" t="s">
        <v>104</v>
      </c>
      <c r="C317" s="10">
        <v>120</v>
      </c>
      <c r="D317" s="19">
        <v>0.72</v>
      </c>
      <c r="E317" s="11">
        <v>0.15</v>
      </c>
      <c r="F317" s="10">
        <f t="shared" si="43"/>
        <v>280</v>
      </c>
      <c r="G317" s="10">
        <f t="shared" si="44"/>
        <v>0.12</v>
      </c>
      <c r="H317" s="12">
        <f t="shared" si="45"/>
        <v>0.42857142857142855</v>
      </c>
      <c r="I317" s="12">
        <v>0.02</v>
      </c>
      <c r="J317" s="12">
        <v>7.0000000000000007E-2</v>
      </c>
      <c r="K317" s="12">
        <f t="shared" si="46"/>
        <v>7.7785714285714277E-2</v>
      </c>
      <c r="L317" s="12">
        <f t="shared" si="47"/>
        <v>0.59635714285714281</v>
      </c>
      <c r="M317" s="12">
        <f>L317*250</f>
        <v>149.08928571428569</v>
      </c>
      <c r="N317" s="12"/>
      <c r="O317" s="12"/>
      <c r="P317" s="12"/>
      <c r="Q317" s="12"/>
      <c r="R317" s="28">
        <f t="shared" si="51"/>
        <v>13.043478260869565</v>
      </c>
    </row>
    <row r="318" spans="1:18" ht="16.5" hidden="1" customHeight="1" x14ac:dyDescent="0.25">
      <c r="A318" s="16">
        <v>45560</v>
      </c>
      <c r="B318" s="2" t="s">
        <v>105</v>
      </c>
      <c r="C318" s="10">
        <v>120</v>
      </c>
      <c r="D318" s="19">
        <v>0.72</v>
      </c>
      <c r="E318" s="11">
        <v>0.15</v>
      </c>
      <c r="F318" s="10">
        <f t="shared" si="43"/>
        <v>280</v>
      </c>
      <c r="G318" s="10">
        <f t="shared" si="44"/>
        <v>0.12</v>
      </c>
      <c r="H318" s="12">
        <f t="shared" si="45"/>
        <v>0.42857142857142855</v>
      </c>
      <c r="I318" s="12">
        <v>0.02</v>
      </c>
      <c r="J318" s="12">
        <v>7.0000000000000007E-2</v>
      </c>
      <c r="K318" s="12">
        <f t="shared" si="46"/>
        <v>7.7785714285714277E-2</v>
      </c>
      <c r="L318" s="12">
        <f t="shared" si="47"/>
        <v>0.59635714285714281</v>
      </c>
      <c r="M318" s="12">
        <f>L318*250</f>
        <v>149.08928571428569</v>
      </c>
      <c r="N318" s="2"/>
      <c r="O318" s="2"/>
      <c r="P318" s="2"/>
      <c r="Q318" s="2"/>
      <c r="R318" s="28">
        <f t="shared" si="51"/>
        <v>13.043478260869565</v>
      </c>
    </row>
    <row r="319" spans="1:18" ht="16.5" hidden="1" customHeight="1" x14ac:dyDescent="0.25">
      <c r="A319" s="16">
        <v>45561</v>
      </c>
      <c r="B319" s="2" t="s">
        <v>93</v>
      </c>
      <c r="C319" s="2">
        <v>530</v>
      </c>
      <c r="D319" s="19">
        <v>0</v>
      </c>
      <c r="E319" s="11">
        <v>0.27500000000000002</v>
      </c>
      <c r="F319" s="10">
        <f t="shared" si="43"/>
        <v>1000</v>
      </c>
      <c r="G319" s="10">
        <f t="shared" si="44"/>
        <v>0.53</v>
      </c>
      <c r="H319" s="12">
        <f t="shared" si="45"/>
        <v>0.53</v>
      </c>
      <c r="I319" s="12">
        <v>0.02</v>
      </c>
      <c r="J319" s="12">
        <v>7.0000000000000007E-2</v>
      </c>
      <c r="K319" s="12">
        <f t="shared" si="46"/>
        <v>0.17050000000000004</v>
      </c>
      <c r="L319" s="12">
        <f t="shared" si="47"/>
        <v>0.7905000000000002</v>
      </c>
      <c r="M319" s="2"/>
      <c r="N319" s="2"/>
      <c r="O319" s="2">
        <f>L319*500</f>
        <v>395.25000000000011</v>
      </c>
      <c r="P319" s="2"/>
      <c r="Q319" s="2"/>
      <c r="R319" s="28">
        <f t="shared" si="51"/>
        <v>21.56862745098039</v>
      </c>
    </row>
    <row r="320" spans="1:18" ht="16.5" hidden="1" customHeight="1" x14ac:dyDescent="0.25">
      <c r="A320" s="16">
        <v>45561</v>
      </c>
      <c r="B320" s="2" t="s">
        <v>137</v>
      </c>
      <c r="C320" s="2">
        <v>260</v>
      </c>
      <c r="D320" s="19">
        <v>0.13</v>
      </c>
      <c r="E320" s="11">
        <v>0.26500000000000001</v>
      </c>
      <c r="F320" s="10">
        <f t="shared" si="43"/>
        <v>870</v>
      </c>
      <c r="G320" s="10">
        <f t="shared" si="44"/>
        <v>0.26</v>
      </c>
      <c r="H320" s="12">
        <f t="shared" si="45"/>
        <v>0.2988505747126437</v>
      </c>
      <c r="I320" s="12">
        <v>0.02</v>
      </c>
      <c r="J320" s="12">
        <v>7.0000000000000007E-2</v>
      </c>
      <c r="K320" s="12">
        <f t="shared" si="46"/>
        <v>0.10304540229885059</v>
      </c>
      <c r="L320" s="12">
        <f t="shared" si="47"/>
        <v>0.49189597701149435</v>
      </c>
      <c r="M320" s="2"/>
      <c r="N320" s="2"/>
      <c r="O320" s="2">
        <f>L320*500</f>
        <v>245.94798850574716</v>
      </c>
      <c r="P320" s="2"/>
      <c r="Q320" s="2"/>
      <c r="R320" s="28">
        <f t="shared" si="51"/>
        <v>20.948616600790512</v>
      </c>
    </row>
    <row r="321" spans="1:18" ht="16.5" hidden="1" customHeight="1" x14ac:dyDescent="0.25">
      <c r="A321" s="16">
        <v>45561</v>
      </c>
      <c r="B321" s="2" t="s">
        <v>92</v>
      </c>
      <c r="C321" s="2">
        <v>410</v>
      </c>
      <c r="D321" s="19">
        <v>0.08</v>
      </c>
      <c r="E321" s="11">
        <v>0.215</v>
      </c>
      <c r="F321" s="10">
        <f t="shared" si="43"/>
        <v>920</v>
      </c>
      <c r="G321" s="10">
        <f t="shared" si="44"/>
        <v>0.41</v>
      </c>
      <c r="H321" s="12">
        <f t="shared" si="45"/>
        <v>0.44565217391304346</v>
      </c>
      <c r="I321" s="12">
        <v>0.02</v>
      </c>
      <c r="J321" s="12">
        <v>7.0000000000000007E-2</v>
      </c>
      <c r="K321" s="12">
        <f t="shared" si="46"/>
        <v>0.11516521739130436</v>
      </c>
      <c r="L321" s="12">
        <f t="shared" si="47"/>
        <v>0.6508173913043479</v>
      </c>
      <c r="M321" s="2"/>
      <c r="N321" s="2"/>
      <c r="O321" s="2">
        <f>L321*500</f>
        <v>325.40869565217395</v>
      </c>
      <c r="P321" s="2"/>
      <c r="Q321" s="2"/>
      <c r="R321" s="28">
        <f t="shared" si="51"/>
        <v>17.695473251028805</v>
      </c>
    </row>
    <row r="322" spans="1:18" ht="16.5" hidden="1" customHeight="1" x14ac:dyDescent="0.25">
      <c r="A322" s="16">
        <v>45561</v>
      </c>
      <c r="B322" s="2" t="s">
        <v>108</v>
      </c>
      <c r="C322" s="2">
        <v>410</v>
      </c>
      <c r="D322" s="19">
        <v>0.08</v>
      </c>
      <c r="E322" s="11">
        <v>0.215</v>
      </c>
      <c r="F322" s="10">
        <f t="shared" si="43"/>
        <v>920</v>
      </c>
      <c r="G322" s="10">
        <f t="shared" si="44"/>
        <v>0.41</v>
      </c>
      <c r="H322" s="12">
        <f t="shared" si="45"/>
        <v>0.44565217391304346</v>
      </c>
      <c r="I322" s="12">
        <v>0.02</v>
      </c>
      <c r="J322" s="12">
        <v>7.0000000000000007E-2</v>
      </c>
      <c r="K322" s="12">
        <f t="shared" si="46"/>
        <v>0.11516521739130436</v>
      </c>
      <c r="L322" s="12">
        <f t="shared" si="47"/>
        <v>0.6508173913043479</v>
      </c>
      <c r="M322" s="2"/>
      <c r="N322" s="2"/>
      <c r="O322" s="2">
        <f>L322*500</f>
        <v>325.40869565217395</v>
      </c>
      <c r="P322" s="2"/>
      <c r="Q322" s="2"/>
      <c r="R322" s="28">
        <f t="shared" si="51"/>
        <v>17.695473251028805</v>
      </c>
    </row>
    <row r="323" spans="1:18" ht="16.5" hidden="1" customHeight="1" x14ac:dyDescent="0.25">
      <c r="A323" s="16">
        <v>45561</v>
      </c>
      <c r="B323" s="2" t="s">
        <v>138</v>
      </c>
      <c r="C323" s="2">
        <v>370</v>
      </c>
      <c r="D323" s="19">
        <v>0.59</v>
      </c>
      <c r="E323" s="11">
        <v>0.59499999999999997</v>
      </c>
      <c r="F323" s="10">
        <f t="shared" si="43"/>
        <v>410</v>
      </c>
      <c r="G323" s="10">
        <f t="shared" si="44"/>
        <v>0.37</v>
      </c>
      <c r="H323" s="12">
        <f t="shared" si="45"/>
        <v>0.90243902439024393</v>
      </c>
      <c r="I323" s="12">
        <v>0.02</v>
      </c>
      <c r="J323" s="12">
        <v>7.0000000000000007E-2</v>
      </c>
      <c r="K323" s="12">
        <f t="shared" si="46"/>
        <v>0.59050121951219514</v>
      </c>
      <c r="L323" s="12">
        <f t="shared" si="47"/>
        <v>1.5829402439024389</v>
      </c>
      <c r="M323" s="2">
        <f>L323*250</f>
        <v>395.73506097560971</v>
      </c>
      <c r="N323" s="2"/>
      <c r="O323" s="2"/>
      <c r="P323" s="2"/>
      <c r="Q323" s="2"/>
      <c r="R323" s="28">
        <f t="shared" si="51"/>
        <v>37.304075235109721</v>
      </c>
    </row>
    <row r="324" spans="1:18" ht="16.5" hidden="1" customHeight="1" x14ac:dyDescent="0.25">
      <c r="A324" s="16">
        <v>45561</v>
      </c>
      <c r="B324" s="2" t="s">
        <v>111</v>
      </c>
      <c r="C324" s="2">
        <v>720</v>
      </c>
      <c r="D324" s="19">
        <v>0.3</v>
      </c>
      <c r="E324" s="11">
        <v>0.23499999999999999</v>
      </c>
      <c r="F324" s="10">
        <f t="shared" si="43"/>
        <v>700</v>
      </c>
      <c r="G324" s="10">
        <f t="shared" si="44"/>
        <v>0.72</v>
      </c>
      <c r="H324" s="12">
        <f t="shared" si="45"/>
        <v>1.0285714285714285</v>
      </c>
      <c r="I324" s="12">
        <v>0.02</v>
      </c>
      <c r="J324" s="12">
        <v>7.0000000000000007E-2</v>
      </c>
      <c r="K324" s="12">
        <f t="shared" si="46"/>
        <v>0.26286428571428572</v>
      </c>
      <c r="L324" s="12">
        <f t="shared" si="47"/>
        <v>1.3814357142857143</v>
      </c>
      <c r="M324" s="2">
        <f>L324*250</f>
        <v>345.35892857142858</v>
      </c>
      <c r="N324" s="2"/>
      <c r="O324" s="2"/>
      <c r="P324" s="2"/>
      <c r="Q324" s="2"/>
      <c r="R324" s="28">
        <f t="shared" si="51"/>
        <v>19.02834008097166</v>
      </c>
    </row>
    <row r="325" spans="1:18" hidden="1" x14ac:dyDescent="0.25">
      <c r="A325" s="16">
        <v>45561</v>
      </c>
      <c r="B325" s="2" t="s">
        <v>160</v>
      </c>
      <c r="C325" s="2">
        <v>720</v>
      </c>
      <c r="D325" s="19">
        <v>0.3</v>
      </c>
      <c r="E325" s="11">
        <v>0.42199999999999999</v>
      </c>
      <c r="F325" s="10">
        <f t="shared" si="43"/>
        <v>700</v>
      </c>
      <c r="G325" s="10">
        <f t="shared" si="44"/>
        <v>0.72</v>
      </c>
      <c r="H325" s="12">
        <f t="shared" si="45"/>
        <v>1.0285714285714285</v>
      </c>
      <c r="I325" s="12">
        <v>0.02</v>
      </c>
      <c r="J325" s="12">
        <v>7.0000000000000007E-2</v>
      </c>
      <c r="K325" s="12">
        <f t="shared" si="46"/>
        <v>0.47203714285714282</v>
      </c>
      <c r="L325" s="12">
        <f t="shared" si="47"/>
        <v>1.5906085714285714</v>
      </c>
      <c r="M325" s="2"/>
      <c r="N325" s="2"/>
      <c r="O325" s="2">
        <f t="shared" ref="O325:O336" si="52">L325*500</f>
        <v>795.3042857142857</v>
      </c>
      <c r="P325" s="2"/>
      <c r="Q325" s="2"/>
      <c r="R325" s="28">
        <f t="shared" si="51"/>
        <v>29.676511954992964</v>
      </c>
    </row>
    <row r="326" spans="1:18" hidden="1" x14ac:dyDescent="0.25">
      <c r="A326" s="16">
        <v>45561</v>
      </c>
      <c r="B326" s="10" t="s">
        <v>94</v>
      </c>
      <c r="C326" s="10">
        <v>160</v>
      </c>
      <c r="D326" s="19">
        <v>3.8999999999999998E-3</v>
      </c>
      <c r="E326" s="11">
        <v>0.19</v>
      </c>
      <c r="F326" s="10">
        <f t="shared" si="43"/>
        <v>996.1</v>
      </c>
      <c r="G326" s="10">
        <f t="shared" si="44"/>
        <v>0.16</v>
      </c>
      <c r="H326" s="12">
        <f t="shared" si="45"/>
        <v>0.16062644312819999</v>
      </c>
      <c r="I326" s="12">
        <v>0.02</v>
      </c>
      <c r="J326" s="12">
        <v>7.0000000000000007E-2</v>
      </c>
      <c r="K326" s="12">
        <f t="shared" si="46"/>
        <v>4.7619024194357998E-2</v>
      </c>
      <c r="L326" s="12">
        <f t="shared" si="47"/>
        <v>0.29824546732255797</v>
      </c>
      <c r="M326" s="2"/>
      <c r="N326" s="2"/>
      <c r="O326" s="2">
        <f t="shared" si="52"/>
        <v>149.12273366127897</v>
      </c>
      <c r="P326" s="2"/>
      <c r="Q326" s="2"/>
      <c r="R326" s="28">
        <f t="shared" si="51"/>
        <v>15.966386554621849</v>
      </c>
    </row>
    <row r="327" spans="1:18" hidden="1" x14ac:dyDescent="0.25">
      <c r="A327" s="16">
        <v>45561</v>
      </c>
      <c r="B327" s="10" t="s">
        <v>95</v>
      </c>
      <c r="C327" s="10">
        <v>160</v>
      </c>
      <c r="D327" s="19">
        <v>3.8999999999999998E-3</v>
      </c>
      <c r="E327" s="11">
        <v>0.19</v>
      </c>
      <c r="F327" s="10">
        <f t="shared" si="43"/>
        <v>996.1</v>
      </c>
      <c r="G327" s="10">
        <f t="shared" si="44"/>
        <v>0.16</v>
      </c>
      <c r="H327" s="12">
        <f t="shared" si="45"/>
        <v>0.16062644312819999</v>
      </c>
      <c r="I327" s="12">
        <v>0.02</v>
      </c>
      <c r="J327" s="12">
        <v>7.0000000000000007E-2</v>
      </c>
      <c r="K327" s="12">
        <f t="shared" si="46"/>
        <v>4.7619024194357998E-2</v>
      </c>
      <c r="L327" s="12">
        <f t="shared" si="47"/>
        <v>0.29824546732255797</v>
      </c>
      <c r="M327" s="2"/>
      <c r="N327" s="2"/>
      <c r="O327" s="2">
        <f t="shared" si="52"/>
        <v>149.12273366127897</v>
      </c>
      <c r="P327" s="2"/>
      <c r="Q327" s="2"/>
      <c r="R327" s="28">
        <f t="shared" si="51"/>
        <v>15.966386554621849</v>
      </c>
    </row>
    <row r="328" spans="1:18" hidden="1" x14ac:dyDescent="0.25">
      <c r="A328" s="16">
        <v>45561</v>
      </c>
      <c r="B328" s="10" t="s">
        <v>158</v>
      </c>
      <c r="C328" s="10">
        <v>208</v>
      </c>
      <c r="D328" s="19">
        <v>0.27</v>
      </c>
      <c r="E328" s="11">
        <v>0.57499999999999996</v>
      </c>
      <c r="F328" s="10">
        <f t="shared" ref="F328:F391" si="53">1000-1000*D328</f>
        <v>730</v>
      </c>
      <c r="G328" s="10">
        <f t="shared" ref="G328:G391" si="54">C328/1000</f>
        <v>0.20799999999999999</v>
      </c>
      <c r="H328" s="12">
        <f t="shared" ref="H328:H391" si="55">C328/F328</f>
        <v>0.28493150684931506</v>
      </c>
      <c r="I328" s="12">
        <v>0.02</v>
      </c>
      <c r="J328" s="12">
        <v>7.0000000000000007E-2</v>
      </c>
      <c r="K328" s="12">
        <f t="shared" ref="K328:K391" si="56">SUM(H328:J328)*E328</f>
        <v>0.21558561643835616</v>
      </c>
      <c r="L328" s="12">
        <f t="shared" ref="L328:L391" si="57">SUM(H328:K328)</f>
        <v>0.59051712328767125</v>
      </c>
      <c r="M328" s="2"/>
      <c r="N328" s="2"/>
      <c r="O328" s="2">
        <f t="shared" si="52"/>
        <v>295.25856164383561</v>
      </c>
      <c r="P328" s="2"/>
      <c r="Q328" s="2"/>
      <c r="R328" s="28">
        <f t="shared" si="51"/>
        <v>36.507936507936506</v>
      </c>
    </row>
    <row r="329" spans="1:18" hidden="1" x14ac:dyDescent="0.25">
      <c r="A329" s="16">
        <v>45561</v>
      </c>
      <c r="B329" s="10" t="s">
        <v>90</v>
      </c>
      <c r="C329" s="10">
        <v>300</v>
      </c>
      <c r="D329" s="19">
        <v>0.16</v>
      </c>
      <c r="E329" s="11">
        <v>0.45500000000000002</v>
      </c>
      <c r="F329" s="10">
        <f t="shared" si="53"/>
        <v>840</v>
      </c>
      <c r="G329" s="10">
        <f t="shared" si="54"/>
        <v>0.3</v>
      </c>
      <c r="H329" s="12">
        <f t="shared" si="55"/>
        <v>0.35714285714285715</v>
      </c>
      <c r="I329" s="12">
        <v>0.02</v>
      </c>
      <c r="J329" s="12">
        <v>7.0000000000000007E-2</v>
      </c>
      <c r="K329" s="12">
        <f t="shared" si="56"/>
        <v>0.20345000000000002</v>
      </c>
      <c r="L329" s="12">
        <f t="shared" si="57"/>
        <v>0.65059285714285719</v>
      </c>
      <c r="M329" s="2"/>
      <c r="N329" s="2"/>
      <c r="O329" s="2">
        <f t="shared" si="52"/>
        <v>325.29642857142858</v>
      </c>
      <c r="P329" s="2"/>
      <c r="Q329" s="2"/>
      <c r="R329" s="28">
        <f t="shared" si="51"/>
        <v>31.27147766323024</v>
      </c>
    </row>
    <row r="330" spans="1:18" x14ac:dyDescent="0.25">
      <c r="A330" s="16">
        <v>45562</v>
      </c>
      <c r="B330" s="10" t="s">
        <v>151</v>
      </c>
      <c r="C330" s="10">
        <v>680</v>
      </c>
      <c r="D330" s="19">
        <v>0.14000000000000001</v>
      </c>
      <c r="E330" s="11">
        <v>0.12</v>
      </c>
      <c r="F330" s="10">
        <f t="shared" si="53"/>
        <v>860</v>
      </c>
      <c r="G330" s="10">
        <f t="shared" si="54"/>
        <v>0.68</v>
      </c>
      <c r="H330" s="12">
        <f t="shared" si="55"/>
        <v>0.79069767441860461</v>
      </c>
      <c r="I330" s="12">
        <v>0.02</v>
      </c>
      <c r="J330" s="12">
        <v>7.0000000000000007E-2</v>
      </c>
      <c r="K330" s="12">
        <f t="shared" si="56"/>
        <v>0.10568372093023255</v>
      </c>
      <c r="L330" s="12">
        <f t="shared" si="57"/>
        <v>0.98638139534883718</v>
      </c>
      <c r="M330" s="12">
        <f>L330*250</f>
        <v>246.59534883720929</v>
      </c>
      <c r="N330" s="2"/>
      <c r="O330" s="12">
        <f t="shared" si="52"/>
        <v>493.19069767441857</v>
      </c>
      <c r="P330" s="2"/>
      <c r="Q330" s="2"/>
      <c r="R330" s="28">
        <f t="shared" si="51"/>
        <v>10.714285714285714</v>
      </c>
    </row>
    <row r="331" spans="1:18" hidden="1" x14ac:dyDescent="0.25">
      <c r="A331" s="16">
        <v>45562</v>
      </c>
      <c r="B331" s="10" t="s">
        <v>94</v>
      </c>
      <c r="C331" s="10">
        <v>160</v>
      </c>
      <c r="D331" s="19">
        <v>0</v>
      </c>
      <c r="E331" s="11">
        <v>0.19</v>
      </c>
      <c r="F331" s="10">
        <f t="shared" si="53"/>
        <v>1000</v>
      </c>
      <c r="G331" s="10">
        <f t="shared" si="54"/>
        <v>0.16</v>
      </c>
      <c r="H331" s="12">
        <f t="shared" si="55"/>
        <v>0.16</v>
      </c>
      <c r="I331" s="12">
        <v>0.02</v>
      </c>
      <c r="J331" s="12">
        <v>7.0000000000000007E-2</v>
      </c>
      <c r="K331" s="12">
        <f t="shared" si="56"/>
        <v>4.7500000000000001E-2</v>
      </c>
      <c r="L331" s="12">
        <f t="shared" si="57"/>
        <v>0.29749999999999999</v>
      </c>
      <c r="M331" s="2"/>
      <c r="N331" s="2"/>
      <c r="O331" s="2">
        <f t="shared" si="52"/>
        <v>148.75</v>
      </c>
      <c r="P331" s="2"/>
      <c r="Q331" s="2"/>
      <c r="R331" s="28">
        <f t="shared" si="51"/>
        <v>15.966386554621851</v>
      </c>
    </row>
    <row r="332" spans="1:18" hidden="1" x14ac:dyDescent="0.25">
      <c r="A332" s="16">
        <v>45562</v>
      </c>
      <c r="B332" s="10" t="s">
        <v>95</v>
      </c>
      <c r="C332" s="10">
        <v>160</v>
      </c>
      <c r="D332" s="19">
        <v>0</v>
      </c>
      <c r="E332" s="11">
        <v>0.19</v>
      </c>
      <c r="F332" s="10">
        <f t="shared" si="53"/>
        <v>1000</v>
      </c>
      <c r="G332" s="10">
        <f t="shared" si="54"/>
        <v>0.16</v>
      </c>
      <c r="H332" s="12">
        <f t="shared" si="55"/>
        <v>0.16</v>
      </c>
      <c r="I332" s="12">
        <v>0.02</v>
      </c>
      <c r="J332" s="12">
        <v>7.0000000000000007E-2</v>
      </c>
      <c r="K332" s="12">
        <f t="shared" si="56"/>
        <v>4.7500000000000001E-2</v>
      </c>
      <c r="L332" s="12">
        <f t="shared" si="57"/>
        <v>0.29749999999999999</v>
      </c>
      <c r="M332" s="2"/>
      <c r="N332" s="2"/>
      <c r="O332" s="2">
        <f t="shared" si="52"/>
        <v>148.75</v>
      </c>
      <c r="P332" s="2"/>
      <c r="Q332" s="2"/>
      <c r="R332" s="28">
        <f t="shared" si="51"/>
        <v>15.966386554621851</v>
      </c>
    </row>
    <row r="333" spans="1:18" hidden="1" x14ac:dyDescent="0.25">
      <c r="A333" s="16">
        <v>45562</v>
      </c>
      <c r="B333" s="10" t="s">
        <v>40</v>
      </c>
      <c r="C333" s="10">
        <v>160</v>
      </c>
      <c r="D333" s="19">
        <v>0.02</v>
      </c>
      <c r="E333" s="11">
        <v>0.38500000000000001</v>
      </c>
      <c r="F333" s="10">
        <f t="shared" si="53"/>
        <v>980</v>
      </c>
      <c r="G333" s="10">
        <f t="shared" si="54"/>
        <v>0.16</v>
      </c>
      <c r="H333" s="12">
        <f t="shared" si="55"/>
        <v>0.16326530612244897</v>
      </c>
      <c r="I333" s="12">
        <v>0.02</v>
      </c>
      <c r="J333" s="12">
        <v>7.0000000000000007E-2</v>
      </c>
      <c r="K333" s="12">
        <f t="shared" si="56"/>
        <v>9.7507142857142848E-2</v>
      </c>
      <c r="L333" s="12">
        <f t="shared" si="57"/>
        <v>0.35077244897959181</v>
      </c>
      <c r="M333" s="12"/>
      <c r="N333" s="12"/>
      <c r="O333" s="12">
        <f t="shared" si="52"/>
        <v>175.38622448979589</v>
      </c>
      <c r="P333" s="12"/>
      <c r="Q333" s="12"/>
      <c r="R333" s="28">
        <v>16.666666666666668</v>
      </c>
    </row>
    <row r="334" spans="1:18" hidden="1" x14ac:dyDescent="0.25">
      <c r="A334" s="16">
        <v>45562</v>
      </c>
      <c r="B334" s="2" t="s">
        <v>92</v>
      </c>
      <c r="C334" s="2">
        <v>420</v>
      </c>
      <c r="D334" s="19">
        <v>0</v>
      </c>
      <c r="E334" s="11">
        <v>0.27500000000000002</v>
      </c>
      <c r="F334" s="10">
        <f t="shared" si="53"/>
        <v>1000</v>
      </c>
      <c r="G334" s="10">
        <f t="shared" si="54"/>
        <v>0.42</v>
      </c>
      <c r="H334" s="12">
        <f t="shared" si="55"/>
        <v>0.42</v>
      </c>
      <c r="I334" s="12">
        <v>0.02</v>
      </c>
      <c r="J334" s="12">
        <v>7.0000000000000007E-2</v>
      </c>
      <c r="K334" s="12">
        <f t="shared" si="56"/>
        <v>0.14025000000000001</v>
      </c>
      <c r="L334" s="12">
        <f t="shared" si="57"/>
        <v>0.65024999999999999</v>
      </c>
      <c r="M334" s="2"/>
      <c r="N334" s="2"/>
      <c r="O334" s="2">
        <f t="shared" si="52"/>
        <v>325.125</v>
      </c>
      <c r="P334" s="2"/>
      <c r="Q334" s="2"/>
      <c r="R334" s="28">
        <f t="shared" ref="R334:R365" si="58">K334/L334%</f>
        <v>21.568627450980397</v>
      </c>
    </row>
    <row r="335" spans="1:18" hidden="1" x14ac:dyDescent="0.25">
      <c r="A335" s="16">
        <v>45562</v>
      </c>
      <c r="B335" s="10" t="s">
        <v>90</v>
      </c>
      <c r="C335" s="10">
        <v>330</v>
      </c>
      <c r="D335" s="19">
        <v>0.19</v>
      </c>
      <c r="E335" s="11">
        <v>0.308</v>
      </c>
      <c r="F335" s="10">
        <f t="shared" si="53"/>
        <v>810</v>
      </c>
      <c r="G335" s="10">
        <f t="shared" si="54"/>
        <v>0.33</v>
      </c>
      <c r="H335" s="12">
        <f t="shared" si="55"/>
        <v>0.40740740740740738</v>
      </c>
      <c r="I335" s="12">
        <v>0.02</v>
      </c>
      <c r="J335" s="12">
        <v>7.0000000000000007E-2</v>
      </c>
      <c r="K335" s="12">
        <f t="shared" si="56"/>
        <v>0.15320148148148147</v>
      </c>
      <c r="L335" s="12">
        <f t="shared" si="57"/>
        <v>0.6506088888888889</v>
      </c>
      <c r="M335" s="2"/>
      <c r="N335" s="2"/>
      <c r="O335" s="2">
        <f t="shared" si="52"/>
        <v>325.30444444444447</v>
      </c>
      <c r="P335" s="2"/>
      <c r="Q335" s="2"/>
      <c r="R335" s="28">
        <f t="shared" si="58"/>
        <v>23.547400611620795</v>
      </c>
    </row>
    <row r="336" spans="1:18" hidden="1" x14ac:dyDescent="0.25">
      <c r="A336" s="16">
        <v>45563</v>
      </c>
      <c r="B336" s="2" t="s">
        <v>143</v>
      </c>
      <c r="C336" s="2">
        <v>400</v>
      </c>
      <c r="D336" s="19">
        <v>0.61</v>
      </c>
      <c r="E336" s="11">
        <v>0.39</v>
      </c>
      <c r="F336" s="2">
        <f t="shared" si="53"/>
        <v>390</v>
      </c>
      <c r="G336" s="10">
        <f t="shared" si="54"/>
        <v>0.4</v>
      </c>
      <c r="H336" s="12">
        <f t="shared" si="55"/>
        <v>1.0256410256410255</v>
      </c>
      <c r="I336" s="12">
        <v>0.02</v>
      </c>
      <c r="J336" s="12">
        <v>7.0000000000000007E-2</v>
      </c>
      <c r="K336" s="12">
        <f t="shared" si="56"/>
        <v>0.43509999999999999</v>
      </c>
      <c r="L336" s="12">
        <f t="shared" si="57"/>
        <v>1.5507410256410257</v>
      </c>
      <c r="M336" s="2"/>
      <c r="N336" s="2"/>
      <c r="O336" s="2">
        <f t="shared" si="52"/>
        <v>775.37051282051289</v>
      </c>
      <c r="P336" s="2"/>
      <c r="Q336" s="2"/>
      <c r="R336" s="28">
        <f t="shared" si="58"/>
        <v>28.057553956834532</v>
      </c>
    </row>
    <row r="337" spans="1:18" hidden="1" x14ac:dyDescent="0.25">
      <c r="A337" s="16">
        <v>45563</v>
      </c>
      <c r="B337" s="2" t="s">
        <v>138</v>
      </c>
      <c r="C337" s="2">
        <v>400</v>
      </c>
      <c r="D337" s="19">
        <v>0.61</v>
      </c>
      <c r="E337" s="11">
        <v>0.41799999999999998</v>
      </c>
      <c r="F337" s="2">
        <f t="shared" si="53"/>
        <v>390</v>
      </c>
      <c r="G337" s="10">
        <f t="shared" si="54"/>
        <v>0.4</v>
      </c>
      <c r="H337" s="12">
        <f t="shared" si="55"/>
        <v>1.0256410256410255</v>
      </c>
      <c r="I337" s="12">
        <v>0.02</v>
      </c>
      <c r="J337" s="12">
        <v>7.0000000000000007E-2</v>
      </c>
      <c r="K337" s="12">
        <f t="shared" si="56"/>
        <v>0.4663379487179487</v>
      </c>
      <c r="L337" s="12">
        <f t="shared" si="57"/>
        <v>1.5819789743589743</v>
      </c>
      <c r="M337" s="2">
        <f>L337*250</f>
        <v>395.49474358974356</v>
      </c>
      <c r="N337" s="2"/>
      <c r="O337" s="2"/>
      <c r="P337" s="2"/>
      <c r="Q337" s="2"/>
      <c r="R337" s="28">
        <f t="shared" si="58"/>
        <v>29.478138222849083</v>
      </c>
    </row>
    <row r="338" spans="1:18" hidden="1" x14ac:dyDescent="0.25">
      <c r="A338" s="16">
        <v>45563</v>
      </c>
      <c r="B338" s="2" t="s">
        <v>118</v>
      </c>
      <c r="C338" s="2">
        <v>260</v>
      </c>
      <c r="D338" s="19">
        <v>0.35</v>
      </c>
      <c r="E338" s="11">
        <v>0.43</v>
      </c>
      <c r="F338" s="2">
        <f t="shared" si="53"/>
        <v>650</v>
      </c>
      <c r="G338" s="10">
        <f t="shared" si="54"/>
        <v>0.26</v>
      </c>
      <c r="H338" s="12">
        <f t="shared" si="55"/>
        <v>0.4</v>
      </c>
      <c r="I338" s="12">
        <v>0.02</v>
      </c>
      <c r="J338" s="12">
        <v>7.0000000000000007E-2</v>
      </c>
      <c r="K338" s="12">
        <f t="shared" si="56"/>
        <v>0.21070000000000003</v>
      </c>
      <c r="L338" s="12">
        <f t="shared" si="57"/>
        <v>0.7007000000000001</v>
      </c>
      <c r="M338" s="2">
        <f>L338*250</f>
        <v>175.17500000000001</v>
      </c>
      <c r="N338" s="2"/>
      <c r="O338" s="2"/>
      <c r="P338" s="2"/>
      <c r="Q338" s="2"/>
      <c r="R338" s="28">
        <f t="shared" si="58"/>
        <v>30.06993006993007</v>
      </c>
    </row>
    <row r="339" spans="1:18" hidden="1" x14ac:dyDescent="0.25">
      <c r="A339" s="16">
        <v>45563</v>
      </c>
      <c r="B339" s="2" t="s">
        <v>106</v>
      </c>
      <c r="C339" s="2">
        <v>260</v>
      </c>
      <c r="D339" s="19">
        <v>7.0000000000000007E-2</v>
      </c>
      <c r="E339" s="11">
        <v>0.33</v>
      </c>
      <c r="F339" s="2">
        <f t="shared" si="53"/>
        <v>930</v>
      </c>
      <c r="G339" s="10">
        <f t="shared" si="54"/>
        <v>0.26</v>
      </c>
      <c r="H339" s="12">
        <f t="shared" si="55"/>
        <v>0.27956989247311825</v>
      </c>
      <c r="I339" s="12">
        <v>0.02</v>
      </c>
      <c r="J339" s="12">
        <v>7.0000000000000007E-2</v>
      </c>
      <c r="K339" s="12">
        <f t="shared" si="56"/>
        <v>0.12195806451612903</v>
      </c>
      <c r="L339" s="12">
        <f t="shared" si="57"/>
        <v>0.49152795698924734</v>
      </c>
      <c r="M339" s="2"/>
      <c r="N339" s="2"/>
      <c r="O339" s="2">
        <f>L339*500</f>
        <v>245.76397849462367</v>
      </c>
      <c r="P339" s="2"/>
      <c r="Q339" s="2"/>
      <c r="R339" s="28">
        <f t="shared" si="58"/>
        <v>24.81203007518797</v>
      </c>
    </row>
    <row r="340" spans="1:18" hidden="1" x14ac:dyDescent="0.25">
      <c r="A340" s="16">
        <v>45563</v>
      </c>
      <c r="B340" s="2" t="s">
        <v>111</v>
      </c>
      <c r="C340" s="2">
        <v>650</v>
      </c>
      <c r="D340" s="19">
        <v>0.37</v>
      </c>
      <c r="E340" s="11">
        <v>0.23200000000000001</v>
      </c>
      <c r="F340" s="2">
        <f t="shared" si="53"/>
        <v>630</v>
      </c>
      <c r="G340" s="10">
        <f t="shared" si="54"/>
        <v>0.65</v>
      </c>
      <c r="H340" s="12">
        <f t="shared" si="55"/>
        <v>1.0317460317460319</v>
      </c>
      <c r="I340" s="12">
        <v>0.02</v>
      </c>
      <c r="J340" s="12">
        <v>7.0000000000000007E-2</v>
      </c>
      <c r="K340" s="12">
        <f t="shared" si="56"/>
        <v>0.2602450793650794</v>
      </c>
      <c r="L340" s="12">
        <f t="shared" si="57"/>
        <v>1.3819911111111114</v>
      </c>
      <c r="M340" s="2">
        <f>L340*250</f>
        <v>345.49777777777786</v>
      </c>
      <c r="N340" s="2"/>
      <c r="O340" s="2"/>
      <c r="P340" s="2"/>
      <c r="Q340" s="2"/>
      <c r="R340" s="28">
        <f t="shared" si="58"/>
        <v>18.831168831168831</v>
      </c>
    </row>
    <row r="341" spans="1:18" hidden="1" x14ac:dyDescent="0.25">
      <c r="A341" s="16">
        <v>45563</v>
      </c>
      <c r="B341" s="2" t="s">
        <v>112</v>
      </c>
      <c r="C341" s="2">
        <v>650</v>
      </c>
      <c r="D341" s="19">
        <v>0.37</v>
      </c>
      <c r="E341" s="11">
        <v>0.20399999999999999</v>
      </c>
      <c r="F341" s="2">
        <f t="shared" si="53"/>
        <v>630</v>
      </c>
      <c r="G341" s="10">
        <f t="shared" si="54"/>
        <v>0.65</v>
      </c>
      <c r="H341" s="12">
        <f t="shared" si="55"/>
        <v>1.0317460317460319</v>
      </c>
      <c r="I341" s="12">
        <v>0.02</v>
      </c>
      <c r="J341" s="12">
        <v>7.0000000000000007E-2</v>
      </c>
      <c r="K341" s="12">
        <f t="shared" si="56"/>
        <v>0.2288361904761905</v>
      </c>
      <c r="L341" s="12">
        <f t="shared" si="57"/>
        <v>1.3505822222222224</v>
      </c>
      <c r="M341" s="2"/>
      <c r="N341" s="2"/>
      <c r="O341" s="2">
        <f>L341*500</f>
        <v>675.29111111111115</v>
      </c>
      <c r="P341" s="2"/>
      <c r="Q341" s="2"/>
      <c r="R341" s="28">
        <f t="shared" si="58"/>
        <v>16.943521594684384</v>
      </c>
    </row>
    <row r="342" spans="1:18" hidden="1" x14ac:dyDescent="0.25">
      <c r="A342" s="16">
        <v>45563</v>
      </c>
      <c r="B342" s="2" t="s">
        <v>113</v>
      </c>
      <c r="C342" s="2">
        <v>650</v>
      </c>
      <c r="D342" s="19">
        <v>0.37</v>
      </c>
      <c r="E342" s="11">
        <v>0.41</v>
      </c>
      <c r="F342" s="2">
        <f t="shared" si="53"/>
        <v>630</v>
      </c>
      <c r="G342" s="10">
        <f t="shared" si="54"/>
        <v>0.65</v>
      </c>
      <c r="H342" s="12">
        <f t="shared" si="55"/>
        <v>1.0317460317460319</v>
      </c>
      <c r="I342" s="12">
        <v>0.02</v>
      </c>
      <c r="J342" s="12">
        <v>7.0000000000000007E-2</v>
      </c>
      <c r="K342" s="12">
        <f t="shared" si="56"/>
        <v>0.45991587301587306</v>
      </c>
      <c r="L342" s="12">
        <f t="shared" si="57"/>
        <v>1.5816619047619049</v>
      </c>
      <c r="M342" s="2">
        <f>L342*250</f>
        <v>395.41547619047623</v>
      </c>
      <c r="N342" s="2"/>
      <c r="O342" s="2"/>
      <c r="P342" s="2"/>
      <c r="Q342" s="2"/>
      <c r="R342" s="28">
        <f t="shared" si="58"/>
        <v>29.078014184397166</v>
      </c>
    </row>
    <row r="343" spans="1:18" ht="0.75" hidden="1" customHeight="1" x14ac:dyDescent="0.25">
      <c r="A343" s="16">
        <v>45563</v>
      </c>
      <c r="B343" s="2" t="s">
        <v>90</v>
      </c>
      <c r="C343" s="2"/>
      <c r="D343" s="19">
        <v>0</v>
      </c>
      <c r="E343" s="11">
        <v>0</v>
      </c>
      <c r="F343" s="2">
        <f t="shared" si="53"/>
        <v>1000</v>
      </c>
      <c r="G343" s="10">
        <f t="shared" si="54"/>
        <v>0</v>
      </c>
      <c r="H343" s="12">
        <f t="shared" si="55"/>
        <v>0</v>
      </c>
      <c r="I343" s="12">
        <v>0.02</v>
      </c>
      <c r="J343" s="12">
        <v>7.0000000000000007E-2</v>
      </c>
      <c r="K343" s="12">
        <f t="shared" si="56"/>
        <v>0</v>
      </c>
      <c r="L343" s="12">
        <f t="shared" si="57"/>
        <v>9.0000000000000011E-2</v>
      </c>
      <c r="M343" s="2"/>
      <c r="N343" s="2"/>
      <c r="O343" s="2">
        <f>L343*500</f>
        <v>45.000000000000007</v>
      </c>
      <c r="P343" s="2"/>
      <c r="Q343" s="2"/>
      <c r="R343" s="28">
        <f t="shared" si="58"/>
        <v>0</v>
      </c>
    </row>
    <row r="344" spans="1:18" hidden="1" x14ac:dyDescent="0.25">
      <c r="A344" s="16">
        <v>45563</v>
      </c>
      <c r="B344" s="2" t="s">
        <v>126</v>
      </c>
      <c r="C344" s="2">
        <v>580</v>
      </c>
      <c r="D344" s="19">
        <v>0</v>
      </c>
      <c r="E344" s="11">
        <v>0.33</v>
      </c>
      <c r="F344" s="2">
        <f t="shared" si="53"/>
        <v>1000</v>
      </c>
      <c r="G344" s="10">
        <f t="shared" si="54"/>
        <v>0.57999999999999996</v>
      </c>
      <c r="H344" s="12">
        <f t="shared" si="55"/>
        <v>0.57999999999999996</v>
      </c>
      <c r="I344" s="12">
        <v>0.02</v>
      </c>
      <c r="J344" s="12">
        <v>7.0000000000000007E-2</v>
      </c>
      <c r="K344" s="12">
        <f t="shared" si="56"/>
        <v>0.22109999999999999</v>
      </c>
      <c r="L344" s="12">
        <f t="shared" si="57"/>
        <v>0.89109999999999989</v>
      </c>
      <c r="M344" s="2"/>
      <c r="N344" s="2"/>
      <c r="O344" s="2">
        <f>L344*500</f>
        <v>445.54999999999995</v>
      </c>
      <c r="P344" s="2"/>
      <c r="Q344" s="2"/>
      <c r="R344" s="28">
        <f t="shared" si="58"/>
        <v>24.812030075187973</v>
      </c>
    </row>
    <row r="345" spans="1:18" hidden="1" x14ac:dyDescent="0.25">
      <c r="A345" s="16">
        <v>45563</v>
      </c>
      <c r="B345" s="2" t="s">
        <v>94</v>
      </c>
      <c r="C345" s="2">
        <v>130</v>
      </c>
      <c r="D345" s="19"/>
      <c r="E345" s="11"/>
      <c r="F345" s="2">
        <f t="shared" si="53"/>
        <v>1000</v>
      </c>
      <c r="G345" s="10">
        <f t="shared" si="54"/>
        <v>0.13</v>
      </c>
      <c r="H345" s="12">
        <f t="shared" si="55"/>
        <v>0.13</v>
      </c>
      <c r="I345" s="12">
        <v>0.02</v>
      </c>
      <c r="J345" s="12">
        <v>7.0000000000000007E-2</v>
      </c>
      <c r="K345" s="12">
        <f t="shared" si="56"/>
        <v>0</v>
      </c>
      <c r="L345" s="12">
        <f t="shared" si="57"/>
        <v>0.22</v>
      </c>
      <c r="M345" s="2"/>
      <c r="N345" s="2"/>
      <c r="O345" s="2">
        <f>L345*500</f>
        <v>110</v>
      </c>
      <c r="P345" s="2"/>
      <c r="Q345" s="2"/>
      <c r="R345" s="28">
        <f t="shared" si="58"/>
        <v>0</v>
      </c>
    </row>
    <row r="346" spans="1:18" hidden="1" x14ac:dyDescent="0.25">
      <c r="A346" s="16">
        <v>45563</v>
      </c>
      <c r="B346" s="2" t="s">
        <v>154</v>
      </c>
      <c r="C346" s="2">
        <v>130</v>
      </c>
      <c r="D346" s="19"/>
      <c r="E346" s="11"/>
      <c r="F346" s="2">
        <f t="shared" si="53"/>
        <v>1000</v>
      </c>
      <c r="G346" s="10">
        <f t="shared" si="54"/>
        <v>0.13</v>
      </c>
      <c r="H346" s="12">
        <f t="shared" si="55"/>
        <v>0.13</v>
      </c>
      <c r="I346" s="12">
        <v>0.02</v>
      </c>
      <c r="J346" s="12">
        <v>7.0000000000000007E-2</v>
      </c>
      <c r="K346" s="12">
        <f t="shared" si="56"/>
        <v>0</v>
      </c>
      <c r="L346" s="12">
        <f t="shared" si="57"/>
        <v>0.22</v>
      </c>
      <c r="M346" s="2"/>
      <c r="N346" s="2"/>
      <c r="O346" s="2">
        <f>L346*500</f>
        <v>110</v>
      </c>
      <c r="P346" s="2"/>
      <c r="Q346" s="2"/>
      <c r="R346" s="28">
        <f t="shared" si="58"/>
        <v>0</v>
      </c>
    </row>
    <row r="347" spans="1:18" hidden="1" x14ac:dyDescent="0.25">
      <c r="A347" s="16">
        <v>45564</v>
      </c>
      <c r="B347" s="2" t="s">
        <v>111</v>
      </c>
      <c r="C347" s="2">
        <v>680</v>
      </c>
      <c r="D347" s="19">
        <v>0.32</v>
      </c>
      <c r="E347" s="11">
        <v>0.26700000000000002</v>
      </c>
      <c r="F347" s="2">
        <f t="shared" si="53"/>
        <v>680</v>
      </c>
      <c r="G347" s="10">
        <f t="shared" si="54"/>
        <v>0.68</v>
      </c>
      <c r="H347" s="12">
        <f t="shared" si="55"/>
        <v>1</v>
      </c>
      <c r="I347" s="12">
        <v>0.02</v>
      </c>
      <c r="J347" s="12">
        <v>7.0000000000000007E-2</v>
      </c>
      <c r="K347" s="12">
        <f t="shared" si="56"/>
        <v>0.29103000000000001</v>
      </c>
      <c r="L347" s="12">
        <f t="shared" si="57"/>
        <v>1.38103</v>
      </c>
      <c r="M347" s="2">
        <f>L347*250</f>
        <v>345.25749999999999</v>
      </c>
      <c r="N347" s="2"/>
      <c r="O347" s="2"/>
      <c r="P347" s="2"/>
      <c r="Q347" s="2"/>
      <c r="R347" s="28">
        <f t="shared" si="58"/>
        <v>21.073401736385165</v>
      </c>
    </row>
    <row r="348" spans="1:18" hidden="1" x14ac:dyDescent="0.25">
      <c r="A348" s="16">
        <v>45564</v>
      </c>
      <c r="B348" s="2" t="s">
        <v>94</v>
      </c>
      <c r="C348" s="2">
        <v>170</v>
      </c>
      <c r="D348" s="19">
        <v>-0.03</v>
      </c>
      <c r="E348" s="11">
        <v>0.17</v>
      </c>
      <c r="F348" s="2">
        <f t="shared" si="53"/>
        <v>1030</v>
      </c>
      <c r="G348" s="10">
        <f t="shared" si="54"/>
        <v>0.17</v>
      </c>
      <c r="H348" s="12">
        <f t="shared" si="55"/>
        <v>0.1650485436893204</v>
      </c>
      <c r="I348" s="12">
        <v>0.02</v>
      </c>
      <c r="J348" s="12">
        <v>7.0000000000000007E-2</v>
      </c>
      <c r="K348" s="12">
        <f t="shared" si="56"/>
        <v>4.3358252427184468E-2</v>
      </c>
      <c r="L348" s="12">
        <f t="shared" si="57"/>
        <v>0.29840679611650489</v>
      </c>
      <c r="M348" s="2"/>
      <c r="N348" s="2"/>
      <c r="O348" s="2">
        <f>L348*500</f>
        <v>149.20339805825245</v>
      </c>
      <c r="P348" s="2"/>
      <c r="Q348" s="2"/>
      <c r="R348" s="28">
        <f t="shared" si="58"/>
        <v>14.529914529914528</v>
      </c>
    </row>
    <row r="349" spans="1:18" hidden="1" x14ac:dyDescent="0.25">
      <c r="A349" s="16">
        <v>45564</v>
      </c>
      <c r="B349" s="2" t="s">
        <v>154</v>
      </c>
      <c r="C349" s="2">
        <v>170</v>
      </c>
      <c r="D349" s="19">
        <v>-0.03</v>
      </c>
      <c r="E349" s="11">
        <v>0.17</v>
      </c>
      <c r="F349" s="2">
        <f t="shared" si="53"/>
        <v>1030</v>
      </c>
      <c r="G349" s="10">
        <f t="shared" si="54"/>
        <v>0.17</v>
      </c>
      <c r="H349" s="12">
        <f t="shared" si="55"/>
        <v>0.1650485436893204</v>
      </c>
      <c r="I349" s="12">
        <v>0.02</v>
      </c>
      <c r="J349" s="12">
        <v>7.0000000000000007E-2</v>
      </c>
      <c r="K349" s="12">
        <f t="shared" si="56"/>
        <v>4.3358252427184468E-2</v>
      </c>
      <c r="L349" s="12">
        <f t="shared" si="57"/>
        <v>0.29840679611650489</v>
      </c>
      <c r="M349" s="2"/>
      <c r="N349" s="2"/>
      <c r="O349" s="2">
        <f>L349*500</f>
        <v>149.20339805825245</v>
      </c>
      <c r="P349" s="2"/>
      <c r="Q349" s="2"/>
      <c r="R349" s="28">
        <f t="shared" si="58"/>
        <v>14.529914529914528</v>
      </c>
    </row>
    <row r="350" spans="1:18" hidden="1" x14ac:dyDescent="0.25">
      <c r="A350" s="16">
        <v>45564</v>
      </c>
      <c r="B350" s="2" t="s">
        <v>92</v>
      </c>
      <c r="C350" s="2">
        <v>413</v>
      </c>
      <c r="D350" s="19">
        <v>-0.21</v>
      </c>
      <c r="E350" s="11">
        <v>0.51</v>
      </c>
      <c r="F350" s="10">
        <f t="shared" si="53"/>
        <v>1210</v>
      </c>
      <c r="G350" s="10">
        <f t="shared" si="54"/>
        <v>0.41299999999999998</v>
      </c>
      <c r="H350" s="12">
        <f t="shared" si="55"/>
        <v>0.34132231404958679</v>
      </c>
      <c r="I350" s="12">
        <v>0.02</v>
      </c>
      <c r="J350" s="12">
        <v>7.0000000000000007E-2</v>
      </c>
      <c r="K350" s="12">
        <f t="shared" si="56"/>
        <v>0.21997438016528928</v>
      </c>
      <c r="L350" s="12">
        <f t="shared" si="57"/>
        <v>0.65129669421487613</v>
      </c>
      <c r="M350" s="2"/>
      <c r="N350" s="2"/>
      <c r="O350" s="2">
        <f>L350*500</f>
        <v>325.64834710743804</v>
      </c>
      <c r="P350" s="2"/>
      <c r="Q350" s="2"/>
      <c r="R350" s="28">
        <f t="shared" si="58"/>
        <v>33.774834437086092</v>
      </c>
    </row>
    <row r="351" spans="1:18" hidden="1" x14ac:dyDescent="0.25">
      <c r="A351" s="16">
        <v>45564</v>
      </c>
      <c r="B351" s="2" t="s">
        <v>108</v>
      </c>
      <c r="C351" s="2">
        <v>413</v>
      </c>
      <c r="D351" s="19">
        <v>-0.21</v>
      </c>
      <c r="E351" s="11">
        <v>0.37</v>
      </c>
      <c r="F351" s="10">
        <f t="shared" si="53"/>
        <v>1210</v>
      </c>
      <c r="G351" s="10">
        <f t="shared" si="54"/>
        <v>0.41299999999999998</v>
      </c>
      <c r="H351" s="12">
        <f t="shared" si="55"/>
        <v>0.34132231404958679</v>
      </c>
      <c r="I351" s="12">
        <v>0.02</v>
      </c>
      <c r="J351" s="12">
        <v>7.0000000000000007E-2</v>
      </c>
      <c r="K351" s="12">
        <f t="shared" si="56"/>
        <v>0.15958925619834713</v>
      </c>
      <c r="L351" s="12">
        <f t="shared" si="57"/>
        <v>0.59091157024793395</v>
      </c>
      <c r="M351" s="2"/>
      <c r="N351" s="2"/>
      <c r="O351" s="2">
        <f>L351*500</f>
        <v>295.45578512396696</v>
      </c>
      <c r="P351" s="2"/>
      <c r="Q351" s="2"/>
      <c r="R351" s="28">
        <f t="shared" si="58"/>
        <v>27.007299270072991</v>
      </c>
    </row>
    <row r="352" spans="1:18" hidden="1" x14ac:dyDescent="0.25">
      <c r="A352" s="16">
        <v>45564</v>
      </c>
      <c r="B352" s="10" t="s">
        <v>90</v>
      </c>
      <c r="C352" s="10">
        <v>360</v>
      </c>
      <c r="D352" s="19">
        <v>0.21</v>
      </c>
      <c r="E352" s="11">
        <v>0.19</v>
      </c>
      <c r="F352" s="10">
        <f t="shared" si="53"/>
        <v>790</v>
      </c>
      <c r="G352" s="10">
        <f t="shared" si="54"/>
        <v>0.36</v>
      </c>
      <c r="H352" s="12">
        <f t="shared" si="55"/>
        <v>0.45569620253164556</v>
      </c>
      <c r="I352" s="12">
        <v>0.02</v>
      </c>
      <c r="J352" s="12">
        <v>7.0000000000000007E-2</v>
      </c>
      <c r="K352" s="12">
        <f t="shared" si="56"/>
        <v>0.10368227848101268</v>
      </c>
      <c r="L352" s="12">
        <f t="shared" si="57"/>
        <v>0.64937848101265827</v>
      </c>
      <c r="M352" s="2"/>
      <c r="N352" s="2"/>
      <c r="O352" s="2">
        <f>L352*500</f>
        <v>324.68924050632916</v>
      </c>
      <c r="P352" s="2"/>
      <c r="Q352" s="2"/>
      <c r="R352" s="28">
        <f t="shared" si="58"/>
        <v>15.966386554621851</v>
      </c>
    </row>
    <row r="353" spans="1:18" hidden="1" x14ac:dyDescent="0.25">
      <c r="A353" s="16">
        <v>45566</v>
      </c>
      <c r="B353" s="2" t="s">
        <v>111</v>
      </c>
      <c r="C353" s="2">
        <v>680</v>
      </c>
      <c r="D353" s="19">
        <v>0.33</v>
      </c>
      <c r="E353" s="11">
        <v>0.25</v>
      </c>
      <c r="F353" s="2">
        <f t="shared" si="53"/>
        <v>670</v>
      </c>
      <c r="G353" s="10">
        <f t="shared" si="54"/>
        <v>0.68</v>
      </c>
      <c r="H353" s="12">
        <f t="shared" si="55"/>
        <v>1.0149253731343284</v>
      </c>
      <c r="I353" s="12">
        <v>0.02</v>
      </c>
      <c r="J353" s="12">
        <v>7.0000000000000007E-2</v>
      </c>
      <c r="K353" s="12">
        <f t="shared" si="56"/>
        <v>0.27623134328358212</v>
      </c>
      <c r="L353" s="12">
        <f t="shared" si="57"/>
        <v>1.3811567164179106</v>
      </c>
      <c r="M353" s="2">
        <f>L353*250</f>
        <v>345.28917910447763</v>
      </c>
      <c r="N353" s="2"/>
      <c r="O353" s="2"/>
      <c r="P353" s="2"/>
      <c r="Q353" s="2"/>
      <c r="R353" s="28">
        <f t="shared" si="58"/>
        <v>20</v>
      </c>
    </row>
    <row r="354" spans="1:18" hidden="1" x14ac:dyDescent="0.25">
      <c r="A354" s="16">
        <v>45566</v>
      </c>
      <c r="B354" s="2" t="s">
        <v>112</v>
      </c>
      <c r="C354" s="2">
        <v>680</v>
      </c>
      <c r="D354" s="19">
        <v>0.33</v>
      </c>
      <c r="E354" s="11">
        <v>0.223</v>
      </c>
      <c r="F354" s="2">
        <f t="shared" si="53"/>
        <v>670</v>
      </c>
      <c r="G354" s="10">
        <f t="shared" si="54"/>
        <v>0.68</v>
      </c>
      <c r="H354" s="12">
        <f t="shared" si="55"/>
        <v>1.0149253731343284</v>
      </c>
      <c r="I354" s="12">
        <v>0.02</v>
      </c>
      <c r="J354" s="12">
        <v>7.0000000000000007E-2</v>
      </c>
      <c r="K354" s="12">
        <f t="shared" si="56"/>
        <v>0.24639835820895525</v>
      </c>
      <c r="L354" s="12">
        <f t="shared" si="57"/>
        <v>1.3513237313432838</v>
      </c>
      <c r="M354" s="2"/>
      <c r="N354" s="2"/>
      <c r="O354" s="2">
        <f t="shared" ref="O354:O363" si="59">L354*500</f>
        <v>675.66186567164186</v>
      </c>
      <c r="P354" s="2"/>
      <c r="Q354" s="2"/>
      <c r="R354" s="28">
        <f t="shared" si="58"/>
        <v>18.233851185609158</v>
      </c>
    </row>
    <row r="355" spans="1:18" hidden="1" x14ac:dyDescent="0.25">
      <c r="A355" s="16">
        <v>45566</v>
      </c>
      <c r="B355" s="10" t="s">
        <v>94</v>
      </c>
      <c r="C355" s="10">
        <v>120</v>
      </c>
      <c r="D355" s="19">
        <v>0.04</v>
      </c>
      <c r="E355" s="11">
        <v>0.39</v>
      </c>
      <c r="F355" s="10">
        <f t="shared" si="53"/>
        <v>960</v>
      </c>
      <c r="G355" s="10">
        <f t="shared" si="54"/>
        <v>0.12</v>
      </c>
      <c r="H355" s="12">
        <f t="shared" si="55"/>
        <v>0.125</v>
      </c>
      <c r="I355" s="12">
        <v>0.02</v>
      </c>
      <c r="J355" s="12">
        <v>7.0000000000000007E-2</v>
      </c>
      <c r="K355" s="12">
        <f t="shared" si="56"/>
        <v>8.3850000000000008E-2</v>
      </c>
      <c r="L355" s="12">
        <f t="shared" si="57"/>
        <v>0.29885</v>
      </c>
      <c r="M355" s="2"/>
      <c r="N355" s="2"/>
      <c r="O355" s="2">
        <f t="shared" si="59"/>
        <v>149.42500000000001</v>
      </c>
      <c r="P355" s="2"/>
      <c r="Q355" s="2"/>
      <c r="R355" s="28">
        <f t="shared" si="58"/>
        <v>28.057553956834536</v>
      </c>
    </row>
    <row r="356" spans="1:18" hidden="1" x14ac:dyDescent="0.25">
      <c r="A356" s="16">
        <v>45566</v>
      </c>
      <c r="B356" s="10" t="s">
        <v>95</v>
      </c>
      <c r="C356" s="10">
        <v>120</v>
      </c>
      <c r="D356" s="19">
        <v>0.04</v>
      </c>
      <c r="E356" s="11">
        <v>0.39</v>
      </c>
      <c r="F356" s="10">
        <f t="shared" si="53"/>
        <v>960</v>
      </c>
      <c r="G356" s="10">
        <f t="shared" si="54"/>
        <v>0.12</v>
      </c>
      <c r="H356" s="12">
        <f t="shared" si="55"/>
        <v>0.125</v>
      </c>
      <c r="I356" s="12">
        <v>0.02</v>
      </c>
      <c r="J356" s="12">
        <v>7.0000000000000007E-2</v>
      </c>
      <c r="K356" s="12">
        <f t="shared" si="56"/>
        <v>8.3850000000000008E-2</v>
      </c>
      <c r="L356" s="12">
        <f t="shared" si="57"/>
        <v>0.29885</v>
      </c>
      <c r="M356" s="2"/>
      <c r="N356" s="2"/>
      <c r="O356" s="2">
        <f t="shared" si="59"/>
        <v>149.42500000000001</v>
      </c>
      <c r="P356" s="2"/>
      <c r="Q356" s="2"/>
      <c r="R356" s="28">
        <f t="shared" si="58"/>
        <v>28.057553956834536</v>
      </c>
    </row>
    <row r="357" spans="1:18" hidden="1" x14ac:dyDescent="0.25">
      <c r="A357" s="16">
        <v>45566</v>
      </c>
      <c r="B357" s="2" t="s">
        <v>93</v>
      </c>
      <c r="C357" s="2">
        <v>580</v>
      </c>
      <c r="D357" s="19">
        <v>6.0499999999999998E-2</v>
      </c>
      <c r="E357" s="11">
        <v>0.11799999999999999</v>
      </c>
      <c r="F357" s="10">
        <f t="shared" si="53"/>
        <v>939.5</v>
      </c>
      <c r="G357" s="10">
        <f t="shared" si="54"/>
        <v>0.57999999999999996</v>
      </c>
      <c r="H357" s="12">
        <f t="shared" si="55"/>
        <v>0.61734965407131448</v>
      </c>
      <c r="I357" s="12">
        <v>0.02</v>
      </c>
      <c r="J357" s="12">
        <v>7.0000000000000007E-2</v>
      </c>
      <c r="K357" s="12">
        <f t="shared" si="56"/>
        <v>8.3467259180415102E-2</v>
      </c>
      <c r="L357" s="12">
        <f t="shared" si="57"/>
        <v>0.79081691325172954</v>
      </c>
      <c r="M357" s="2"/>
      <c r="N357" s="2"/>
      <c r="O357" s="2">
        <f t="shared" si="59"/>
        <v>395.40845662586474</v>
      </c>
      <c r="P357" s="2"/>
      <c r="Q357" s="2"/>
      <c r="R357" s="28">
        <f t="shared" si="58"/>
        <v>10.554561717352415</v>
      </c>
    </row>
    <row r="358" spans="1:18" hidden="1" x14ac:dyDescent="0.25">
      <c r="A358" s="16">
        <v>45566</v>
      </c>
      <c r="B358" s="2" t="s">
        <v>137</v>
      </c>
      <c r="C358" s="2">
        <v>230</v>
      </c>
      <c r="D358" s="19">
        <v>6.25E-2</v>
      </c>
      <c r="E358" s="11">
        <v>0.46300000000000002</v>
      </c>
      <c r="F358" s="10">
        <f t="shared" si="53"/>
        <v>937.5</v>
      </c>
      <c r="G358" s="10">
        <f t="shared" si="54"/>
        <v>0.23</v>
      </c>
      <c r="H358" s="12">
        <f t="shared" si="55"/>
        <v>0.24533333333333332</v>
      </c>
      <c r="I358" s="12">
        <v>0.02</v>
      </c>
      <c r="J358" s="12">
        <v>7.0000000000000007E-2</v>
      </c>
      <c r="K358" s="12">
        <f t="shared" si="56"/>
        <v>0.15525933333333333</v>
      </c>
      <c r="L358" s="12">
        <f t="shared" si="57"/>
        <v>0.49059266666666668</v>
      </c>
      <c r="M358" s="2"/>
      <c r="N358" s="2"/>
      <c r="O358" s="2">
        <f t="shared" si="59"/>
        <v>245.29633333333334</v>
      </c>
      <c r="P358" s="2"/>
      <c r="Q358" s="2"/>
      <c r="R358" s="28">
        <f t="shared" si="58"/>
        <v>31.647300068352699</v>
      </c>
    </row>
    <row r="359" spans="1:18" hidden="1" x14ac:dyDescent="0.25">
      <c r="A359" s="16">
        <v>45566</v>
      </c>
      <c r="B359" s="10" t="s">
        <v>110</v>
      </c>
      <c r="C359" s="10">
        <v>120</v>
      </c>
      <c r="D359" s="19">
        <v>6.6E-3</v>
      </c>
      <c r="E359" s="11">
        <v>0.19</v>
      </c>
      <c r="F359" s="10">
        <f t="shared" si="53"/>
        <v>993.4</v>
      </c>
      <c r="G359" s="10">
        <f t="shared" si="54"/>
        <v>0.12</v>
      </c>
      <c r="H359" s="12">
        <f t="shared" si="55"/>
        <v>0.12079726192872962</v>
      </c>
      <c r="I359" s="12">
        <v>0.02</v>
      </c>
      <c r="J359" s="12">
        <v>7.0000000000000007E-2</v>
      </c>
      <c r="K359" s="12">
        <f t="shared" si="56"/>
        <v>4.0051479766458634E-2</v>
      </c>
      <c r="L359" s="12">
        <f t="shared" si="57"/>
        <v>0.25084874169518828</v>
      </c>
      <c r="M359" s="12"/>
      <c r="N359" s="12"/>
      <c r="O359" s="12">
        <f t="shared" si="59"/>
        <v>125.42437084759415</v>
      </c>
      <c r="P359" s="12"/>
      <c r="Q359" s="12"/>
      <c r="R359" s="28">
        <f t="shared" si="58"/>
        <v>15.966386554621849</v>
      </c>
    </row>
    <row r="360" spans="1:18" hidden="1" x14ac:dyDescent="0.25">
      <c r="A360" s="16">
        <v>45567</v>
      </c>
      <c r="B360" s="2" t="s">
        <v>94</v>
      </c>
      <c r="C360" s="10">
        <v>140</v>
      </c>
      <c r="D360" s="19">
        <v>0.04</v>
      </c>
      <c r="E360" s="11">
        <v>0.27</v>
      </c>
      <c r="F360" s="10">
        <f t="shared" si="53"/>
        <v>960</v>
      </c>
      <c r="G360" s="10">
        <f t="shared" si="54"/>
        <v>0.14000000000000001</v>
      </c>
      <c r="H360" s="12">
        <f t="shared" si="55"/>
        <v>0.14583333333333334</v>
      </c>
      <c r="I360" s="12">
        <v>0.02</v>
      </c>
      <c r="J360" s="12">
        <v>7.0000000000000007E-2</v>
      </c>
      <c r="K360" s="12">
        <f t="shared" si="56"/>
        <v>6.3675000000000009E-2</v>
      </c>
      <c r="L360" s="12">
        <f t="shared" si="57"/>
        <v>0.29950833333333338</v>
      </c>
      <c r="M360" s="12"/>
      <c r="N360" s="12"/>
      <c r="O360" s="12">
        <f t="shared" si="59"/>
        <v>149.75416666666669</v>
      </c>
      <c r="P360" s="12"/>
      <c r="Q360" s="12"/>
      <c r="R360" s="28">
        <f t="shared" si="58"/>
        <v>21.259842519685037</v>
      </c>
    </row>
    <row r="361" spans="1:18" hidden="1" x14ac:dyDescent="0.25">
      <c r="A361" s="16">
        <v>45567</v>
      </c>
      <c r="B361" s="2" t="s">
        <v>95</v>
      </c>
      <c r="C361" s="10">
        <v>140</v>
      </c>
      <c r="D361" s="19">
        <v>0.04</v>
      </c>
      <c r="E361" s="11">
        <v>0.27</v>
      </c>
      <c r="F361" s="10">
        <f t="shared" si="53"/>
        <v>960</v>
      </c>
      <c r="G361" s="10">
        <f t="shared" si="54"/>
        <v>0.14000000000000001</v>
      </c>
      <c r="H361" s="12">
        <f t="shared" si="55"/>
        <v>0.14583333333333334</v>
      </c>
      <c r="I361" s="12">
        <v>0.02</v>
      </c>
      <c r="J361" s="12">
        <v>7.0000000000000007E-2</v>
      </c>
      <c r="K361" s="12">
        <f t="shared" si="56"/>
        <v>6.3675000000000009E-2</v>
      </c>
      <c r="L361" s="12">
        <f t="shared" si="57"/>
        <v>0.29950833333333338</v>
      </c>
      <c r="M361" s="12"/>
      <c r="N361" s="12"/>
      <c r="O361" s="12">
        <f t="shared" si="59"/>
        <v>149.75416666666669</v>
      </c>
      <c r="P361" s="12"/>
      <c r="Q361" s="12"/>
      <c r="R361" s="28">
        <f t="shared" si="58"/>
        <v>21.259842519685037</v>
      </c>
    </row>
    <row r="362" spans="1:18" hidden="1" x14ac:dyDescent="0.25">
      <c r="A362" s="16">
        <v>45567</v>
      </c>
      <c r="B362" s="2" t="s">
        <v>137</v>
      </c>
      <c r="C362" s="10">
        <v>220</v>
      </c>
      <c r="D362" s="19">
        <v>0.21</v>
      </c>
      <c r="E362" s="11">
        <v>0.33</v>
      </c>
      <c r="F362" s="10">
        <f t="shared" si="53"/>
        <v>790</v>
      </c>
      <c r="G362" s="10">
        <f t="shared" si="54"/>
        <v>0.22</v>
      </c>
      <c r="H362" s="12">
        <f t="shared" si="55"/>
        <v>0.27848101265822783</v>
      </c>
      <c r="I362" s="12">
        <v>0.02</v>
      </c>
      <c r="J362" s="12">
        <v>7.0000000000000007E-2</v>
      </c>
      <c r="K362" s="12">
        <f t="shared" si="56"/>
        <v>0.1215987341772152</v>
      </c>
      <c r="L362" s="12">
        <f t="shared" si="57"/>
        <v>0.49007974683544309</v>
      </c>
      <c r="M362" s="12"/>
      <c r="N362" s="12"/>
      <c r="O362" s="12">
        <f t="shared" si="59"/>
        <v>245.03987341772154</v>
      </c>
      <c r="P362" s="12"/>
      <c r="Q362" s="12"/>
      <c r="R362" s="28">
        <f t="shared" si="58"/>
        <v>24.81203007518797</v>
      </c>
    </row>
    <row r="363" spans="1:18" hidden="1" x14ac:dyDescent="0.25">
      <c r="A363" s="16">
        <v>45568</v>
      </c>
      <c r="B363" s="2" t="s">
        <v>143</v>
      </c>
      <c r="C363" s="10">
        <v>400</v>
      </c>
      <c r="D363" s="19">
        <v>0.59</v>
      </c>
      <c r="E363" s="11">
        <v>0.1</v>
      </c>
      <c r="F363" s="10">
        <f t="shared" si="53"/>
        <v>410</v>
      </c>
      <c r="G363" s="10">
        <f t="shared" si="54"/>
        <v>0.4</v>
      </c>
      <c r="H363" s="12">
        <f t="shared" si="55"/>
        <v>0.97560975609756095</v>
      </c>
      <c r="I363" s="12">
        <v>0.02</v>
      </c>
      <c r="J363" s="12">
        <v>7.0000000000000007E-2</v>
      </c>
      <c r="K363" s="12">
        <f t="shared" si="56"/>
        <v>0.10656097560975611</v>
      </c>
      <c r="L363" s="12">
        <f t="shared" si="57"/>
        <v>1.1721707317073171</v>
      </c>
      <c r="M363" s="12"/>
      <c r="N363" s="12"/>
      <c r="O363" s="12">
        <f t="shared" si="59"/>
        <v>586.08536585365857</v>
      </c>
      <c r="P363" s="12"/>
      <c r="Q363" s="12"/>
      <c r="R363" s="28">
        <f t="shared" si="58"/>
        <v>9.0909090909090917</v>
      </c>
    </row>
    <row r="364" spans="1:18" hidden="1" x14ac:dyDescent="0.25">
      <c r="A364" s="16">
        <v>45568</v>
      </c>
      <c r="B364" s="2" t="s">
        <v>138</v>
      </c>
      <c r="C364" s="10">
        <v>400</v>
      </c>
      <c r="D364" s="19">
        <v>0.59</v>
      </c>
      <c r="E364" s="11">
        <v>0.1</v>
      </c>
      <c r="F364" s="10">
        <f t="shared" si="53"/>
        <v>410</v>
      </c>
      <c r="G364" s="10">
        <f t="shared" si="54"/>
        <v>0.4</v>
      </c>
      <c r="H364" s="12">
        <f t="shared" si="55"/>
        <v>0.97560975609756095</v>
      </c>
      <c r="I364" s="12">
        <v>0.02</v>
      </c>
      <c r="J364" s="12">
        <v>7.0000000000000007E-2</v>
      </c>
      <c r="K364" s="12">
        <f t="shared" si="56"/>
        <v>0.10656097560975611</v>
      </c>
      <c r="L364" s="12">
        <f t="shared" si="57"/>
        <v>1.1721707317073171</v>
      </c>
      <c r="M364" s="12">
        <f>L364*250</f>
        <v>293.04268292682929</v>
      </c>
      <c r="N364" s="12"/>
      <c r="O364" s="12"/>
      <c r="P364" s="12"/>
      <c r="Q364" s="12"/>
      <c r="R364" s="28">
        <f t="shared" si="58"/>
        <v>9.0909090909090917</v>
      </c>
    </row>
    <row r="365" spans="1:18" hidden="1" x14ac:dyDescent="0.25">
      <c r="A365" s="16">
        <v>45568</v>
      </c>
      <c r="B365" s="2" t="s">
        <v>120</v>
      </c>
      <c r="C365" s="10">
        <v>220</v>
      </c>
      <c r="D365" s="19">
        <v>0.49</v>
      </c>
      <c r="E365" s="11">
        <v>0.1</v>
      </c>
      <c r="F365" s="10">
        <f t="shared" si="53"/>
        <v>510</v>
      </c>
      <c r="G365" s="10">
        <f t="shared" si="54"/>
        <v>0.22</v>
      </c>
      <c r="H365" s="12">
        <f t="shared" si="55"/>
        <v>0.43137254901960786</v>
      </c>
      <c r="I365" s="12">
        <v>0.02</v>
      </c>
      <c r="J365" s="12">
        <v>7.0000000000000007E-2</v>
      </c>
      <c r="K365" s="12">
        <f t="shared" si="56"/>
        <v>5.2137254901960799E-2</v>
      </c>
      <c r="L365" s="12">
        <f t="shared" si="57"/>
        <v>0.57350980392156869</v>
      </c>
      <c r="M365" s="12">
        <f>L365*250</f>
        <v>143.37745098039218</v>
      </c>
      <c r="N365" s="12"/>
      <c r="O365" s="12"/>
      <c r="P365" s="12"/>
      <c r="Q365" s="12"/>
      <c r="R365" s="28">
        <f t="shared" si="58"/>
        <v>9.0909090909090917</v>
      </c>
    </row>
    <row r="366" spans="1:18" hidden="1" x14ac:dyDescent="0.25">
      <c r="A366" s="16">
        <v>45568</v>
      </c>
      <c r="B366" s="2" t="s">
        <v>94</v>
      </c>
      <c r="C366" s="10">
        <v>120</v>
      </c>
      <c r="D366" s="19">
        <v>0.11</v>
      </c>
      <c r="E366" s="11">
        <v>0.115</v>
      </c>
      <c r="F366" s="10">
        <f t="shared" si="53"/>
        <v>890</v>
      </c>
      <c r="G366" s="10">
        <f t="shared" si="54"/>
        <v>0.12</v>
      </c>
      <c r="H366" s="12">
        <f t="shared" si="55"/>
        <v>0.1348314606741573</v>
      </c>
      <c r="I366" s="12">
        <v>0.02</v>
      </c>
      <c r="J366" s="12">
        <v>7.0000000000000007E-2</v>
      </c>
      <c r="K366" s="12">
        <f t="shared" si="56"/>
        <v>2.5855617977528091E-2</v>
      </c>
      <c r="L366" s="12">
        <f t="shared" si="57"/>
        <v>0.25068707865168538</v>
      </c>
      <c r="M366" s="12"/>
      <c r="N366" s="12"/>
      <c r="O366" s="12">
        <f>L366*500</f>
        <v>125.34353932584268</v>
      </c>
      <c r="P366" s="12"/>
      <c r="Q366" s="12"/>
      <c r="R366" s="28">
        <f t="shared" ref="R366:R390" si="60">K366/L366%</f>
        <v>10.31390134529148</v>
      </c>
    </row>
    <row r="367" spans="1:18" hidden="1" x14ac:dyDescent="0.25">
      <c r="A367" s="16">
        <v>45568</v>
      </c>
      <c r="B367" s="2" t="s">
        <v>95</v>
      </c>
      <c r="C367" s="10">
        <v>120</v>
      </c>
      <c r="D367" s="19">
        <v>0.11</v>
      </c>
      <c r="E367" s="11">
        <v>0.115</v>
      </c>
      <c r="F367" s="10">
        <f t="shared" si="53"/>
        <v>890</v>
      </c>
      <c r="G367" s="10">
        <f t="shared" si="54"/>
        <v>0.12</v>
      </c>
      <c r="H367" s="12">
        <f t="shared" si="55"/>
        <v>0.1348314606741573</v>
      </c>
      <c r="I367" s="12">
        <v>0.02</v>
      </c>
      <c r="J367" s="12">
        <v>7.0000000000000007E-2</v>
      </c>
      <c r="K367" s="12">
        <f t="shared" si="56"/>
        <v>2.5855617977528091E-2</v>
      </c>
      <c r="L367" s="12">
        <f t="shared" si="57"/>
        <v>0.25068707865168538</v>
      </c>
      <c r="M367" s="12"/>
      <c r="N367" s="12"/>
      <c r="O367" s="12">
        <f>L367*500</f>
        <v>125.34353932584268</v>
      </c>
      <c r="P367" s="12"/>
      <c r="Q367" s="12"/>
      <c r="R367" s="28">
        <f t="shared" si="60"/>
        <v>10.31390134529148</v>
      </c>
    </row>
    <row r="368" spans="1:18" hidden="1" x14ac:dyDescent="0.25">
      <c r="A368" s="16">
        <v>45568</v>
      </c>
      <c r="B368" s="2" t="s">
        <v>90</v>
      </c>
      <c r="C368" s="10">
        <v>330</v>
      </c>
      <c r="D368" s="19">
        <v>0.21</v>
      </c>
      <c r="E368" s="11">
        <v>0.16300000000000001</v>
      </c>
      <c r="F368" s="10">
        <f t="shared" si="53"/>
        <v>790</v>
      </c>
      <c r="G368" s="10">
        <f t="shared" si="54"/>
        <v>0.33</v>
      </c>
      <c r="H368" s="12">
        <f t="shared" si="55"/>
        <v>0.41772151898734178</v>
      </c>
      <c r="I368" s="12">
        <v>0.02</v>
      </c>
      <c r="J368" s="12">
        <v>7.0000000000000007E-2</v>
      </c>
      <c r="K368" s="12">
        <f t="shared" si="56"/>
        <v>8.2758607594936723E-2</v>
      </c>
      <c r="L368" s="12">
        <f t="shared" si="57"/>
        <v>0.59048012658227855</v>
      </c>
      <c r="M368" s="12"/>
      <c r="N368" s="12"/>
      <c r="O368" s="12">
        <f>L368*500</f>
        <v>295.24006329113928</v>
      </c>
      <c r="P368" s="12"/>
      <c r="Q368" s="12"/>
      <c r="R368" s="28">
        <f t="shared" si="60"/>
        <v>14.015477214101463</v>
      </c>
    </row>
    <row r="369" spans="1:18" hidden="1" x14ac:dyDescent="0.25">
      <c r="A369" s="16">
        <v>45568</v>
      </c>
      <c r="B369" s="2" t="s">
        <v>92</v>
      </c>
      <c r="C369" s="10">
        <v>410</v>
      </c>
      <c r="D369" s="19">
        <v>0.13</v>
      </c>
      <c r="E369" s="11">
        <v>5.1999999999999998E-2</v>
      </c>
      <c r="F369" s="10">
        <f t="shared" si="53"/>
        <v>870</v>
      </c>
      <c r="G369" s="10">
        <f t="shared" si="54"/>
        <v>0.41</v>
      </c>
      <c r="H369" s="12">
        <f t="shared" si="55"/>
        <v>0.47126436781609193</v>
      </c>
      <c r="I369" s="12">
        <v>0.02</v>
      </c>
      <c r="J369" s="12">
        <v>7.0000000000000007E-2</v>
      </c>
      <c r="K369" s="12">
        <f t="shared" si="56"/>
        <v>2.9185747126436783E-2</v>
      </c>
      <c r="L369" s="12">
        <f t="shared" si="57"/>
        <v>0.59045011494252875</v>
      </c>
      <c r="M369" s="12"/>
      <c r="N369" s="12"/>
      <c r="O369" s="12">
        <f>L369*500</f>
        <v>295.22505747126439</v>
      </c>
      <c r="P369" s="12"/>
      <c r="Q369" s="12"/>
      <c r="R369" s="28">
        <f t="shared" si="60"/>
        <v>4.9429657794676807</v>
      </c>
    </row>
    <row r="370" spans="1:18" hidden="1" x14ac:dyDescent="0.25">
      <c r="A370" s="16">
        <v>45568</v>
      </c>
      <c r="B370" s="2" t="s">
        <v>111</v>
      </c>
      <c r="C370" s="2">
        <v>660</v>
      </c>
      <c r="D370" s="14">
        <v>0.35</v>
      </c>
      <c r="E370" s="11">
        <v>0.17699999999999999</v>
      </c>
      <c r="F370" s="10">
        <f t="shared" si="53"/>
        <v>650</v>
      </c>
      <c r="G370" s="10">
        <f t="shared" si="54"/>
        <v>0.66</v>
      </c>
      <c r="H370" s="12">
        <f t="shared" si="55"/>
        <v>1.0153846153846153</v>
      </c>
      <c r="I370" s="12">
        <v>0.02</v>
      </c>
      <c r="J370" s="12">
        <v>7.0000000000000007E-2</v>
      </c>
      <c r="K370" s="12">
        <f t="shared" si="56"/>
        <v>0.19565307692307693</v>
      </c>
      <c r="L370" s="12">
        <f t="shared" si="57"/>
        <v>1.3010376923076923</v>
      </c>
      <c r="M370" s="12">
        <f>L370*250</f>
        <v>325.2594230769231</v>
      </c>
      <c r="N370" s="12"/>
      <c r="O370" s="12"/>
      <c r="P370" s="12"/>
      <c r="Q370" s="12"/>
      <c r="R370" s="28">
        <f t="shared" si="60"/>
        <v>15.038232795242141</v>
      </c>
    </row>
    <row r="371" spans="1:18" hidden="1" x14ac:dyDescent="0.25">
      <c r="A371" s="16">
        <v>45568</v>
      </c>
      <c r="B371" s="2" t="s">
        <v>112</v>
      </c>
      <c r="C371" s="2">
        <v>660</v>
      </c>
      <c r="D371" s="14">
        <v>0.35</v>
      </c>
      <c r="E371" s="11">
        <v>0.16</v>
      </c>
      <c r="F371" s="10">
        <f t="shared" si="53"/>
        <v>650</v>
      </c>
      <c r="G371" s="10">
        <f t="shared" si="54"/>
        <v>0.66</v>
      </c>
      <c r="H371" s="12">
        <f t="shared" si="55"/>
        <v>1.0153846153846153</v>
      </c>
      <c r="I371" s="12">
        <v>0.02</v>
      </c>
      <c r="J371" s="12">
        <v>7.0000000000000007E-2</v>
      </c>
      <c r="K371" s="12">
        <f t="shared" si="56"/>
        <v>0.17686153846153846</v>
      </c>
      <c r="L371" s="12">
        <f t="shared" si="57"/>
        <v>1.2822461538461538</v>
      </c>
      <c r="M371" s="12"/>
      <c r="N371" s="12"/>
      <c r="O371" s="12">
        <f>L371*500</f>
        <v>641.12307692307695</v>
      </c>
      <c r="P371" s="12"/>
      <c r="Q371" s="12"/>
      <c r="R371" s="28">
        <f t="shared" si="60"/>
        <v>13.793103448275863</v>
      </c>
    </row>
    <row r="372" spans="1:18" hidden="1" x14ac:dyDescent="0.25">
      <c r="A372" s="16">
        <v>45569</v>
      </c>
      <c r="B372" s="2" t="s">
        <v>93</v>
      </c>
      <c r="C372" s="2">
        <v>580</v>
      </c>
      <c r="D372" s="14">
        <v>0.03</v>
      </c>
      <c r="E372" s="14">
        <v>0.15</v>
      </c>
      <c r="F372" s="2">
        <f t="shared" si="53"/>
        <v>970</v>
      </c>
      <c r="G372" s="2">
        <f t="shared" si="54"/>
        <v>0.57999999999999996</v>
      </c>
      <c r="H372" s="15">
        <f t="shared" si="55"/>
        <v>0.59793814432989689</v>
      </c>
      <c r="I372" s="15">
        <v>0.02</v>
      </c>
      <c r="J372" s="15">
        <v>7.0000000000000007E-2</v>
      </c>
      <c r="K372" s="15">
        <f t="shared" si="56"/>
        <v>0.10319072164948452</v>
      </c>
      <c r="L372" s="15">
        <f t="shared" si="57"/>
        <v>0.79112886597938137</v>
      </c>
      <c r="M372" s="2"/>
      <c r="N372" s="2"/>
      <c r="O372" s="2">
        <f>L372*500</f>
        <v>395.56443298969066</v>
      </c>
      <c r="P372" s="2"/>
      <c r="Q372" s="2"/>
      <c r="R372" s="28">
        <f t="shared" si="60"/>
        <v>13.043478260869565</v>
      </c>
    </row>
    <row r="373" spans="1:18" hidden="1" x14ac:dyDescent="0.25">
      <c r="A373" s="16">
        <v>45569</v>
      </c>
      <c r="B373" s="2" t="s">
        <v>120</v>
      </c>
      <c r="C373" s="10">
        <v>220</v>
      </c>
      <c r="D373" s="19">
        <v>0.51</v>
      </c>
      <c r="E373" s="11">
        <v>8.1000000000000003E-2</v>
      </c>
      <c r="F373" s="10">
        <f t="shared" si="53"/>
        <v>490</v>
      </c>
      <c r="G373" s="10">
        <f t="shared" si="54"/>
        <v>0.22</v>
      </c>
      <c r="H373" s="12">
        <f t="shared" si="55"/>
        <v>0.44897959183673469</v>
      </c>
      <c r="I373" s="12">
        <v>0.02</v>
      </c>
      <c r="J373" s="12">
        <v>7.0000000000000007E-2</v>
      </c>
      <c r="K373" s="12">
        <f t="shared" si="56"/>
        <v>4.3657346938775515E-2</v>
      </c>
      <c r="L373" s="12">
        <f t="shared" si="57"/>
        <v>0.58263693877551026</v>
      </c>
      <c r="M373" s="12">
        <f>L373*250</f>
        <v>145.65923469387758</v>
      </c>
      <c r="N373" s="12"/>
      <c r="O373" s="2"/>
      <c r="P373" s="12"/>
      <c r="Q373" s="12"/>
      <c r="R373" s="28">
        <f t="shared" si="60"/>
        <v>7.4930619796484734</v>
      </c>
    </row>
    <row r="374" spans="1:18" hidden="1" x14ac:dyDescent="0.25">
      <c r="A374" s="16">
        <v>45569</v>
      </c>
      <c r="B374" s="2" t="s">
        <v>110</v>
      </c>
      <c r="C374" s="2">
        <v>100</v>
      </c>
      <c r="D374" s="19">
        <v>0</v>
      </c>
      <c r="E374" s="11">
        <v>0.32</v>
      </c>
      <c r="F374" s="10">
        <f t="shared" si="53"/>
        <v>1000</v>
      </c>
      <c r="G374" s="2">
        <f t="shared" si="54"/>
        <v>0.1</v>
      </c>
      <c r="H374" s="12">
        <f t="shared" si="55"/>
        <v>0.1</v>
      </c>
      <c r="I374" s="12">
        <v>0.02</v>
      </c>
      <c r="J374" s="12">
        <v>7.0000000000000007E-2</v>
      </c>
      <c r="K374" s="12">
        <f t="shared" si="56"/>
        <v>6.08E-2</v>
      </c>
      <c r="L374" s="12">
        <f t="shared" si="57"/>
        <v>0.25080000000000002</v>
      </c>
      <c r="M374" s="2"/>
      <c r="N374" s="2"/>
      <c r="O374" s="2">
        <f>L374*500</f>
        <v>125.4</v>
      </c>
      <c r="P374" s="2"/>
      <c r="Q374" s="2"/>
      <c r="R374" s="28">
        <f t="shared" si="60"/>
        <v>24.242424242424239</v>
      </c>
    </row>
    <row r="375" spans="1:18" hidden="1" x14ac:dyDescent="0.25">
      <c r="A375" s="16">
        <v>45570</v>
      </c>
      <c r="B375" s="2" t="s">
        <v>111</v>
      </c>
      <c r="C375" s="2">
        <v>550</v>
      </c>
      <c r="D375" s="19">
        <v>0.31</v>
      </c>
      <c r="E375" s="11">
        <v>0.33200000000000002</v>
      </c>
      <c r="F375" s="10">
        <f t="shared" si="53"/>
        <v>690</v>
      </c>
      <c r="G375" s="2">
        <f t="shared" si="54"/>
        <v>0.55000000000000004</v>
      </c>
      <c r="H375" s="12">
        <f t="shared" si="55"/>
        <v>0.79710144927536231</v>
      </c>
      <c r="I375" s="12">
        <v>0.02</v>
      </c>
      <c r="J375" s="12">
        <v>7.0000000000000007E-2</v>
      </c>
      <c r="K375" s="12">
        <f t="shared" si="56"/>
        <v>0.29451768115942034</v>
      </c>
      <c r="L375" s="12">
        <f t="shared" si="57"/>
        <v>1.1816191304347827</v>
      </c>
      <c r="M375" s="2">
        <f>L375*250</f>
        <v>295.40478260869565</v>
      </c>
      <c r="N375" s="2"/>
      <c r="O375" s="2"/>
      <c r="P375" s="2"/>
      <c r="Q375" s="2"/>
      <c r="R375" s="28">
        <f t="shared" si="60"/>
        <v>24.924924924924927</v>
      </c>
    </row>
    <row r="376" spans="1:18" hidden="1" x14ac:dyDescent="0.25">
      <c r="A376" s="16">
        <v>45570</v>
      </c>
      <c r="B376" s="2" t="s">
        <v>112</v>
      </c>
      <c r="C376" s="2">
        <v>550</v>
      </c>
      <c r="D376" s="19">
        <v>0.31</v>
      </c>
      <c r="E376" s="11">
        <v>0.29699999999999999</v>
      </c>
      <c r="F376" s="10">
        <f t="shared" si="53"/>
        <v>690</v>
      </c>
      <c r="G376" s="2">
        <f t="shared" si="54"/>
        <v>0.55000000000000004</v>
      </c>
      <c r="H376" s="12">
        <f t="shared" si="55"/>
        <v>0.79710144927536231</v>
      </c>
      <c r="I376" s="12">
        <v>0.02</v>
      </c>
      <c r="J376" s="12">
        <v>7.0000000000000007E-2</v>
      </c>
      <c r="K376" s="12">
        <f t="shared" si="56"/>
        <v>0.26346913043478259</v>
      </c>
      <c r="L376" s="12">
        <f t="shared" si="57"/>
        <v>1.1505705797101449</v>
      </c>
      <c r="M376" s="2"/>
      <c r="N376" s="2"/>
      <c r="O376" s="2">
        <f>L376*500</f>
        <v>575.28528985507239</v>
      </c>
      <c r="P376" s="2"/>
      <c r="Q376" s="2"/>
      <c r="R376" s="28">
        <f t="shared" si="60"/>
        <v>22.898997686969931</v>
      </c>
    </row>
    <row r="377" spans="1:18" hidden="1" x14ac:dyDescent="0.25">
      <c r="A377" s="16">
        <v>45570</v>
      </c>
      <c r="B377" s="2" t="s">
        <v>138</v>
      </c>
      <c r="C377" s="2">
        <v>360</v>
      </c>
      <c r="D377" s="19">
        <v>0.59</v>
      </c>
      <c r="E377" s="11">
        <v>0.14000000000000001</v>
      </c>
      <c r="F377" s="10">
        <f t="shared" si="53"/>
        <v>410</v>
      </c>
      <c r="G377" s="2">
        <f t="shared" si="54"/>
        <v>0.36</v>
      </c>
      <c r="H377" s="12">
        <f t="shared" si="55"/>
        <v>0.87804878048780488</v>
      </c>
      <c r="I377" s="12">
        <v>0.02</v>
      </c>
      <c r="J377" s="12">
        <v>7.0000000000000007E-2</v>
      </c>
      <c r="K377" s="12">
        <f t="shared" si="56"/>
        <v>0.13552682926829268</v>
      </c>
      <c r="L377" s="12">
        <f t="shared" si="57"/>
        <v>1.1035756097560976</v>
      </c>
      <c r="M377" s="2">
        <f>L377*250</f>
        <v>275.89390243902437</v>
      </c>
      <c r="N377" s="2"/>
      <c r="O377" s="2"/>
      <c r="P377" s="2"/>
      <c r="Q377" s="2"/>
      <c r="R377" s="28">
        <f t="shared" si="60"/>
        <v>12.280701754385964</v>
      </c>
    </row>
    <row r="378" spans="1:18" hidden="1" x14ac:dyDescent="0.25">
      <c r="A378" s="16">
        <v>45570</v>
      </c>
      <c r="B378" s="2" t="s">
        <v>137</v>
      </c>
      <c r="C378" s="2">
        <v>180</v>
      </c>
      <c r="D378" s="19">
        <v>0.04</v>
      </c>
      <c r="E378" s="11">
        <v>0.41</v>
      </c>
      <c r="F378" s="2">
        <f t="shared" si="53"/>
        <v>960</v>
      </c>
      <c r="G378" s="2">
        <f t="shared" si="54"/>
        <v>0.18</v>
      </c>
      <c r="H378" s="2">
        <f t="shared" si="55"/>
        <v>0.1875</v>
      </c>
      <c r="I378" s="12">
        <v>0.02</v>
      </c>
      <c r="J378" s="12">
        <v>7.0000000000000007E-2</v>
      </c>
      <c r="K378" s="12">
        <f t="shared" si="56"/>
        <v>0.11377499999999999</v>
      </c>
      <c r="L378" s="12">
        <f t="shared" si="57"/>
        <v>0.39127499999999993</v>
      </c>
      <c r="M378" s="2"/>
      <c r="N378" s="2"/>
      <c r="O378" s="2">
        <f>L378*500</f>
        <v>195.63749999999996</v>
      </c>
      <c r="P378" s="2"/>
      <c r="Q378" s="2"/>
      <c r="R378" s="28">
        <f t="shared" si="60"/>
        <v>29.078014184397162</v>
      </c>
    </row>
    <row r="379" spans="1:18" hidden="1" x14ac:dyDescent="0.25">
      <c r="A379" s="16">
        <v>45570</v>
      </c>
      <c r="B379" s="2" t="s">
        <v>94</v>
      </c>
      <c r="C379" s="2">
        <v>120</v>
      </c>
      <c r="D379" s="19">
        <v>0.11</v>
      </c>
      <c r="E379" s="11">
        <v>0.12</v>
      </c>
      <c r="F379" s="2">
        <f t="shared" si="53"/>
        <v>890</v>
      </c>
      <c r="G379" s="2">
        <f t="shared" si="54"/>
        <v>0.12</v>
      </c>
      <c r="H379" s="2">
        <f t="shared" si="55"/>
        <v>0.1348314606741573</v>
      </c>
      <c r="I379" s="12">
        <v>0.02</v>
      </c>
      <c r="J379" s="12">
        <v>7.0000000000000007E-2</v>
      </c>
      <c r="K379" s="12">
        <f t="shared" si="56"/>
        <v>2.6979775280898875E-2</v>
      </c>
      <c r="L379" s="12">
        <f t="shared" si="57"/>
        <v>0.25181123595505617</v>
      </c>
      <c r="M379" s="2"/>
      <c r="N379" s="2"/>
      <c r="O379" s="2">
        <f>L379*500</f>
        <v>125.90561797752808</v>
      </c>
      <c r="P379" s="2"/>
      <c r="Q379" s="2"/>
      <c r="R379" s="28">
        <f t="shared" si="60"/>
        <v>10.714285714285715</v>
      </c>
    </row>
    <row r="380" spans="1:18" hidden="1" x14ac:dyDescent="0.25">
      <c r="A380" s="16">
        <v>45570</v>
      </c>
      <c r="B380" s="2" t="s">
        <v>95</v>
      </c>
      <c r="C380" s="2">
        <v>120</v>
      </c>
      <c r="D380" s="19">
        <v>0.11</v>
      </c>
      <c r="E380" s="11">
        <v>0.12</v>
      </c>
      <c r="F380" s="2">
        <f t="shared" si="53"/>
        <v>890</v>
      </c>
      <c r="G380" s="2">
        <f t="shared" si="54"/>
        <v>0.12</v>
      </c>
      <c r="H380" s="2">
        <f t="shared" si="55"/>
        <v>0.1348314606741573</v>
      </c>
      <c r="I380" s="12">
        <v>0.02</v>
      </c>
      <c r="J380" s="12">
        <v>7.0000000000000007E-2</v>
      </c>
      <c r="K380" s="12">
        <f t="shared" si="56"/>
        <v>2.6979775280898875E-2</v>
      </c>
      <c r="L380" s="12">
        <f t="shared" si="57"/>
        <v>0.25181123595505617</v>
      </c>
      <c r="M380" s="2"/>
      <c r="N380" s="2"/>
      <c r="O380" s="2">
        <f>L380*500</f>
        <v>125.90561797752808</v>
      </c>
      <c r="P380" s="2"/>
      <c r="Q380" s="2"/>
      <c r="R380" s="28">
        <f t="shared" si="60"/>
        <v>10.714285714285715</v>
      </c>
    </row>
    <row r="381" spans="1:18" hidden="1" x14ac:dyDescent="0.25">
      <c r="A381" s="16">
        <v>45573</v>
      </c>
      <c r="B381" s="2" t="s">
        <v>111</v>
      </c>
      <c r="C381" s="2">
        <v>550</v>
      </c>
      <c r="D381" s="19">
        <v>0.35</v>
      </c>
      <c r="E381" s="11">
        <v>0.26</v>
      </c>
      <c r="F381" s="10">
        <f t="shared" si="53"/>
        <v>650</v>
      </c>
      <c r="G381" s="2">
        <f t="shared" si="54"/>
        <v>0.55000000000000004</v>
      </c>
      <c r="H381" s="12">
        <f t="shared" si="55"/>
        <v>0.84615384615384615</v>
      </c>
      <c r="I381" s="12">
        <v>0.02</v>
      </c>
      <c r="J381" s="12">
        <v>7.0000000000000007E-2</v>
      </c>
      <c r="K381" s="12">
        <f t="shared" si="56"/>
        <v>0.24340000000000001</v>
      </c>
      <c r="L381" s="12">
        <f t="shared" si="57"/>
        <v>1.1795538461538462</v>
      </c>
      <c r="M381" s="2">
        <f>L381*250</f>
        <v>294.88846153846157</v>
      </c>
      <c r="N381" s="2"/>
      <c r="O381" s="2"/>
      <c r="P381" s="2"/>
      <c r="Q381" s="2"/>
      <c r="R381" s="28">
        <f t="shared" si="60"/>
        <v>20.634920634920636</v>
      </c>
    </row>
    <row r="382" spans="1:18" hidden="1" x14ac:dyDescent="0.25">
      <c r="A382" s="16">
        <v>45573</v>
      </c>
      <c r="B382" s="2" t="s">
        <v>90</v>
      </c>
      <c r="C382" s="10">
        <v>300</v>
      </c>
      <c r="D382" s="19">
        <v>0.14000000000000001</v>
      </c>
      <c r="E382" s="11">
        <v>0.34699999999999998</v>
      </c>
      <c r="F382" s="10">
        <f t="shared" si="53"/>
        <v>860</v>
      </c>
      <c r="G382" s="10">
        <f t="shared" si="54"/>
        <v>0.3</v>
      </c>
      <c r="H382" s="12">
        <f t="shared" si="55"/>
        <v>0.34883720930232559</v>
      </c>
      <c r="I382" s="12">
        <v>0.02</v>
      </c>
      <c r="J382" s="12">
        <v>7.0000000000000007E-2</v>
      </c>
      <c r="K382" s="12">
        <f t="shared" si="56"/>
        <v>0.15227651162790698</v>
      </c>
      <c r="L382" s="12">
        <f t="shared" si="57"/>
        <v>0.59111372093023262</v>
      </c>
      <c r="M382" s="12"/>
      <c r="N382" s="12"/>
      <c r="O382" s="12">
        <f>L382*500</f>
        <v>295.5568604651163</v>
      </c>
      <c r="P382" s="12"/>
      <c r="Q382" s="12"/>
      <c r="R382" s="28">
        <f t="shared" si="60"/>
        <v>25.760950259836672</v>
      </c>
    </row>
    <row r="383" spans="1:18" hidden="1" x14ac:dyDescent="0.25">
      <c r="A383" s="16">
        <v>45573</v>
      </c>
      <c r="B383" s="10" t="s">
        <v>91</v>
      </c>
      <c r="C383" s="10">
        <v>300</v>
      </c>
      <c r="D383" s="19">
        <v>0.14000000000000001</v>
      </c>
      <c r="E383" s="11">
        <v>0.34499999999999997</v>
      </c>
      <c r="F383" s="10">
        <f t="shared" si="53"/>
        <v>860</v>
      </c>
      <c r="G383" s="10">
        <f t="shared" si="54"/>
        <v>0.3</v>
      </c>
      <c r="H383" s="12">
        <f t="shared" si="55"/>
        <v>0.34883720930232559</v>
      </c>
      <c r="I383" s="12">
        <v>0.02</v>
      </c>
      <c r="J383" s="12">
        <v>7.0000000000000007E-2</v>
      </c>
      <c r="K383" s="12">
        <f t="shared" si="56"/>
        <v>0.15139883720930233</v>
      </c>
      <c r="L383" s="12">
        <f t="shared" si="57"/>
        <v>0.59023604651162798</v>
      </c>
      <c r="M383" s="12"/>
      <c r="N383" s="12"/>
      <c r="O383" s="12">
        <f>L383*500</f>
        <v>295.11802325581397</v>
      </c>
      <c r="P383" s="12"/>
      <c r="Q383" s="12"/>
      <c r="R383" s="28">
        <f t="shared" si="60"/>
        <v>25.650557620817843</v>
      </c>
    </row>
    <row r="384" spans="1:18" hidden="1" x14ac:dyDescent="0.25">
      <c r="A384" s="16">
        <v>45574</v>
      </c>
      <c r="B384" s="2" t="s">
        <v>94</v>
      </c>
      <c r="C384" s="2">
        <v>120</v>
      </c>
      <c r="D384" s="19">
        <v>0.09</v>
      </c>
      <c r="E384" s="11">
        <v>0.312</v>
      </c>
      <c r="F384" s="2">
        <f t="shared" si="53"/>
        <v>910</v>
      </c>
      <c r="G384" s="2">
        <f t="shared" si="54"/>
        <v>0.12</v>
      </c>
      <c r="H384" s="2">
        <f t="shared" si="55"/>
        <v>0.13186813186813187</v>
      </c>
      <c r="I384" s="12">
        <v>0.02</v>
      </c>
      <c r="J384" s="12">
        <v>7.0000000000000007E-2</v>
      </c>
      <c r="K384" s="12">
        <f t="shared" si="56"/>
        <v>6.9222857142857142E-2</v>
      </c>
      <c r="L384" s="12">
        <f t="shared" si="57"/>
        <v>0.29109098901098901</v>
      </c>
      <c r="M384" s="2"/>
      <c r="N384" s="2"/>
      <c r="O384" s="2">
        <f>L384*500</f>
        <v>145.5454945054945</v>
      </c>
      <c r="P384" s="2"/>
      <c r="Q384" s="2"/>
      <c r="R384" s="28">
        <f t="shared" si="60"/>
        <v>23.780487804878049</v>
      </c>
    </row>
    <row r="385" spans="1:18" hidden="1" x14ac:dyDescent="0.25">
      <c r="A385" s="16">
        <v>45574</v>
      </c>
      <c r="B385" s="2" t="s">
        <v>95</v>
      </c>
      <c r="C385" s="2">
        <v>120</v>
      </c>
      <c r="D385" s="19">
        <v>0.09</v>
      </c>
      <c r="E385" s="11">
        <v>0.312</v>
      </c>
      <c r="F385" s="2">
        <f t="shared" si="53"/>
        <v>910</v>
      </c>
      <c r="G385" s="2">
        <f t="shared" si="54"/>
        <v>0.12</v>
      </c>
      <c r="H385" s="2">
        <f t="shared" si="55"/>
        <v>0.13186813186813187</v>
      </c>
      <c r="I385" s="12">
        <v>0.02</v>
      </c>
      <c r="J385" s="12">
        <v>7.0000000000000007E-2</v>
      </c>
      <c r="K385" s="12">
        <f t="shared" si="56"/>
        <v>6.9222857142857142E-2</v>
      </c>
      <c r="L385" s="12">
        <f t="shared" si="57"/>
        <v>0.29109098901098901</v>
      </c>
      <c r="M385" s="2"/>
      <c r="N385" s="2"/>
      <c r="O385" s="2">
        <f>L385*500</f>
        <v>145.5454945054945</v>
      </c>
      <c r="P385" s="2"/>
      <c r="Q385" s="2"/>
      <c r="R385" s="28">
        <f t="shared" si="60"/>
        <v>23.780487804878049</v>
      </c>
    </row>
    <row r="386" spans="1:18" hidden="1" x14ac:dyDescent="0.25">
      <c r="A386" s="16">
        <v>45574</v>
      </c>
      <c r="B386" s="2" t="s">
        <v>138</v>
      </c>
      <c r="C386" s="2">
        <v>350</v>
      </c>
      <c r="D386" s="19">
        <v>0.57999999999999996</v>
      </c>
      <c r="E386" s="11">
        <v>0.28000000000000003</v>
      </c>
      <c r="F386" s="10">
        <f t="shared" si="53"/>
        <v>420</v>
      </c>
      <c r="G386" s="2">
        <f t="shared" si="54"/>
        <v>0.35</v>
      </c>
      <c r="H386" s="12">
        <f t="shared" si="55"/>
        <v>0.83333333333333337</v>
      </c>
      <c r="I386" s="12">
        <v>0.02</v>
      </c>
      <c r="J386" s="12">
        <v>7.0000000000000007E-2</v>
      </c>
      <c r="K386" s="12">
        <f t="shared" si="56"/>
        <v>0.25853333333333334</v>
      </c>
      <c r="L386" s="12">
        <f t="shared" si="57"/>
        <v>1.1818666666666666</v>
      </c>
      <c r="M386" s="2">
        <f>L386*250</f>
        <v>295.46666666666664</v>
      </c>
      <c r="N386" s="2"/>
      <c r="O386" s="2"/>
      <c r="P386" s="2"/>
      <c r="Q386" s="2"/>
      <c r="R386" s="28">
        <f t="shared" si="60"/>
        <v>21.875</v>
      </c>
    </row>
    <row r="387" spans="1:18" hidden="1" x14ac:dyDescent="0.25">
      <c r="A387" s="16">
        <v>45574</v>
      </c>
      <c r="B387" s="2" t="s">
        <v>143</v>
      </c>
      <c r="C387" s="10">
        <v>350</v>
      </c>
      <c r="D387" s="19">
        <v>0.57999999999999996</v>
      </c>
      <c r="E387" s="11">
        <v>0.245</v>
      </c>
      <c r="F387" s="10">
        <f t="shared" si="53"/>
        <v>420</v>
      </c>
      <c r="G387" s="10">
        <f t="shared" si="54"/>
        <v>0.35</v>
      </c>
      <c r="H387" s="12">
        <f t="shared" si="55"/>
        <v>0.83333333333333337</v>
      </c>
      <c r="I387" s="12">
        <v>0.02</v>
      </c>
      <c r="J387" s="12">
        <v>7.0000000000000007E-2</v>
      </c>
      <c r="K387" s="12">
        <f t="shared" si="56"/>
        <v>0.22621666666666668</v>
      </c>
      <c r="L387" s="12">
        <f t="shared" si="57"/>
        <v>1.1495500000000001</v>
      </c>
      <c r="M387" s="12"/>
      <c r="N387" s="12"/>
      <c r="O387" s="12">
        <f t="shared" ref="O387:O396" si="61">L387*500</f>
        <v>574.77500000000009</v>
      </c>
      <c r="P387" s="12"/>
      <c r="Q387" s="12"/>
      <c r="R387" s="28">
        <f t="shared" si="60"/>
        <v>19.678714859437751</v>
      </c>
    </row>
    <row r="388" spans="1:18" hidden="1" x14ac:dyDescent="0.25">
      <c r="A388" s="16">
        <v>45574</v>
      </c>
      <c r="B388" s="2" t="s">
        <v>90</v>
      </c>
      <c r="C388" s="10">
        <v>300</v>
      </c>
      <c r="D388" s="19">
        <v>0.17</v>
      </c>
      <c r="E388" s="11">
        <v>0.31</v>
      </c>
      <c r="F388" s="10">
        <f t="shared" si="53"/>
        <v>830</v>
      </c>
      <c r="G388" s="10">
        <f t="shared" si="54"/>
        <v>0.3</v>
      </c>
      <c r="H388" s="12">
        <f t="shared" si="55"/>
        <v>0.36144578313253012</v>
      </c>
      <c r="I388" s="12">
        <v>0.02</v>
      </c>
      <c r="J388" s="12">
        <v>7.0000000000000007E-2</v>
      </c>
      <c r="K388" s="12">
        <f t="shared" si="56"/>
        <v>0.13994819277108433</v>
      </c>
      <c r="L388" s="12">
        <f t="shared" si="57"/>
        <v>0.59139397590361442</v>
      </c>
      <c r="M388" s="12"/>
      <c r="N388" s="12"/>
      <c r="O388" s="12">
        <f t="shared" si="61"/>
        <v>295.69698795180722</v>
      </c>
      <c r="P388" s="12"/>
      <c r="Q388" s="12"/>
      <c r="R388" s="28">
        <f t="shared" si="60"/>
        <v>23.664122137404583</v>
      </c>
    </row>
    <row r="389" spans="1:18" hidden="1" x14ac:dyDescent="0.25">
      <c r="A389" s="16">
        <v>45574</v>
      </c>
      <c r="B389" s="2" t="s">
        <v>108</v>
      </c>
      <c r="C389" s="2">
        <v>370</v>
      </c>
      <c r="D389" s="19">
        <v>0</v>
      </c>
      <c r="E389" s="11">
        <v>0.37</v>
      </c>
      <c r="F389" s="10">
        <f t="shared" si="53"/>
        <v>1000</v>
      </c>
      <c r="G389" s="10">
        <f t="shared" si="54"/>
        <v>0.37</v>
      </c>
      <c r="H389" s="12">
        <f t="shared" si="55"/>
        <v>0.37</v>
      </c>
      <c r="I389" s="12">
        <v>0.02</v>
      </c>
      <c r="J389" s="12">
        <v>7.0000000000000007E-2</v>
      </c>
      <c r="K389" s="12">
        <f t="shared" si="56"/>
        <v>0.17020000000000002</v>
      </c>
      <c r="L389" s="12">
        <f t="shared" si="57"/>
        <v>0.63020000000000009</v>
      </c>
      <c r="M389" s="2"/>
      <c r="N389" s="2"/>
      <c r="O389" s="2">
        <f t="shared" si="61"/>
        <v>315.10000000000002</v>
      </c>
      <c r="P389" s="2"/>
      <c r="Q389" s="2"/>
      <c r="R389" s="28">
        <f t="shared" si="60"/>
        <v>27.007299270072991</v>
      </c>
    </row>
    <row r="390" spans="1:18" hidden="1" x14ac:dyDescent="0.25">
      <c r="A390" s="16">
        <v>45574</v>
      </c>
      <c r="B390" s="2" t="s">
        <v>110</v>
      </c>
      <c r="C390" s="2">
        <v>100</v>
      </c>
      <c r="D390" s="19">
        <v>9.9000000000000008E-3</v>
      </c>
      <c r="E390" s="11">
        <v>0.316</v>
      </c>
      <c r="F390" s="10">
        <f t="shared" si="53"/>
        <v>990.1</v>
      </c>
      <c r="G390" s="2">
        <f t="shared" si="54"/>
        <v>0.1</v>
      </c>
      <c r="H390" s="12">
        <f t="shared" si="55"/>
        <v>0.10099989900010099</v>
      </c>
      <c r="I390" s="12">
        <v>0.02</v>
      </c>
      <c r="J390" s="12">
        <v>7.0000000000000007E-2</v>
      </c>
      <c r="K390" s="12">
        <f t="shared" si="56"/>
        <v>6.0355968084031916E-2</v>
      </c>
      <c r="L390" s="12">
        <f t="shared" si="57"/>
        <v>0.25135586708413293</v>
      </c>
      <c r="M390" s="2"/>
      <c r="N390" s="2"/>
      <c r="O390" s="2">
        <f t="shared" si="61"/>
        <v>125.67793354206647</v>
      </c>
      <c r="P390" s="2"/>
      <c r="Q390" s="2"/>
      <c r="R390" s="28">
        <f t="shared" si="60"/>
        <v>24.012158054711243</v>
      </c>
    </row>
    <row r="391" spans="1:18" hidden="1" x14ac:dyDescent="0.25">
      <c r="A391" s="16">
        <v>45574</v>
      </c>
      <c r="B391" s="10" t="s">
        <v>93</v>
      </c>
      <c r="C391" s="10">
        <v>480</v>
      </c>
      <c r="D391" s="19">
        <v>0</v>
      </c>
      <c r="E391" s="11">
        <v>0.214</v>
      </c>
      <c r="F391" s="10">
        <f t="shared" si="53"/>
        <v>1000</v>
      </c>
      <c r="G391" s="2">
        <f t="shared" si="54"/>
        <v>0.48</v>
      </c>
      <c r="H391" s="12">
        <f t="shared" si="55"/>
        <v>0.48</v>
      </c>
      <c r="I391" s="12">
        <v>0.02</v>
      </c>
      <c r="J391" s="12">
        <v>7.0000000000000007E-2</v>
      </c>
      <c r="K391" s="12">
        <f t="shared" si="56"/>
        <v>0.12198000000000001</v>
      </c>
      <c r="L391" s="12">
        <f t="shared" si="57"/>
        <v>0.69198000000000004</v>
      </c>
      <c r="M391" s="12"/>
      <c r="N391" s="12"/>
      <c r="O391" s="12">
        <f t="shared" si="61"/>
        <v>345.99</v>
      </c>
      <c r="P391" s="12"/>
      <c r="Q391" s="12"/>
      <c r="R391" s="28">
        <v>5.8380414312617708</v>
      </c>
    </row>
    <row r="392" spans="1:18" hidden="1" x14ac:dyDescent="0.25">
      <c r="A392" s="16">
        <v>45576</v>
      </c>
      <c r="B392" s="10" t="s">
        <v>162</v>
      </c>
      <c r="C392" s="10">
        <v>190</v>
      </c>
      <c r="D392" s="19">
        <v>8.9999999999999993E-3</v>
      </c>
      <c r="E392" s="11">
        <v>0.245</v>
      </c>
      <c r="F392" s="10">
        <f t="shared" ref="F392:F455" si="62">1000-1000*D392</f>
        <v>991</v>
      </c>
      <c r="G392" s="10">
        <f t="shared" ref="G392:G455" si="63">C392/1000</f>
        <v>0.19</v>
      </c>
      <c r="H392" s="12">
        <f t="shared" ref="H392:H455" si="64">C392/F392</f>
        <v>0.19172552976791121</v>
      </c>
      <c r="I392" s="12">
        <v>0.02</v>
      </c>
      <c r="J392" s="12">
        <v>7.0000000000000007E-2</v>
      </c>
      <c r="K392" s="12">
        <f t="shared" ref="K392:K455" si="65">SUM(H392:J392)*E392</f>
        <v>6.9022754793138241E-2</v>
      </c>
      <c r="L392" s="12">
        <f t="shared" ref="L392:L455" si="66">SUM(H392:K392)</f>
        <v>0.35074828456104945</v>
      </c>
      <c r="M392" s="12"/>
      <c r="N392" s="12"/>
      <c r="O392" s="12">
        <f t="shared" si="61"/>
        <v>175.37414228052472</v>
      </c>
      <c r="P392" s="12"/>
      <c r="Q392" s="12"/>
      <c r="R392" s="28">
        <f t="shared" ref="R392:R424" si="67">K392/L392%</f>
        <v>19.678714859437751</v>
      </c>
    </row>
    <row r="393" spans="1:18" hidden="1" x14ac:dyDescent="0.25">
      <c r="A393" s="16">
        <v>45576</v>
      </c>
      <c r="B393" s="2" t="s">
        <v>94</v>
      </c>
      <c r="C393" s="2">
        <v>170</v>
      </c>
      <c r="D393" s="19">
        <v>0.15110000000000001</v>
      </c>
      <c r="E393" s="11">
        <v>1E-3</v>
      </c>
      <c r="F393" s="2">
        <f t="shared" si="62"/>
        <v>848.9</v>
      </c>
      <c r="G393" s="2">
        <f t="shared" si="63"/>
        <v>0.17</v>
      </c>
      <c r="H393" s="2">
        <f t="shared" si="64"/>
        <v>0.20025915891153256</v>
      </c>
      <c r="I393" s="12">
        <v>0.02</v>
      </c>
      <c r="J393" s="12">
        <v>7.0000000000000007E-2</v>
      </c>
      <c r="K393" s="12">
        <f t="shared" si="65"/>
        <v>2.9025915891153255E-4</v>
      </c>
      <c r="L393" s="12">
        <f t="shared" si="66"/>
        <v>0.29054941807044404</v>
      </c>
      <c r="M393" s="2"/>
      <c r="N393" s="2"/>
      <c r="O393" s="2">
        <f t="shared" si="61"/>
        <v>145.27470903522203</v>
      </c>
      <c r="P393" s="2"/>
      <c r="Q393" s="2"/>
      <c r="R393" s="28">
        <f t="shared" si="67"/>
        <v>9.9900099900099917E-2</v>
      </c>
    </row>
    <row r="394" spans="1:18" hidden="1" x14ac:dyDescent="0.25">
      <c r="A394" s="16">
        <v>45576</v>
      </c>
      <c r="B394" s="2" t="s">
        <v>95</v>
      </c>
      <c r="C394" s="2">
        <v>170</v>
      </c>
      <c r="D394" s="19">
        <v>0.15110000000000001</v>
      </c>
      <c r="E394" s="11">
        <v>1E-3</v>
      </c>
      <c r="F394" s="2">
        <f t="shared" si="62"/>
        <v>848.9</v>
      </c>
      <c r="G394" s="2">
        <f t="shared" si="63"/>
        <v>0.17</v>
      </c>
      <c r="H394" s="2">
        <f t="shared" si="64"/>
        <v>0.20025915891153256</v>
      </c>
      <c r="I394" s="12">
        <v>0.02</v>
      </c>
      <c r="J394" s="12">
        <v>7.0000000000000007E-2</v>
      </c>
      <c r="K394" s="12">
        <f t="shared" si="65"/>
        <v>2.9025915891153255E-4</v>
      </c>
      <c r="L394" s="12">
        <f t="shared" si="66"/>
        <v>0.29054941807044404</v>
      </c>
      <c r="M394" s="2"/>
      <c r="N394" s="2"/>
      <c r="O394" s="2">
        <f t="shared" si="61"/>
        <v>145.27470903522203</v>
      </c>
      <c r="P394" s="2"/>
      <c r="Q394" s="2"/>
      <c r="R394" s="28">
        <f t="shared" si="67"/>
        <v>9.9900099900099917E-2</v>
      </c>
    </row>
    <row r="395" spans="1:18" hidden="1" x14ac:dyDescent="0.25">
      <c r="A395" s="16">
        <v>45576</v>
      </c>
      <c r="B395" s="2" t="s">
        <v>108</v>
      </c>
      <c r="C395" s="2">
        <v>400</v>
      </c>
      <c r="D395" s="19">
        <v>0</v>
      </c>
      <c r="E395" s="11">
        <v>0.4</v>
      </c>
      <c r="F395" s="10">
        <f t="shared" si="62"/>
        <v>1000</v>
      </c>
      <c r="G395" s="10">
        <f t="shared" si="63"/>
        <v>0.4</v>
      </c>
      <c r="H395" s="12">
        <f t="shared" si="64"/>
        <v>0.4</v>
      </c>
      <c r="I395" s="12">
        <v>0.02</v>
      </c>
      <c r="J395" s="12">
        <v>7.0000000000000007E-2</v>
      </c>
      <c r="K395" s="12">
        <f t="shared" si="65"/>
        <v>0.19600000000000004</v>
      </c>
      <c r="L395" s="12">
        <f t="shared" si="66"/>
        <v>0.68600000000000005</v>
      </c>
      <c r="M395" s="2"/>
      <c r="N395" s="2"/>
      <c r="O395" s="2">
        <f t="shared" si="61"/>
        <v>343</v>
      </c>
      <c r="P395" s="2"/>
      <c r="Q395" s="2"/>
      <c r="R395" s="28">
        <f t="shared" si="67"/>
        <v>28.571428571428573</v>
      </c>
    </row>
    <row r="396" spans="1:18" hidden="1" x14ac:dyDescent="0.25">
      <c r="A396" s="16">
        <v>45576</v>
      </c>
      <c r="B396" s="2" t="s">
        <v>92</v>
      </c>
      <c r="C396" s="2">
        <v>400</v>
      </c>
      <c r="D396" s="19">
        <v>0</v>
      </c>
      <c r="E396" s="11">
        <v>0.4</v>
      </c>
      <c r="F396" s="10">
        <f t="shared" si="62"/>
        <v>1000</v>
      </c>
      <c r="G396" s="10">
        <f t="shared" si="63"/>
        <v>0.4</v>
      </c>
      <c r="H396" s="12">
        <f t="shared" si="64"/>
        <v>0.4</v>
      </c>
      <c r="I396" s="12">
        <v>0.02</v>
      </c>
      <c r="J396" s="12">
        <v>7.0000000000000007E-2</v>
      </c>
      <c r="K396" s="12">
        <f t="shared" si="65"/>
        <v>0.19600000000000004</v>
      </c>
      <c r="L396" s="12">
        <f t="shared" si="66"/>
        <v>0.68600000000000005</v>
      </c>
      <c r="M396" s="2"/>
      <c r="N396" s="2"/>
      <c r="O396" s="2">
        <f t="shared" si="61"/>
        <v>343</v>
      </c>
      <c r="P396" s="2"/>
      <c r="Q396" s="2"/>
      <c r="R396" s="28">
        <f t="shared" si="67"/>
        <v>28.571428571428573</v>
      </c>
    </row>
    <row r="397" spans="1:18" hidden="1" x14ac:dyDescent="0.25">
      <c r="A397" s="16">
        <v>45576</v>
      </c>
      <c r="B397" s="2" t="s">
        <v>111</v>
      </c>
      <c r="C397" s="2">
        <v>550</v>
      </c>
      <c r="D397" s="19">
        <v>0.33</v>
      </c>
      <c r="E397" s="11">
        <v>0.29599999999999999</v>
      </c>
      <c r="F397" s="10">
        <f t="shared" si="62"/>
        <v>670</v>
      </c>
      <c r="G397" s="2">
        <f t="shared" si="63"/>
        <v>0.55000000000000004</v>
      </c>
      <c r="H397" s="12">
        <f t="shared" si="64"/>
        <v>0.82089552238805974</v>
      </c>
      <c r="I397" s="12">
        <v>0.02</v>
      </c>
      <c r="J397" s="12">
        <v>7.0000000000000007E-2</v>
      </c>
      <c r="K397" s="12">
        <f t="shared" si="65"/>
        <v>0.26962507462686564</v>
      </c>
      <c r="L397" s="12">
        <f t="shared" si="66"/>
        <v>1.1805205970149253</v>
      </c>
      <c r="M397" s="2">
        <f>L397*250</f>
        <v>295.1301492537313</v>
      </c>
      <c r="N397" s="2"/>
      <c r="O397" s="2"/>
      <c r="P397" s="2"/>
      <c r="Q397" s="2"/>
      <c r="R397" s="28">
        <f t="shared" si="67"/>
        <v>22.839506172839503</v>
      </c>
    </row>
    <row r="398" spans="1:18" hidden="1" x14ac:dyDescent="0.25">
      <c r="A398" s="16">
        <v>45576</v>
      </c>
      <c r="B398" s="2" t="s">
        <v>112</v>
      </c>
      <c r="C398" s="2">
        <v>550</v>
      </c>
      <c r="D398" s="19">
        <v>0.33</v>
      </c>
      <c r="E398" s="11">
        <v>0.26400000000000001</v>
      </c>
      <c r="F398" s="10">
        <f t="shared" si="62"/>
        <v>670</v>
      </c>
      <c r="G398" s="2">
        <f t="shared" si="63"/>
        <v>0.55000000000000004</v>
      </c>
      <c r="H398" s="12">
        <f t="shared" si="64"/>
        <v>0.82089552238805974</v>
      </c>
      <c r="I398" s="12">
        <v>0.02</v>
      </c>
      <c r="J398" s="12">
        <v>7.0000000000000007E-2</v>
      </c>
      <c r="K398" s="12">
        <f t="shared" si="65"/>
        <v>0.24047641791044777</v>
      </c>
      <c r="L398" s="12">
        <f t="shared" si="66"/>
        <v>1.1513719402985074</v>
      </c>
      <c r="M398" s="2"/>
      <c r="N398" s="2"/>
      <c r="O398" s="2">
        <f>L398*500</f>
        <v>575.68597014925376</v>
      </c>
      <c r="P398" s="2"/>
      <c r="Q398" s="2"/>
      <c r="R398" s="28">
        <f t="shared" si="67"/>
        <v>20.88607594936709</v>
      </c>
    </row>
    <row r="399" spans="1:18" hidden="1" x14ac:dyDescent="0.25">
      <c r="A399" s="16">
        <v>45576</v>
      </c>
      <c r="B399" s="10" t="s">
        <v>97</v>
      </c>
      <c r="C399" s="10">
        <v>220</v>
      </c>
      <c r="D399" s="19">
        <v>0.22</v>
      </c>
      <c r="E399" s="11">
        <v>0.21</v>
      </c>
      <c r="F399" s="10">
        <f t="shared" si="62"/>
        <v>780</v>
      </c>
      <c r="G399" s="10">
        <f t="shared" si="63"/>
        <v>0.22</v>
      </c>
      <c r="H399" s="12">
        <f t="shared" si="64"/>
        <v>0.28205128205128205</v>
      </c>
      <c r="I399" s="12">
        <v>0.02</v>
      </c>
      <c r="J399" s="12">
        <v>7.0000000000000007E-2</v>
      </c>
      <c r="K399" s="12">
        <f t="shared" si="65"/>
        <v>7.8130769230769226E-2</v>
      </c>
      <c r="L399" s="12">
        <f t="shared" si="66"/>
        <v>0.4501820512820513</v>
      </c>
      <c r="M399" s="12"/>
      <c r="N399" s="12"/>
      <c r="O399" s="12">
        <f>L399*500</f>
        <v>225.09102564102565</v>
      </c>
      <c r="P399" s="12"/>
      <c r="Q399" s="12"/>
      <c r="R399" s="28">
        <f t="shared" si="67"/>
        <v>17.355371900826444</v>
      </c>
    </row>
    <row r="400" spans="1:18" hidden="1" x14ac:dyDescent="0.25">
      <c r="A400" s="16">
        <v>45577</v>
      </c>
      <c r="B400" s="2" t="s">
        <v>94</v>
      </c>
      <c r="C400" s="2">
        <v>150</v>
      </c>
      <c r="D400" s="19">
        <v>0.09</v>
      </c>
      <c r="E400" s="11">
        <v>1E-3</v>
      </c>
      <c r="F400" s="2">
        <f t="shared" si="62"/>
        <v>910</v>
      </c>
      <c r="G400" s="2">
        <f t="shared" si="63"/>
        <v>0.15</v>
      </c>
      <c r="H400" s="2">
        <f t="shared" si="64"/>
        <v>0.16483516483516483</v>
      </c>
      <c r="I400" s="12">
        <v>0.02</v>
      </c>
      <c r="J400" s="12">
        <v>7.0000000000000007E-2</v>
      </c>
      <c r="K400" s="12">
        <f t="shared" si="65"/>
        <v>2.5483516483516485E-4</v>
      </c>
      <c r="L400" s="12">
        <f t="shared" si="66"/>
        <v>0.25508999999999998</v>
      </c>
      <c r="M400" s="2"/>
      <c r="N400" s="2"/>
      <c r="O400" s="2">
        <f>L400*500</f>
        <v>127.54499999999999</v>
      </c>
      <c r="P400" s="2"/>
      <c r="Q400" s="2"/>
      <c r="R400" s="28">
        <f t="shared" si="67"/>
        <v>9.9900099900099903E-2</v>
      </c>
    </row>
    <row r="401" spans="1:18" hidden="1" x14ac:dyDescent="0.25">
      <c r="A401" s="16">
        <v>45577</v>
      </c>
      <c r="B401" s="2" t="s">
        <v>95</v>
      </c>
      <c r="C401" s="2">
        <v>150</v>
      </c>
      <c r="D401" s="19">
        <v>0.09</v>
      </c>
      <c r="E401" s="11">
        <v>1E-3</v>
      </c>
      <c r="F401" s="2">
        <f t="shared" si="62"/>
        <v>910</v>
      </c>
      <c r="G401" s="2">
        <f t="shared" si="63"/>
        <v>0.15</v>
      </c>
      <c r="H401" s="2">
        <f t="shared" si="64"/>
        <v>0.16483516483516483</v>
      </c>
      <c r="I401" s="12">
        <v>0.02</v>
      </c>
      <c r="J401" s="12">
        <v>7.0000000000000007E-2</v>
      </c>
      <c r="K401" s="12">
        <f t="shared" si="65"/>
        <v>2.5483516483516485E-4</v>
      </c>
      <c r="L401" s="12">
        <f t="shared" si="66"/>
        <v>0.25508999999999998</v>
      </c>
      <c r="M401" s="2"/>
      <c r="N401" s="2"/>
      <c r="O401" s="2">
        <f>L401*500</f>
        <v>127.54499999999999</v>
      </c>
      <c r="P401" s="2"/>
      <c r="Q401" s="2"/>
      <c r="R401" s="28">
        <f t="shared" si="67"/>
        <v>9.9900099900099903E-2</v>
      </c>
    </row>
    <row r="402" spans="1:18" hidden="1" x14ac:dyDescent="0.25">
      <c r="A402" s="16">
        <v>45577</v>
      </c>
      <c r="B402" s="2" t="s">
        <v>118</v>
      </c>
      <c r="C402" s="2">
        <v>280</v>
      </c>
      <c r="D402" s="19">
        <v>0.45</v>
      </c>
      <c r="E402" s="11">
        <v>0.309</v>
      </c>
      <c r="F402" s="2">
        <f t="shared" si="62"/>
        <v>550</v>
      </c>
      <c r="G402" s="10">
        <f t="shared" si="63"/>
        <v>0.28000000000000003</v>
      </c>
      <c r="H402" s="12">
        <f t="shared" si="64"/>
        <v>0.50909090909090904</v>
      </c>
      <c r="I402" s="12">
        <v>0.02</v>
      </c>
      <c r="J402" s="12">
        <v>7.0000000000000007E-2</v>
      </c>
      <c r="K402" s="12">
        <f t="shared" si="65"/>
        <v>0.18511909090909093</v>
      </c>
      <c r="L402" s="12">
        <f t="shared" si="66"/>
        <v>0.78421000000000007</v>
      </c>
      <c r="M402" s="2">
        <f>L402*250</f>
        <v>196.05250000000001</v>
      </c>
      <c r="N402" s="2"/>
      <c r="O402" s="2"/>
      <c r="P402" s="2"/>
      <c r="Q402" s="2"/>
      <c r="R402" s="28">
        <f t="shared" si="67"/>
        <v>23.605805958747133</v>
      </c>
    </row>
    <row r="403" spans="1:18" hidden="1" x14ac:dyDescent="0.25">
      <c r="A403" s="16">
        <v>45577</v>
      </c>
      <c r="B403" s="2" t="s">
        <v>108</v>
      </c>
      <c r="C403" s="2">
        <v>410</v>
      </c>
      <c r="D403" s="19">
        <v>0.10349999999999999</v>
      </c>
      <c r="E403" s="11">
        <v>0.08</v>
      </c>
      <c r="F403" s="10">
        <f t="shared" si="62"/>
        <v>896.5</v>
      </c>
      <c r="G403" s="10">
        <f t="shared" si="63"/>
        <v>0.41</v>
      </c>
      <c r="H403" s="12">
        <f t="shared" si="64"/>
        <v>0.45733407696597883</v>
      </c>
      <c r="I403" s="12">
        <v>0.02</v>
      </c>
      <c r="J403" s="12">
        <v>7.0000000000000007E-2</v>
      </c>
      <c r="K403" s="12">
        <f t="shared" si="65"/>
        <v>4.3786726157278313E-2</v>
      </c>
      <c r="L403" s="12">
        <f t="shared" si="66"/>
        <v>0.59112080312325721</v>
      </c>
      <c r="M403" s="2"/>
      <c r="N403" s="2"/>
      <c r="O403" s="2">
        <f>L403*500</f>
        <v>295.56040156162862</v>
      </c>
      <c r="P403" s="2"/>
      <c r="Q403" s="2"/>
      <c r="R403" s="28">
        <f t="shared" si="67"/>
        <v>7.4074074074074074</v>
      </c>
    </row>
    <row r="404" spans="1:18" hidden="1" x14ac:dyDescent="0.25">
      <c r="A404" s="16">
        <v>45577</v>
      </c>
      <c r="B404" s="2" t="s">
        <v>92</v>
      </c>
      <c r="C404" s="2">
        <v>410</v>
      </c>
      <c r="D404" s="19">
        <v>0.10349999999999999</v>
      </c>
      <c r="E404" s="11">
        <v>0.19</v>
      </c>
      <c r="F404" s="10">
        <f t="shared" si="62"/>
        <v>896.5</v>
      </c>
      <c r="G404" s="10">
        <f t="shared" si="63"/>
        <v>0.41</v>
      </c>
      <c r="H404" s="12">
        <f t="shared" si="64"/>
        <v>0.45733407696597883</v>
      </c>
      <c r="I404" s="12">
        <v>0.02</v>
      </c>
      <c r="J404" s="12">
        <v>7.0000000000000007E-2</v>
      </c>
      <c r="K404" s="12">
        <f t="shared" si="65"/>
        <v>0.10399347462353599</v>
      </c>
      <c r="L404" s="12">
        <f t="shared" si="66"/>
        <v>0.65132755158951494</v>
      </c>
      <c r="M404" s="2"/>
      <c r="N404" s="2"/>
      <c r="O404" s="2">
        <f>L404*500</f>
        <v>325.6637757947575</v>
      </c>
      <c r="P404" s="2"/>
      <c r="Q404" s="2"/>
      <c r="R404" s="28">
        <f t="shared" si="67"/>
        <v>15.966386554621847</v>
      </c>
    </row>
    <row r="405" spans="1:18" hidden="1" x14ac:dyDescent="0.25">
      <c r="A405" s="16">
        <v>45577</v>
      </c>
      <c r="B405" s="2" t="s">
        <v>111</v>
      </c>
      <c r="C405" s="2">
        <v>700</v>
      </c>
      <c r="D405" s="19">
        <v>0.39</v>
      </c>
      <c r="E405" s="11">
        <v>0.11600000000000001</v>
      </c>
      <c r="F405" s="10">
        <f t="shared" si="62"/>
        <v>610</v>
      </c>
      <c r="G405" s="2">
        <f t="shared" si="63"/>
        <v>0.7</v>
      </c>
      <c r="H405" s="12">
        <f t="shared" si="64"/>
        <v>1.1475409836065573</v>
      </c>
      <c r="I405" s="12">
        <v>0.02</v>
      </c>
      <c r="J405" s="12">
        <v>7.0000000000000007E-2</v>
      </c>
      <c r="K405" s="12">
        <f t="shared" si="65"/>
        <v>0.14355475409836066</v>
      </c>
      <c r="L405" s="12">
        <f t="shared" si="66"/>
        <v>1.381095737704918</v>
      </c>
      <c r="M405" s="2">
        <f>L405*250</f>
        <v>345.27393442622952</v>
      </c>
      <c r="N405" s="2"/>
      <c r="O405" s="2"/>
      <c r="P405" s="2"/>
      <c r="Q405" s="2"/>
      <c r="R405" s="28">
        <f t="shared" si="67"/>
        <v>10.394265232974911</v>
      </c>
    </row>
    <row r="406" spans="1:18" hidden="1" x14ac:dyDescent="0.25">
      <c r="A406" s="16">
        <v>45577</v>
      </c>
      <c r="B406" s="2" t="s">
        <v>160</v>
      </c>
      <c r="C406" s="2">
        <v>700</v>
      </c>
      <c r="D406" s="19">
        <v>0.39</v>
      </c>
      <c r="E406" s="11">
        <v>0.124</v>
      </c>
      <c r="F406" s="10">
        <f t="shared" si="62"/>
        <v>610</v>
      </c>
      <c r="G406" s="2">
        <f t="shared" si="63"/>
        <v>0.7</v>
      </c>
      <c r="H406" s="12">
        <f t="shared" si="64"/>
        <v>1.1475409836065573</v>
      </c>
      <c r="I406" s="12">
        <v>0.02</v>
      </c>
      <c r="J406" s="12">
        <v>7.0000000000000007E-2</v>
      </c>
      <c r="K406" s="12">
        <f t="shared" si="65"/>
        <v>0.15345508196721311</v>
      </c>
      <c r="L406" s="12">
        <f t="shared" si="66"/>
        <v>1.3909960655737705</v>
      </c>
      <c r="M406" s="2"/>
      <c r="N406" s="2"/>
      <c r="O406" s="2">
        <f>L406*500</f>
        <v>695.49803278688523</v>
      </c>
      <c r="P406" s="2"/>
      <c r="Q406" s="2"/>
      <c r="R406" s="28">
        <f t="shared" si="67"/>
        <v>11.032028469750887</v>
      </c>
    </row>
    <row r="407" spans="1:18" hidden="1" x14ac:dyDescent="0.25">
      <c r="A407" s="16">
        <v>45577</v>
      </c>
      <c r="B407" s="2" t="s">
        <v>113</v>
      </c>
      <c r="C407" s="2">
        <v>700</v>
      </c>
      <c r="D407" s="19">
        <v>0.39</v>
      </c>
      <c r="E407" s="11">
        <v>0.53600000000000003</v>
      </c>
      <c r="F407" s="2">
        <f t="shared" si="62"/>
        <v>610</v>
      </c>
      <c r="G407" s="10">
        <f t="shared" si="63"/>
        <v>0.7</v>
      </c>
      <c r="H407" s="12">
        <f t="shared" si="64"/>
        <v>1.1475409836065573</v>
      </c>
      <c r="I407" s="12">
        <v>0.02</v>
      </c>
      <c r="J407" s="12">
        <v>7.0000000000000007E-2</v>
      </c>
      <c r="K407" s="12">
        <f t="shared" si="65"/>
        <v>0.66332196721311476</v>
      </c>
      <c r="L407" s="12">
        <f t="shared" si="66"/>
        <v>1.9008629508196722</v>
      </c>
      <c r="M407" s="2">
        <f>L407*250</f>
        <v>475.21573770491801</v>
      </c>
      <c r="N407" s="2"/>
      <c r="O407" s="2"/>
      <c r="P407" s="2"/>
      <c r="Q407" s="2"/>
      <c r="R407" s="28">
        <f t="shared" si="67"/>
        <v>34.895833333333336</v>
      </c>
    </row>
    <row r="408" spans="1:18" hidden="1" x14ac:dyDescent="0.25">
      <c r="A408" s="16">
        <v>45580</v>
      </c>
      <c r="B408" s="2" t="s">
        <v>111</v>
      </c>
      <c r="C408" s="2">
        <v>700</v>
      </c>
      <c r="D408" s="19">
        <v>0.34</v>
      </c>
      <c r="E408" s="11">
        <v>0.2</v>
      </c>
      <c r="F408" s="10">
        <f t="shared" si="62"/>
        <v>660</v>
      </c>
      <c r="G408" s="2">
        <f t="shared" si="63"/>
        <v>0.7</v>
      </c>
      <c r="H408" s="12">
        <f t="shared" si="64"/>
        <v>1.0606060606060606</v>
      </c>
      <c r="I408" s="12">
        <v>0.02</v>
      </c>
      <c r="J408" s="12">
        <v>7.0000000000000007E-2</v>
      </c>
      <c r="K408" s="12">
        <f t="shared" si="65"/>
        <v>0.23012121212121214</v>
      </c>
      <c r="L408" s="12">
        <f t="shared" si="66"/>
        <v>1.3807272727272728</v>
      </c>
      <c r="M408" s="2">
        <f>L408*250</f>
        <v>345.18181818181819</v>
      </c>
      <c r="N408" s="2"/>
      <c r="O408" s="2"/>
      <c r="P408" s="2"/>
      <c r="Q408" s="2"/>
      <c r="R408" s="28">
        <f t="shared" si="67"/>
        <v>16.666666666666668</v>
      </c>
    </row>
    <row r="409" spans="1:18" hidden="1" x14ac:dyDescent="0.25">
      <c r="A409" s="16">
        <v>45580</v>
      </c>
      <c r="B409" s="2" t="s">
        <v>160</v>
      </c>
      <c r="C409" s="2">
        <v>700</v>
      </c>
      <c r="D409" s="19">
        <v>0.34</v>
      </c>
      <c r="E409" s="11">
        <v>0.20849999999999999</v>
      </c>
      <c r="F409" s="10">
        <f t="shared" si="62"/>
        <v>660</v>
      </c>
      <c r="G409" s="2">
        <f t="shared" si="63"/>
        <v>0.7</v>
      </c>
      <c r="H409" s="12">
        <f t="shared" si="64"/>
        <v>1.0606060606060606</v>
      </c>
      <c r="I409" s="12">
        <v>0.02</v>
      </c>
      <c r="J409" s="12">
        <v>7.0000000000000007E-2</v>
      </c>
      <c r="K409" s="12">
        <f t="shared" si="65"/>
        <v>0.23990136363636363</v>
      </c>
      <c r="L409" s="12">
        <f t="shared" si="66"/>
        <v>1.3905074242424242</v>
      </c>
      <c r="M409" s="2"/>
      <c r="N409" s="2"/>
      <c r="O409" s="2">
        <f>L409*500</f>
        <v>695.25371212121217</v>
      </c>
      <c r="P409" s="2"/>
      <c r="Q409" s="2"/>
      <c r="R409" s="28">
        <f t="shared" si="67"/>
        <v>17.252792718245761</v>
      </c>
    </row>
    <row r="410" spans="1:18" hidden="1" x14ac:dyDescent="0.25">
      <c r="A410" s="16">
        <v>45580</v>
      </c>
      <c r="B410" s="2" t="s">
        <v>113</v>
      </c>
      <c r="C410" s="2">
        <v>700</v>
      </c>
      <c r="D410" s="19">
        <v>0.34</v>
      </c>
      <c r="E410" s="11">
        <v>0.65</v>
      </c>
      <c r="F410" s="2">
        <f t="shared" si="62"/>
        <v>660</v>
      </c>
      <c r="G410" s="10">
        <f t="shared" si="63"/>
        <v>0.7</v>
      </c>
      <c r="H410" s="12">
        <f t="shared" si="64"/>
        <v>1.0606060606060606</v>
      </c>
      <c r="I410" s="12">
        <v>0.02</v>
      </c>
      <c r="J410" s="12">
        <v>7.0000000000000007E-2</v>
      </c>
      <c r="K410" s="12">
        <f t="shared" si="65"/>
        <v>0.74789393939393944</v>
      </c>
      <c r="L410" s="12">
        <f t="shared" si="66"/>
        <v>1.8985000000000001</v>
      </c>
      <c r="M410" s="2">
        <f>L410*250</f>
        <v>474.625</v>
      </c>
      <c r="N410" s="2"/>
      <c r="O410" s="2"/>
      <c r="P410" s="2"/>
      <c r="Q410" s="2"/>
      <c r="R410" s="28">
        <f t="shared" si="67"/>
        <v>39.393939393939391</v>
      </c>
    </row>
    <row r="411" spans="1:18" hidden="1" x14ac:dyDescent="0.25">
      <c r="A411" s="16">
        <v>45580</v>
      </c>
      <c r="B411" s="2" t="s">
        <v>137</v>
      </c>
      <c r="C411" s="2">
        <v>260</v>
      </c>
      <c r="D411" s="19">
        <v>0.05</v>
      </c>
      <c r="E411" s="11">
        <v>0.35</v>
      </c>
      <c r="F411" s="2">
        <f t="shared" si="62"/>
        <v>950</v>
      </c>
      <c r="G411" s="2">
        <f t="shared" si="63"/>
        <v>0.26</v>
      </c>
      <c r="H411" s="2">
        <f t="shared" si="64"/>
        <v>0.27368421052631581</v>
      </c>
      <c r="I411" s="12">
        <v>0.02</v>
      </c>
      <c r="J411" s="12">
        <v>7.0000000000000007E-2</v>
      </c>
      <c r="K411" s="12">
        <f t="shared" si="65"/>
        <v>0.12728947368421054</v>
      </c>
      <c r="L411" s="12">
        <f t="shared" si="66"/>
        <v>0.49097368421052634</v>
      </c>
      <c r="M411" s="2"/>
      <c r="N411" s="2"/>
      <c r="O411" s="2">
        <f>L411*500</f>
        <v>245.48684210526318</v>
      </c>
      <c r="P411" s="2"/>
      <c r="Q411" s="2"/>
      <c r="R411" s="28">
        <f t="shared" si="67"/>
        <v>25.925925925925924</v>
      </c>
    </row>
    <row r="412" spans="1:18" hidden="1" x14ac:dyDescent="0.25">
      <c r="A412" s="16">
        <v>45580</v>
      </c>
      <c r="B412" s="2" t="s">
        <v>94</v>
      </c>
      <c r="C412" s="2">
        <v>200</v>
      </c>
      <c r="D412" s="19">
        <v>0.06</v>
      </c>
      <c r="E412" s="11">
        <v>1E-3</v>
      </c>
      <c r="F412" s="2">
        <f t="shared" si="62"/>
        <v>940</v>
      </c>
      <c r="G412" s="2">
        <f t="shared" si="63"/>
        <v>0.2</v>
      </c>
      <c r="H412" s="2">
        <f t="shared" si="64"/>
        <v>0.21276595744680851</v>
      </c>
      <c r="I412" s="12">
        <v>0.02</v>
      </c>
      <c r="J412" s="12">
        <v>7.0000000000000007E-2</v>
      </c>
      <c r="K412" s="12">
        <f t="shared" si="65"/>
        <v>3.027659574468085E-4</v>
      </c>
      <c r="L412" s="12">
        <f t="shared" si="66"/>
        <v>0.30306872340425534</v>
      </c>
      <c r="M412" s="2"/>
      <c r="N412" s="2"/>
      <c r="O412" s="2">
        <f>L412*500</f>
        <v>151.53436170212765</v>
      </c>
      <c r="P412" s="2"/>
      <c r="Q412" s="2"/>
      <c r="R412" s="28">
        <f t="shared" si="67"/>
        <v>9.990009990009989E-2</v>
      </c>
    </row>
    <row r="413" spans="1:18" hidden="1" x14ac:dyDescent="0.25">
      <c r="A413" s="16">
        <v>45580</v>
      </c>
      <c r="B413" s="2" t="s">
        <v>95</v>
      </c>
      <c r="C413" s="2">
        <v>200</v>
      </c>
      <c r="D413" s="19">
        <v>0.06</v>
      </c>
      <c r="E413" s="11">
        <v>1E-3</v>
      </c>
      <c r="F413" s="2">
        <f t="shared" si="62"/>
        <v>940</v>
      </c>
      <c r="G413" s="2">
        <f t="shared" si="63"/>
        <v>0.2</v>
      </c>
      <c r="H413" s="2">
        <f t="shared" si="64"/>
        <v>0.21276595744680851</v>
      </c>
      <c r="I413" s="12">
        <v>0.02</v>
      </c>
      <c r="J413" s="12">
        <v>7.0000000000000007E-2</v>
      </c>
      <c r="K413" s="12">
        <f t="shared" si="65"/>
        <v>3.027659574468085E-4</v>
      </c>
      <c r="L413" s="12">
        <f t="shared" si="66"/>
        <v>0.30306872340425534</v>
      </c>
      <c r="M413" s="2"/>
      <c r="N413" s="2"/>
      <c r="O413" s="2">
        <f>L413*500</f>
        <v>151.53436170212765</v>
      </c>
      <c r="P413" s="2"/>
      <c r="Q413" s="2"/>
      <c r="R413" s="28">
        <f t="shared" si="67"/>
        <v>9.990009990009989E-2</v>
      </c>
    </row>
    <row r="414" spans="1:18" hidden="1" x14ac:dyDescent="0.25">
      <c r="A414" s="16">
        <v>45580</v>
      </c>
      <c r="B414" s="2" t="s">
        <v>92</v>
      </c>
      <c r="C414" s="2">
        <v>430</v>
      </c>
      <c r="D414" s="19">
        <v>0</v>
      </c>
      <c r="E414" s="11">
        <v>0.19</v>
      </c>
      <c r="F414" s="10">
        <f t="shared" si="62"/>
        <v>1000</v>
      </c>
      <c r="G414" s="10">
        <f t="shared" si="63"/>
        <v>0.43</v>
      </c>
      <c r="H414" s="12">
        <f t="shared" si="64"/>
        <v>0.43</v>
      </c>
      <c r="I414" s="12">
        <v>0.02</v>
      </c>
      <c r="J414" s="12">
        <v>7.0000000000000007E-2</v>
      </c>
      <c r="K414" s="12">
        <f t="shared" si="65"/>
        <v>9.8799999999999999E-2</v>
      </c>
      <c r="L414" s="12">
        <f t="shared" si="66"/>
        <v>0.61880000000000002</v>
      </c>
      <c r="M414" s="2"/>
      <c r="N414" s="2"/>
      <c r="O414" s="2">
        <f>L414*500</f>
        <v>309.40000000000003</v>
      </c>
      <c r="P414" s="2"/>
      <c r="Q414" s="2"/>
      <c r="R414" s="28">
        <f t="shared" si="67"/>
        <v>15.966386554621849</v>
      </c>
    </row>
    <row r="415" spans="1:18" hidden="1" x14ac:dyDescent="0.25">
      <c r="A415" s="16">
        <v>45580</v>
      </c>
      <c r="B415" s="2" t="s">
        <v>118</v>
      </c>
      <c r="C415" s="2">
        <v>240</v>
      </c>
      <c r="D415" s="19">
        <v>0.3</v>
      </c>
      <c r="E415" s="11">
        <v>0.8</v>
      </c>
      <c r="F415" s="2">
        <f t="shared" si="62"/>
        <v>700</v>
      </c>
      <c r="G415" s="10">
        <f t="shared" si="63"/>
        <v>0.24</v>
      </c>
      <c r="H415" s="12">
        <f t="shared" si="64"/>
        <v>0.34285714285714286</v>
      </c>
      <c r="I415" s="12">
        <v>0.02</v>
      </c>
      <c r="J415" s="12">
        <v>7.0000000000000007E-2</v>
      </c>
      <c r="K415" s="12">
        <f t="shared" si="65"/>
        <v>0.34628571428571431</v>
      </c>
      <c r="L415" s="12">
        <f t="shared" si="66"/>
        <v>0.77914285714285714</v>
      </c>
      <c r="M415" s="2">
        <f>L415*250</f>
        <v>194.78571428571428</v>
      </c>
      <c r="N415" s="2"/>
      <c r="O415" s="2"/>
      <c r="P415" s="2"/>
      <c r="Q415" s="2"/>
      <c r="R415" s="28">
        <f t="shared" si="67"/>
        <v>44.44444444444445</v>
      </c>
    </row>
    <row r="416" spans="1:18" hidden="1" x14ac:dyDescent="0.25">
      <c r="A416" s="16">
        <v>45580</v>
      </c>
      <c r="B416" s="2" t="s">
        <v>90</v>
      </c>
      <c r="C416" s="2">
        <v>380</v>
      </c>
      <c r="D416" s="19">
        <v>0</v>
      </c>
      <c r="E416" s="11">
        <v>0.187</v>
      </c>
      <c r="F416" s="2">
        <f t="shared" si="62"/>
        <v>1000</v>
      </c>
      <c r="G416" s="10">
        <f t="shared" si="63"/>
        <v>0.38</v>
      </c>
      <c r="H416" s="12">
        <f t="shared" si="64"/>
        <v>0.38</v>
      </c>
      <c r="I416" s="12">
        <v>0.02</v>
      </c>
      <c r="J416" s="12">
        <v>7.0000000000000007E-2</v>
      </c>
      <c r="K416" s="12">
        <f t="shared" si="65"/>
        <v>8.789000000000001E-2</v>
      </c>
      <c r="L416" s="12">
        <f t="shared" si="66"/>
        <v>0.55789</v>
      </c>
      <c r="M416" s="2"/>
      <c r="N416" s="2"/>
      <c r="O416" s="2">
        <f>L416*500</f>
        <v>278.94499999999999</v>
      </c>
      <c r="P416" s="2"/>
      <c r="Q416" s="2"/>
      <c r="R416" s="28">
        <f t="shared" si="67"/>
        <v>15.754001684919967</v>
      </c>
    </row>
    <row r="417" spans="1:18" hidden="1" x14ac:dyDescent="0.25">
      <c r="A417" s="16">
        <v>45581</v>
      </c>
      <c r="B417" s="2" t="s">
        <v>106</v>
      </c>
      <c r="C417" s="2">
        <v>240</v>
      </c>
      <c r="D417" s="19">
        <v>0.04</v>
      </c>
      <c r="E417" s="11">
        <v>0</v>
      </c>
      <c r="F417" s="2">
        <f t="shared" si="62"/>
        <v>960</v>
      </c>
      <c r="G417" s="2">
        <f t="shared" si="63"/>
        <v>0.24</v>
      </c>
      <c r="H417" s="12">
        <f t="shared" si="64"/>
        <v>0.25</v>
      </c>
      <c r="I417" s="12">
        <v>0.02</v>
      </c>
      <c r="J417" s="12">
        <v>7.0000000000000007E-2</v>
      </c>
      <c r="K417" s="12">
        <f t="shared" si="65"/>
        <v>0</v>
      </c>
      <c r="L417" s="12">
        <f t="shared" si="66"/>
        <v>0.34</v>
      </c>
      <c r="M417" s="2"/>
      <c r="N417" s="2"/>
      <c r="O417" s="2">
        <f>L417*500</f>
        <v>170</v>
      </c>
      <c r="P417" s="2"/>
      <c r="Q417" s="2"/>
      <c r="R417" s="28">
        <f t="shared" si="67"/>
        <v>0</v>
      </c>
    </row>
    <row r="418" spans="1:18" hidden="1" x14ac:dyDescent="0.25">
      <c r="A418" s="16">
        <v>45581</v>
      </c>
      <c r="B418" s="2" t="s">
        <v>94</v>
      </c>
      <c r="C418" s="2">
        <v>220</v>
      </c>
      <c r="D418" s="19">
        <v>0.15</v>
      </c>
      <c r="E418" s="11">
        <v>0</v>
      </c>
      <c r="F418" s="2">
        <f t="shared" si="62"/>
        <v>850</v>
      </c>
      <c r="G418" s="2">
        <f t="shared" si="63"/>
        <v>0.22</v>
      </c>
      <c r="H418" s="12">
        <f t="shared" si="64"/>
        <v>0.25882352941176473</v>
      </c>
      <c r="I418" s="12">
        <v>0.02</v>
      </c>
      <c r="J418" s="12">
        <v>7.0000000000000007E-2</v>
      </c>
      <c r="K418" s="12">
        <f t="shared" si="65"/>
        <v>0</v>
      </c>
      <c r="L418" s="12">
        <f t="shared" si="66"/>
        <v>0.34882352941176475</v>
      </c>
      <c r="M418" s="2"/>
      <c r="N418" s="2"/>
      <c r="O418" s="2">
        <f>L418*500</f>
        <v>174.41176470588238</v>
      </c>
      <c r="P418" s="2"/>
      <c r="Q418" s="2"/>
      <c r="R418" s="28">
        <f t="shared" si="67"/>
        <v>0</v>
      </c>
    </row>
    <row r="419" spans="1:18" hidden="1" x14ac:dyDescent="0.25">
      <c r="A419" s="16">
        <v>45581</v>
      </c>
      <c r="B419" s="2" t="s">
        <v>95</v>
      </c>
      <c r="C419" s="2">
        <v>220</v>
      </c>
      <c r="D419" s="19">
        <v>0.15</v>
      </c>
      <c r="E419" s="11">
        <v>0</v>
      </c>
      <c r="F419" s="2">
        <f t="shared" si="62"/>
        <v>850</v>
      </c>
      <c r="G419" s="2">
        <f t="shared" si="63"/>
        <v>0.22</v>
      </c>
      <c r="H419" s="12">
        <f t="shared" si="64"/>
        <v>0.25882352941176473</v>
      </c>
      <c r="I419" s="12">
        <v>0.02</v>
      </c>
      <c r="J419" s="12">
        <v>7.0000000000000007E-2</v>
      </c>
      <c r="K419" s="12">
        <f t="shared" si="65"/>
        <v>0</v>
      </c>
      <c r="L419" s="12">
        <f t="shared" si="66"/>
        <v>0.34882352941176475</v>
      </c>
      <c r="M419" s="2"/>
      <c r="N419" s="2"/>
      <c r="O419" s="2">
        <f>L419*500</f>
        <v>174.41176470588238</v>
      </c>
      <c r="P419" s="2"/>
      <c r="Q419" s="2"/>
      <c r="R419" s="28">
        <f t="shared" si="67"/>
        <v>0</v>
      </c>
    </row>
    <row r="420" spans="1:18" hidden="1" x14ac:dyDescent="0.25">
      <c r="A420" s="16">
        <v>45581</v>
      </c>
      <c r="B420" s="2" t="s">
        <v>143</v>
      </c>
      <c r="C420" s="2">
        <v>380</v>
      </c>
      <c r="D420" s="19">
        <v>0.54</v>
      </c>
      <c r="E420" s="11">
        <v>0.3</v>
      </c>
      <c r="F420" s="2">
        <f t="shared" si="62"/>
        <v>460</v>
      </c>
      <c r="G420" s="2">
        <f t="shared" si="63"/>
        <v>0.38</v>
      </c>
      <c r="H420" s="12">
        <f t="shared" si="64"/>
        <v>0.82608695652173914</v>
      </c>
      <c r="I420" s="12">
        <v>0.02</v>
      </c>
      <c r="J420" s="12">
        <v>7.0000000000000007E-2</v>
      </c>
      <c r="K420" s="12">
        <f t="shared" si="65"/>
        <v>0.27482608695652172</v>
      </c>
      <c r="L420" s="12">
        <f t="shared" si="66"/>
        <v>1.1909130434782609</v>
      </c>
      <c r="M420" s="2"/>
      <c r="N420" s="2"/>
      <c r="O420" s="2">
        <f>L420*500</f>
        <v>595.45652173913049</v>
      </c>
      <c r="P420" s="2"/>
      <c r="Q420" s="2"/>
      <c r="R420" s="28">
        <f t="shared" si="67"/>
        <v>23.076923076923073</v>
      </c>
    </row>
    <row r="421" spans="1:18" hidden="1" x14ac:dyDescent="0.25">
      <c r="A421" s="16">
        <v>45581</v>
      </c>
      <c r="B421" s="2" t="s">
        <v>138</v>
      </c>
      <c r="C421" s="2">
        <v>380</v>
      </c>
      <c r="D421" s="19">
        <v>0.54</v>
      </c>
      <c r="E421" s="11">
        <v>0.28999999999999998</v>
      </c>
      <c r="F421" s="2">
        <f t="shared" si="62"/>
        <v>460</v>
      </c>
      <c r="G421" s="2">
        <f t="shared" si="63"/>
        <v>0.38</v>
      </c>
      <c r="H421" s="12">
        <f t="shared" si="64"/>
        <v>0.82608695652173914</v>
      </c>
      <c r="I421" s="12">
        <v>0.02</v>
      </c>
      <c r="J421" s="12">
        <v>7.0000000000000007E-2</v>
      </c>
      <c r="K421" s="12">
        <f t="shared" si="65"/>
        <v>0.26566521739130433</v>
      </c>
      <c r="L421" s="12">
        <f t="shared" si="66"/>
        <v>1.1817521739130434</v>
      </c>
      <c r="M421" s="2">
        <f>L421*250</f>
        <v>295.43804347826085</v>
      </c>
      <c r="N421" s="2"/>
      <c r="O421" s="2"/>
      <c r="P421" s="2"/>
      <c r="Q421" s="2"/>
      <c r="R421" s="28">
        <f t="shared" si="67"/>
        <v>22.480620155038757</v>
      </c>
    </row>
    <row r="422" spans="1:18" hidden="1" x14ac:dyDescent="0.25">
      <c r="A422" s="16">
        <v>45582</v>
      </c>
      <c r="B422" s="2" t="s">
        <v>108</v>
      </c>
      <c r="C422" s="2">
        <v>380</v>
      </c>
      <c r="D422" s="19">
        <v>0.06</v>
      </c>
      <c r="E422" s="11">
        <v>0.19500000000000001</v>
      </c>
      <c r="F422" s="2">
        <f t="shared" si="62"/>
        <v>940</v>
      </c>
      <c r="G422" s="2">
        <f t="shared" si="63"/>
        <v>0.38</v>
      </c>
      <c r="H422" s="12">
        <f t="shared" si="64"/>
        <v>0.40425531914893614</v>
      </c>
      <c r="I422" s="12">
        <v>0.02</v>
      </c>
      <c r="J422" s="12">
        <v>7.0000000000000007E-2</v>
      </c>
      <c r="K422" s="12">
        <f t="shared" si="65"/>
        <v>9.6379787234042558E-2</v>
      </c>
      <c r="L422" s="12">
        <f t="shared" si="66"/>
        <v>0.59063510638297867</v>
      </c>
      <c r="M422" s="2"/>
      <c r="N422" s="2"/>
      <c r="O422" s="2">
        <f t="shared" ref="O422:O427" si="68">L422*500</f>
        <v>295.31755319148931</v>
      </c>
      <c r="P422" s="2"/>
      <c r="Q422" s="2"/>
      <c r="R422" s="28">
        <f t="shared" si="67"/>
        <v>16.317991631799167</v>
      </c>
    </row>
    <row r="423" spans="1:18" hidden="1" x14ac:dyDescent="0.25">
      <c r="A423" s="16">
        <v>45582</v>
      </c>
      <c r="B423" s="2" t="s">
        <v>94</v>
      </c>
      <c r="C423" s="2">
        <v>230</v>
      </c>
      <c r="D423" s="19">
        <v>0</v>
      </c>
      <c r="E423" s="11">
        <v>0</v>
      </c>
      <c r="F423" s="2">
        <f t="shared" si="62"/>
        <v>1000</v>
      </c>
      <c r="G423" s="2">
        <f t="shared" si="63"/>
        <v>0.23</v>
      </c>
      <c r="H423" s="12">
        <f t="shared" si="64"/>
        <v>0.23</v>
      </c>
      <c r="I423" s="12">
        <v>0.02</v>
      </c>
      <c r="J423" s="12">
        <v>7.0000000000000007E-2</v>
      </c>
      <c r="K423" s="12">
        <f t="shared" si="65"/>
        <v>0</v>
      </c>
      <c r="L423" s="12">
        <f t="shared" si="66"/>
        <v>0.32</v>
      </c>
      <c r="M423" s="2"/>
      <c r="N423" s="2"/>
      <c r="O423" s="2">
        <f t="shared" si="68"/>
        <v>160</v>
      </c>
      <c r="P423" s="2"/>
      <c r="Q423" s="2"/>
      <c r="R423" s="28">
        <f t="shared" si="67"/>
        <v>0</v>
      </c>
    </row>
    <row r="424" spans="1:18" hidden="1" x14ac:dyDescent="0.25">
      <c r="A424" s="16">
        <v>45582</v>
      </c>
      <c r="B424" s="2" t="s">
        <v>95</v>
      </c>
      <c r="C424" s="2">
        <v>230</v>
      </c>
      <c r="D424" s="19">
        <v>0</v>
      </c>
      <c r="E424" s="11">
        <v>0</v>
      </c>
      <c r="F424" s="2">
        <f t="shared" si="62"/>
        <v>1000</v>
      </c>
      <c r="G424" s="2">
        <f t="shared" si="63"/>
        <v>0.23</v>
      </c>
      <c r="H424" s="12">
        <f t="shared" si="64"/>
        <v>0.23</v>
      </c>
      <c r="I424" s="12">
        <v>0.02</v>
      </c>
      <c r="J424" s="12">
        <v>7.0000000000000007E-2</v>
      </c>
      <c r="K424" s="12">
        <f t="shared" si="65"/>
        <v>0</v>
      </c>
      <c r="L424" s="12">
        <f t="shared" si="66"/>
        <v>0.32</v>
      </c>
      <c r="M424" s="2"/>
      <c r="N424" s="2"/>
      <c r="O424" s="2">
        <f t="shared" si="68"/>
        <v>160</v>
      </c>
      <c r="P424" s="2"/>
      <c r="Q424" s="2"/>
      <c r="R424" s="28">
        <f t="shared" si="67"/>
        <v>0</v>
      </c>
    </row>
    <row r="425" spans="1:18" hidden="1" x14ac:dyDescent="0.25">
      <c r="A425" s="16">
        <v>45582</v>
      </c>
      <c r="B425" s="10" t="s">
        <v>93</v>
      </c>
      <c r="C425" s="10">
        <v>530</v>
      </c>
      <c r="D425" s="19">
        <v>0.05</v>
      </c>
      <c r="E425" s="11">
        <v>0.158</v>
      </c>
      <c r="F425" s="10">
        <f t="shared" si="62"/>
        <v>950</v>
      </c>
      <c r="G425" s="2">
        <f t="shared" si="63"/>
        <v>0.53</v>
      </c>
      <c r="H425" s="12">
        <f t="shared" si="64"/>
        <v>0.55789473684210522</v>
      </c>
      <c r="I425" s="12">
        <v>0.02</v>
      </c>
      <c r="J425" s="12">
        <v>7.0000000000000007E-2</v>
      </c>
      <c r="K425" s="12">
        <f t="shared" si="65"/>
        <v>0.10236736842105264</v>
      </c>
      <c r="L425" s="12">
        <f t="shared" si="66"/>
        <v>0.75026210526315795</v>
      </c>
      <c r="M425" s="12"/>
      <c r="N425" s="12"/>
      <c r="O425" s="12">
        <f t="shared" si="68"/>
        <v>375.131052631579</v>
      </c>
      <c r="P425" s="12"/>
      <c r="Q425" s="12"/>
      <c r="R425" s="28">
        <v>5.8380414312617708</v>
      </c>
    </row>
    <row r="426" spans="1:18" hidden="1" x14ac:dyDescent="0.25">
      <c r="A426" s="16">
        <v>45582</v>
      </c>
      <c r="B426" s="10" t="s">
        <v>197</v>
      </c>
      <c r="C426" s="10">
        <v>530</v>
      </c>
      <c r="D426" s="19">
        <v>0.05</v>
      </c>
      <c r="E426" s="11">
        <v>6.5000000000000002E-2</v>
      </c>
      <c r="F426" s="10">
        <f t="shared" si="62"/>
        <v>950</v>
      </c>
      <c r="G426" s="10">
        <f t="shared" si="63"/>
        <v>0.53</v>
      </c>
      <c r="H426" s="12">
        <f t="shared" si="64"/>
        <v>0.55789473684210522</v>
      </c>
      <c r="I426" s="12">
        <v>0.02</v>
      </c>
      <c r="J426" s="12">
        <v>7.0000000000000007E-2</v>
      </c>
      <c r="K426" s="12">
        <f t="shared" si="65"/>
        <v>4.2113157894736845E-2</v>
      </c>
      <c r="L426" s="12">
        <f t="shared" si="66"/>
        <v>0.6900078947368421</v>
      </c>
      <c r="M426" s="12"/>
      <c r="N426" s="12"/>
      <c r="O426" s="12">
        <f t="shared" si="68"/>
        <v>345.00394736842105</v>
      </c>
      <c r="P426" s="12"/>
      <c r="Q426" s="12"/>
      <c r="R426" s="28">
        <f t="shared" ref="R426:R468" si="69">K426/L426%</f>
        <v>6.103286384976526</v>
      </c>
    </row>
    <row r="427" spans="1:18" hidden="1" x14ac:dyDescent="0.25">
      <c r="A427" s="16">
        <v>45582</v>
      </c>
      <c r="B427" s="2" t="s">
        <v>108</v>
      </c>
      <c r="C427" s="2">
        <v>380</v>
      </c>
      <c r="D427" s="19">
        <v>0.10349999999999999</v>
      </c>
      <c r="E427" s="11">
        <v>0.08</v>
      </c>
      <c r="F427" s="10">
        <f t="shared" si="62"/>
        <v>896.5</v>
      </c>
      <c r="G427" s="10">
        <f t="shared" si="63"/>
        <v>0.38</v>
      </c>
      <c r="H427" s="12">
        <f t="shared" si="64"/>
        <v>0.42387060791968767</v>
      </c>
      <c r="I427" s="12">
        <v>0.02</v>
      </c>
      <c r="J427" s="12">
        <v>7.0000000000000007E-2</v>
      </c>
      <c r="K427" s="12">
        <f t="shared" si="65"/>
        <v>4.1109648633575017E-2</v>
      </c>
      <c r="L427" s="12">
        <f t="shared" si="66"/>
        <v>0.55498025655326277</v>
      </c>
      <c r="M427" s="2"/>
      <c r="N427" s="2"/>
      <c r="O427" s="2">
        <f t="shared" si="68"/>
        <v>277.49012827663137</v>
      </c>
      <c r="P427" s="2"/>
      <c r="Q427" s="2"/>
      <c r="R427" s="28">
        <f t="shared" si="69"/>
        <v>7.4074074074074066</v>
      </c>
    </row>
    <row r="428" spans="1:18" hidden="1" x14ac:dyDescent="0.25">
      <c r="A428" s="16">
        <v>45582</v>
      </c>
      <c r="B428" s="2" t="s">
        <v>105</v>
      </c>
      <c r="C428" s="10">
        <v>120</v>
      </c>
      <c r="D428" s="19">
        <v>0.71</v>
      </c>
      <c r="E428" s="11">
        <v>0.15</v>
      </c>
      <c r="F428" s="10">
        <f t="shared" si="62"/>
        <v>290</v>
      </c>
      <c r="G428" s="10">
        <f t="shared" si="63"/>
        <v>0.12</v>
      </c>
      <c r="H428" s="12">
        <f t="shared" si="64"/>
        <v>0.41379310344827586</v>
      </c>
      <c r="I428" s="12">
        <v>0.02</v>
      </c>
      <c r="J428" s="12">
        <v>7.0000000000000007E-2</v>
      </c>
      <c r="K428" s="12">
        <f t="shared" si="65"/>
        <v>7.5568965517241377E-2</v>
      </c>
      <c r="L428" s="12">
        <f t="shared" si="66"/>
        <v>0.57936206896551723</v>
      </c>
      <c r="M428" s="12">
        <f>L428*250</f>
        <v>144.8405172413793</v>
      </c>
      <c r="N428" s="2"/>
      <c r="O428" s="2"/>
      <c r="P428" s="2"/>
      <c r="Q428" s="2"/>
      <c r="R428" s="28">
        <f t="shared" si="69"/>
        <v>13.043478260869565</v>
      </c>
    </row>
    <row r="429" spans="1:18" hidden="1" x14ac:dyDescent="0.25">
      <c r="A429" s="16">
        <v>45582</v>
      </c>
      <c r="B429" s="2" t="s">
        <v>104</v>
      </c>
      <c r="C429" s="10">
        <v>120</v>
      </c>
      <c r="D429" s="19">
        <v>0.71</v>
      </c>
      <c r="E429" s="11">
        <v>0.15</v>
      </c>
      <c r="F429" s="10">
        <f t="shared" si="62"/>
        <v>290</v>
      </c>
      <c r="G429" s="10">
        <f t="shared" si="63"/>
        <v>0.12</v>
      </c>
      <c r="H429" s="12">
        <f t="shared" si="64"/>
        <v>0.41379310344827586</v>
      </c>
      <c r="I429" s="12">
        <v>0.02</v>
      </c>
      <c r="J429" s="12">
        <v>7.0000000000000007E-2</v>
      </c>
      <c r="K429" s="12">
        <f t="shared" si="65"/>
        <v>7.5568965517241377E-2</v>
      </c>
      <c r="L429" s="12">
        <f t="shared" si="66"/>
        <v>0.57936206896551723</v>
      </c>
      <c r="M429" s="12">
        <f>L429*250</f>
        <v>144.8405172413793</v>
      </c>
      <c r="N429" s="12"/>
      <c r="O429" s="12"/>
      <c r="P429" s="12"/>
      <c r="Q429" s="12"/>
      <c r="R429" s="28">
        <f t="shared" si="69"/>
        <v>13.043478260869565</v>
      </c>
    </row>
    <row r="430" spans="1:18" hidden="1" x14ac:dyDescent="0.25">
      <c r="A430" s="16">
        <v>45583</v>
      </c>
      <c r="B430" s="2" t="s">
        <v>94</v>
      </c>
      <c r="C430" s="2">
        <v>220</v>
      </c>
      <c r="D430" s="19">
        <v>0.06</v>
      </c>
      <c r="E430" s="11">
        <v>8.2000000000000003E-2</v>
      </c>
      <c r="F430" s="10">
        <f t="shared" si="62"/>
        <v>940</v>
      </c>
      <c r="G430" s="10">
        <f t="shared" si="63"/>
        <v>0.22</v>
      </c>
      <c r="H430" s="12">
        <f t="shared" si="64"/>
        <v>0.23404255319148937</v>
      </c>
      <c r="I430" s="12">
        <v>0.02</v>
      </c>
      <c r="J430" s="12">
        <v>7.0000000000000007E-2</v>
      </c>
      <c r="K430" s="12">
        <f t="shared" si="65"/>
        <v>2.657148936170213E-2</v>
      </c>
      <c r="L430" s="12">
        <f t="shared" si="66"/>
        <v>0.35061404255319151</v>
      </c>
      <c r="M430" s="12"/>
      <c r="N430" s="12"/>
      <c r="O430" s="12">
        <f>L430*500</f>
        <v>175.30702127659575</v>
      </c>
      <c r="P430" s="12"/>
      <c r="Q430" s="12"/>
      <c r="R430" s="28">
        <f t="shared" si="69"/>
        <v>7.5785582255083188</v>
      </c>
    </row>
    <row r="431" spans="1:18" hidden="1" x14ac:dyDescent="0.25">
      <c r="A431" s="16">
        <v>45583</v>
      </c>
      <c r="B431" s="2" t="s">
        <v>95</v>
      </c>
      <c r="C431" s="2">
        <v>220</v>
      </c>
      <c r="D431" s="19">
        <v>0.06</v>
      </c>
      <c r="E431" s="11">
        <v>8.2000000000000003E-2</v>
      </c>
      <c r="F431" s="10">
        <f t="shared" si="62"/>
        <v>940</v>
      </c>
      <c r="G431" s="10">
        <f t="shared" si="63"/>
        <v>0.22</v>
      </c>
      <c r="H431" s="12">
        <f t="shared" si="64"/>
        <v>0.23404255319148937</v>
      </c>
      <c r="I431" s="12">
        <v>0.02</v>
      </c>
      <c r="J431" s="12">
        <v>7.0000000000000007E-2</v>
      </c>
      <c r="K431" s="12">
        <f t="shared" si="65"/>
        <v>2.657148936170213E-2</v>
      </c>
      <c r="L431" s="12">
        <f t="shared" si="66"/>
        <v>0.35061404255319151</v>
      </c>
      <c r="M431" s="12"/>
      <c r="N431" s="12"/>
      <c r="O431" s="12">
        <f>L431*500</f>
        <v>175.30702127659575</v>
      </c>
      <c r="P431" s="12"/>
      <c r="Q431" s="12"/>
      <c r="R431" s="28">
        <f t="shared" si="69"/>
        <v>7.5785582255083188</v>
      </c>
    </row>
    <row r="432" spans="1:18" hidden="1" x14ac:dyDescent="0.25">
      <c r="A432" s="16">
        <v>45583</v>
      </c>
      <c r="B432" s="2" t="s">
        <v>106</v>
      </c>
      <c r="C432" s="2">
        <v>240</v>
      </c>
      <c r="D432" s="19">
        <v>0.17</v>
      </c>
      <c r="E432" s="11">
        <v>0.29499999999999998</v>
      </c>
      <c r="F432" s="10">
        <f t="shared" si="62"/>
        <v>830</v>
      </c>
      <c r="G432" s="10">
        <f t="shared" si="63"/>
        <v>0.24</v>
      </c>
      <c r="H432" s="12">
        <f t="shared" si="64"/>
        <v>0.28915662650602408</v>
      </c>
      <c r="I432" s="12">
        <v>0.02</v>
      </c>
      <c r="J432" s="12">
        <v>7.0000000000000007E-2</v>
      </c>
      <c r="K432" s="12">
        <f t="shared" si="65"/>
        <v>0.1118512048192771</v>
      </c>
      <c r="L432" s="12">
        <f t="shared" si="66"/>
        <v>0.49100783132530124</v>
      </c>
      <c r="M432" s="12"/>
      <c r="N432" s="12"/>
      <c r="O432" s="12">
        <f>L432*500</f>
        <v>245.50391566265063</v>
      </c>
      <c r="P432" s="12"/>
      <c r="Q432" s="12"/>
      <c r="R432" s="28">
        <f t="shared" si="69"/>
        <v>22.779922779922778</v>
      </c>
    </row>
    <row r="433" spans="1:18" hidden="1" x14ac:dyDescent="0.25">
      <c r="A433" s="16">
        <v>45583</v>
      </c>
      <c r="B433" s="2" t="s">
        <v>111</v>
      </c>
      <c r="C433" s="2">
        <v>680</v>
      </c>
      <c r="D433" s="19">
        <v>0.35</v>
      </c>
      <c r="E433" s="11">
        <v>0.215</v>
      </c>
      <c r="F433" s="10">
        <f t="shared" si="62"/>
        <v>650</v>
      </c>
      <c r="G433" s="10">
        <f t="shared" si="63"/>
        <v>0.68</v>
      </c>
      <c r="H433" s="12">
        <f t="shared" si="64"/>
        <v>1.0461538461538462</v>
      </c>
      <c r="I433" s="12">
        <v>0.02</v>
      </c>
      <c r="J433" s="12">
        <v>7.0000000000000007E-2</v>
      </c>
      <c r="K433" s="12">
        <f t="shared" si="65"/>
        <v>0.24427307692307695</v>
      </c>
      <c r="L433" s="12">
        <f t="shared" si="66"/>
        <v>1.3804269230769233</v>
      </c>
      <c r="M433" s="12">
        <f>L433*250</f>
        <v>345.10673076923081</v>
      </c>
      <c r="N433" s="12"/>
      <c r="O433" s="12"/>
      <c r="P433" s="12"/>
      <c r="Q433" s="12"/>
      <c r="R433" s="28">
        <f t="shared" si="69"/>
        <v>17.695473251028805</v>
      </c>
    </row>
    <row r="434" spans="1:18" hidden="1" x14ac:dyDescent="0.25">
      <c r="A434" s="16">
        <v>45583</v>
      </c>
      <c r="B434" s="2" t="s">
        <v>160</v>
      </c>
      <c r="C434" s="2">
        <v>680</v>
      </c>
      <c r="D434" s="19">
        <v>0.35</v>
      </c>
      <c r="E434" s="11">
        <v>0.22500000000000001</v>
      </c>
      <c r="F434" s="10">
        <f t="shared" si="62"/>
        <v>650</v>
      </c>
      <c r="G434" s="10">
        <f t="shared" si="63"/>
        <v>0.68</v>
      </c>
      <c r="H434" s="12">
        <f t="shared" si="64"/>
        <v>1.0461538461538462</v>
      </c>
      <c r="I434" s="12">
        <v>0.02</v>
      </c>
      <c r="J434" s="12">
        <v>7.0000000000000007E-2</v>
      </c>
      <c r="K434" s="12">
        <f t="shared" si="65"/>
        <v>0.2556346153846154</v>
      </c>
      <c r="L434" s="12">
        <f t="shared" si="66"/>
        <v>1.3917884615384617</v>
      </c>
      <c r="M434" s="12"/>
      <c r="N434" s="12"/>
      <c r="O434" s="12">
        <f>L434*500</f>
        <v>695.89423076923083</v>
      </c>
      <c r="P434" s="12"/>
      <c r="Q434" s="12"/>
      <c r="R434" s="28">
        <f t="shared" si="69"/>
        <v>18.367346938775508</v>
      </c>
    </row>
    <row r="435" spans="1:18" hidden="1" x14ac:dyDescent="0.25">
      <c r="A435" s="16">
        <v>45583</v>
      </c>
      <c r="B435" s="2" t="s">
        <v>113</v>
      </c>
      <c r="C435" s="2">
        <v>680</v>
      </c>
      <c r="D435" s="19">
        <v>0.35</v>
      </c>
      <c r="E435" s="11">
        <v>0.67400000000000004</v>
      </c>
      <c r="F435" s="10">
        <f t="shared" si="62"/>
        <v>650</v>
      </c>
      <c r="G435" s="10">
        <f t="shared" si="63"/>
        <v>0.68</v>
      </c>
      <c r="H435" s="12">
        <f t="shared" si="64"/>
        <v>1.0461538461538462</v>
      </c>
      <c r="I435" s="12">
        <v>0.02</v>
      </c>
      <c r="J435" s="12">
        <v>7.0000000000000007E-2</v>
      </c>
      <c r="K435" s="12">
        <f t="shared" si="65"/>
        <v>0.76576769230769248</v>
      </c>
      <c r="L435" s="12">
        <f t="shared" si="66"/>
        <v>1.9019215384615387</v>
      </c>
      <c r="M435" s="12">
        <f>L435*250</f>
        <v>475.48038461538465</v>
      </c>
      <c r="N435" s="12"/>
      <c r="O435" s="12"/>
      <c r="P435" s="12"/>
      <c r="Q435" s="12"/>
      <c r="R435" s="28">
        <f t="shared" si="69"/>
        <v>40.262843488649942</v>
      </c>
    </row>
    <row r="436" spans="1:18" hidden="1" x14ac:dyDescent="0.25">
      <c r="A436" s="16">
        <v>45583</v>
      </c>
      <c r="B436" s="2" t="s">
        <v>102</v>
      </c>
      <c r="C436" s="2">
        <v>530</v>
      </c>
      <c r="D436" s="19">
        <v>0.57999999999999996</v>
      </c>
      <c r="E436" s="11">
        <v>0.02</v>
      </c>
      <c r="F436" s="10">
        <f t="shared" si="62"/>
        <v>420</v>
      </c>
      <c r="G436" s="10">
        <f t="shared" si="63"/>
        <v>0.53</v>
      </c>
      <c r="H436" s="12">
        <f t="shared" si="64"/>
        <v>1.2619047619047619</v>
      </c>
      <c r="I436" s="12">
        <v>0.02</v>
      </c>
      <c r="J436" s="12">
        <v>7.0000000000000007E-2</v>
      </c>
      <c r="K436" s="12">
        <f t="shared" si="65"/>
        <v>2.703809523809524E-2</v>
      </c>
      <c r="L436" s="12">
        <f t="shared" si="66"/>
        <v>1.3789428571428572</v>
      </c>
      <c r="M436" s="12">
        <f>L436*250</f>
        <v>344.73571428571432</v>
      </c>
      <c r="N436" s="12"/>
      <c r="O436" s="12"/>
      <c r="P436" s="12"/>
      <c r="Q436" s="12"/>
      <c r="R436" s="28">
        <f t="shared" si="69"/>
        <v>1.9607843137254901</v>
      </c>
    </row>
    <row r="437" spans="1:18" hidden="1" x14ac:dyDescent="0.25">
      <c r="A437" s="16">
        <v>45583</v>
      </c>
      <c r="B437" s="2" t="s">
        <v>97</v>
      </c>
      <c r="C437" s="2">
        <v>220</v>
      </c>
      <c r="D437" s="19">
        <v>0</v>
      </c>
      <c r="E437" s="11">
        <v>0.57999999999999996</v>
      </c>
      <c r="F437" s="10">
        <f t="shared" si="62"/>
        <v>1000</v>
      </c>
      <c r="G437" s="10">
        <f t="shared" si="63"/>
        <v>0.22</v>
      </c>
      <c r="H437" s="12">
        <f t="shared" si="64"/>
        <v>0.22</v>
      </c>
      <c r="I437" s="12">
        <v>0.02</v>
      </c>
      <c r="J437" s="12">
        <v>7.0000000000000007E-2</v>
      </c>
      <c r="K437" s="12">
        <f t="shared" si="65"/>
        <v>0.17979999999999999</v>
      </c>
      <c r="L437" s="12">
        <f t="shared" si="66"/>
        <v>0.48980000000000001</v>
      </c>
      <c r="M437" s="12"/>
      <c r="N437" s="12"/>
      <c r="O437" s="12">
        <f t="shared" ref="O437:O445" si="70">L437*500</f>
        <v>244.9</v>
      </c>
      <c r="P437" s="12"/>
      <c r="Q437" s="12"/>
      <c r="R437" s="28">
        <f t="shared" si="69"/>
        <v>36.708860759493668</v>
      </c>
    </row>
    <row r="438" spans="1:18" hidden="1" x14ac:dyDescent="0.25">
      <c r="A438" s="16">
        <v>45583</v>
      </c>
      <c r="B438" s="2" t="s">
        <v>90</v>
      </c>
      <c r="C438" s="2">
        <v>340</v>
      </c>
      <c r="D438" s="19">
        <v>0.33</v>
      </c>
      <c r="E438" s="11">
        <v>0.09</v>
      </c>
      <c r="F438" s="10">
        <f t="shared" si="62"/>
        <v>670</v>
      </c>
      <c r="G438" s="10">
        <f t="shared" si="63"/>
        <v>0.34</v>
      </c>
      <c r="H438" s="12">
        <f t="shared" si="64"/>
        <v>0.5074626865671642</v>
      </c>
      <c r="I438" s="12">
        <v>0.02</v>
      </c>
      <c r="J438" s="12">
        <v>7.0000000000000007E-2</v>
      </c>
      <c r="K438" s="12">
        <f t="shared" si="65"/>
        <v>5.3771641791044773E-2</v>
      </c>
      <c r="L438" s="12">
        <f t="shared" si="66"/>
        <v>0.65123432835820894</v>
      </c>
      <c r="M438" s="12"/>
      <c r="N438" s="12"/>
      <c r="O438" s="12">
        <f t="shared" si="70"/>
        <v>325.61716417910446</v>
      </c>
      <c r="P438" s="12"/>
      <c r="Q438" s="12"/>
      <c r="R438" s="28">
        <f t="shared" si="69"/>
        <v>8.2568807339449535</v>
      </c>
    </row>
    <row r="439" spans="1:18" hidden="1" x14ac:dyDescent="0.25">
      <c r="A439" s="16">
        <v>45583</v>
      </c>
      <c r="B439" s="2" t="s">
        <v>40</v>
      </c>
      <c r="C439" s="2">
        <v>210</v>
      </c>
      <c r="D439" s="19">
        <v>0.23</v>
      </c>
      <c r="E439" s="11">
        <v>-0.03</v>
      </c>
      <c r="F439" s="10">
        <f t="shared" si="62"/>
        <v>770</v>
      </c>
      <c r="G439" s="10">
        <f t="shared" si="63"/>
        <v>0.21</v>
      </c>
      <c r="H439" s="12">
        <f t="shared" si="64"/>
        <v>0.27272727272727271</v>
      </c>
      <c r="I439" s="12">
        <v>0.02</v>
      </c>
      <c r="J439" s="12">
        <v>7.0000000000000007E-2</v>
      </c>
      <c r="K439" s="12">
        <f t="shared" si="65"/>
        <v>-1.0881818181818182E-2</v>
      </c>
      <c r="L439" s="12">
        <f t="shared" si="66"/>
        <v>0.35184545454545457</v>
      </c>
      <c r="M439" s="12"/>
      <c r="N439" s="12"/>
      <c r="O439" s="12">
        <f t="shared" si="70"/>
        <v>175.92272727272729</v>
      </c>
      <c r="P439" s="12"/>
      <c r="Q439" s="12"/>
      <c r="R439" s="28">
        <f t="shared" si="69"/>
        <v>-3.0927835051546393</v>
      </c>
    </row>
    <row r="440" spans="1:18" hidden="1" x14ac:dyDescent="0.25">
      <c r="A440" s="16">
        <v>45584</v>
      </c>
      <c r="B440" s="2" t="s">
        <v>137</v>
      </c>
      <c r="C440" s="2">
        <v>240</v>
      </c>
      <c r="D440" s="19">
        <v>0.17</v>
      </c>
      <c r="E440" s="11">
        <v>0.29499999999999998</v>
      </c>
      <c r="F440" s="10">
        <f t="shared" si="62"/>
        <v>830</v>
      </c>
      <c r="G440" s="10">
        <f t="shared" si="63"/>
        <v>0.24</v>
      </c>
      <c r="H440" s="12">
        <f t="shared" si="64"/>
        <v>0.28915662650602408</v>
      </c>
      <c r="I440" s="12">
        <v>0.02</v>
      </c>
      <c r="J440" s="12">
        <v>7.0000000000000007E-2</v>
      </c>
      <c r="K440" s="12">
        <f t="shared" si="65"/>
        <v>0.1118512048192771</v>
      </c>
      <c r="L440" s="12">
        <f t="shared" si="66"/>
        <v>0.49100783132530124</v>
      </c>
      <c r="M440" s="12"/>
      <c r="N440" s="12"/>
      <c r="O440" s="12">
        <f t="shared" si="70"/>
        <v>245.50391566265063</v>
      </c>
      <c r="P440" s="12"/>
      <c r="Q440" s="12"/>
      <c r="R440" s="28">
        <f t="shared" si="69"/>
        <v>22.779922779922778</v>
      </c>
    </row>
    <row r="441" spans="1:18" hidden="1" x14ac:dyDescent="0.25">
      <c r="A441" s="16">
        <v>45584</v>
      </c>
      <c r="B441" s="2" t="s">
        <v>40</v>
      </c>
      <c r="C441" s="2">
        <v>200</v>
      </c>
      <c r="D441" s="19">
        <v>0.03</v>
      </c>
      <c r="E441" s="11">
        <v>0.18</v>
      </c>
      <c r="F441" s="10">
        <f t="shared" si="62"/>
        <v>970</v>
      </c>
      <c r="G441" s="10">
        <f t="shared" si="63"/>
        <v>0.2</v>
      </c>
      <c r="H441" s="12">
        <f t="shared" si="64"/>
        <v>0.20618556701030927</v>
      </c>
      <c r="I441" s="12">
        <v>0.02</v>
      </c>
      <c r="J441" s="12">
        <v>7.0000000000000007E-2</v>
      </c>
      <c r="K441" s="12">
        <f t="shared" si="65"/>
        <v>5.3313402061855669E-2</v>
      </c>
      <c r="L441" s="12">
        <f t="shared" si="66"/>
        <v>0.34949896907216493</v>
      </c>
      <c r="M441" s="12"/>
      <c r="N441" s="12"/>
      <c r="O441" s="12">
        <f t="shared" si="70"/>
        <v>174.74948453608246</v>
      </c>
      <c r="P441" s="12"/>
      <c r="Q441" s="12"/>
      <c r="R441" s="28">
        <f t="shared" si="69"/>
        <v>15.254237288135595</v>
      </c>
    </row>
    <row r="442" spans="1:18" hidden="1" x14ac:dyDescent="0.25">
      <c r="A442" s="16">
        <v>45584</v>
      </c>
      <c r="B442" s="2" t="s">
        <v>92</v>
      </c>
      <c r="C442" s="2">
        <v>420</v>
      </c>
      <c r="D442" s="19">
        <v>0.21</v>
      </c>
      <c r="E442" s="11">
        <v>4.5999999999999999E-2</v>
      </c>
      <c r="F442" s="10">
        <f t="shared" si="62"/>
        <v>790</v>
      </c>
      <c r="G442" s="10">
        <f t="shared" si="63"/>
        <v>0.42</v>
      </c>
      <c r="H442" s="12">
        <f t="shared" si="64"/>
        <v>0.53164556962025311</v>
      </c>
      <c r="I442" s="12">
        <v>0.02</v>
      </c>
      <c r="J442" s="12">
        <v>7.0000000000000007E-2</v>
      </c>
      <c r="K442" s="12">
        <f t="shared" si="65"/>
        <v>2.8595696202531648E-2</v>
      </c>
      <c r="L442" s="12">
        <f t="shared" si="66"/>
        <v>0.65024126582278485</v>
      </c>
      <c r="M442" s="12"/>
      <c r="N442" s="12"/>
      <c r="O442" s="12">
        <f t="shared" si="70"/>
        <v>325.12063291139242</v>
      </c>
      <c r="P442" s="12"/>
      <c r="Q442" s="12"/>
      <c r="R442" s="28">
        <f t="shared" si="69"/>
        <v>4.3977055449330784</v>
      </c>
    </row>
    <row r="443" spans="1:18" hidden="1" x14ac:dyDescent="0.25">
      <c r="A443" s="16">
        <v>45585</v>
      </c>
      <c r="B443" s="2" t="s">
        <v>108</v>
      </c>
      <c r="C443" s="2">
        <v>420</v>
      </c>
      <c r="D443" s="19">
        <v>0.21</v>
      </c>
      <c r="E443" s="11">
        <v>-0.05</v>
      </c>
      <c r="F443" s="10">
        <f t="shared" si="62"/>
        <v>790</v>
      </c>
      <c r="G443" s="10">
        <f t="shared" si="63"/>
        <v>0.42</v>
      </c>
      <c r="H443" s="12">
        <f t="shared" si="64"/>
        <v>0.53164556962025311</v>
      </c>
      <c r="I443" s="12">
        <v>0.02</v>
      </c>
      <c r="J443" s="12">
        <v>7.0000000000000007E-2</v>
      </c>
      <c r="K443" s="12">
        <f t="shared" si="65"/>
        <v>-3.1082278481012662E-2</v>
      </c>
      <c r="L443" s="12">
        <f t="shared" si="66"/>
        <v>0.59056329113924055</v>
      </c>
      <c r="M443" s="12"/>
      <c r="N443" s="12"/>
      <c r="O443" s="12">
        <f t="shared" si="70"/>
        <v>295.28164556962025</v>
      </c>
      <c r="P443" s="12"/>
      <c r="Q443" s="12"/>
      <c r="R443" s="28">
        <f t="shared" si="69"/>
        <v>-5.2631578947368425</v>
      </c>
    </row>
    <row r="444" spans="1:18" hidden="1" x14ac:dyDescent="0.25">
      <c r="A444" s="16">
        <v>45584</v>
      </c>
      <c r="B444" s="2" t="s">
        <v>94</v>
      </c>
      <c r="C444" s="2">
        <v>180</v>
      </c>
      <c r="D444" s="19">
        <v>0.11</v>
      </c>
      <c r="E444" s="11">
        <v>0.2</v>
      </c>
      <c r="F444" s="10">
        <f t="shared" si="62"/>
        <v>890</v>
      </c>
      <c r="G444" s="10">
        <f t="shared" si="63"/>
        <v>0.18</v>
      </c>
      <c r="H444" s="12">
        <f t="shared" si="64"/>
        <v>0.20224719101123595</v>
      </c>
      <c r="I444" s="12">
        <v>0.02</v>
      </c>
      <c r="J444" s="12">
        <v>7.0000000000000007E-2</v>
      </c>
      <c r="K444" s="12">
        <f t="shared" si="65"/>
        <v>5.8449438202247198E-2</v>
      </c>
      <c r="L444" s="12">
        <f t="shared" si="66"/>
        <v>0.35069662921348316</v>
      </c>
      <c r="M444" s="12"/>
      <c r="N444" s="12"/>
      <c r="O444" s="12">
        <f t="shared" si="70"/>
        <v>175.34831460674158</v>
      </c>
      <c r="P444" s="12"/>
      <c r="Q444" s="12"/>
      <c r="R444" s="28">
        <f t="shared" si="69"/>
        <v>16.666666666666668</v>
      </c>
    </row>
    <row r="445" spans="1:18" hidden="1" x14ac:dyDescent="0.25">
      <c r="A445" s="16">
        <v>45584</v>
      </c>
      <c r="B445" s="2" t="s">
        <v>154</v>
      </c>
      <c r="C445" s="2">
        <v>180</v>
      </c>
      <c r="D445" s="19">
        <v>0.11</v>
      </c>
      <c r="E445" s="11">
        <v>0.2</v>
      </c>
      <c r="F445" s="10">
        <f t="shared" si="62"/>
        <v>890</v>
      </c>
      <c r="G445" s="10">
        <f t="shared" si="63"/>
        <v>0.18</v>
      </c>
      <c r="H445" s="12">
        <f t="shared" si="64"/>
        <v>0.20224719101123595</v>
      </c>
      <c r="I445" s="12">
        <v>0.02</v>
      </c>
      <c r="J445" s="12">
        <v>7.0000000000000007E-2</v>
      </c>
      <c r="K445" s="12">
        <f t="shared" si="65"/>
        <v>5.8449438202247198E-2</v>
      </c>
      <c r="L445" s="12">
        <f t="shared" si="66"/>
        <v>0.35069662921348316</v>
      </c>
      <c r="M445" s="12"/>
      <c r="N445" s="12"/>
      <c r="O445" s="12">
        <f t="shared" si="70"/>
        <v>175.34831460674158</v>
      </c>
      <c r="P445" s="12"/>
      <c r="Q445" s="12"/>
      <c r="R445" s="28">
        <f t="shared" si="69"/>
        <v>16.666666666666668</v>
      </c>
    </row>
    <row r="446" spans="1:18" hidden="1" x14ac:dyDescent="0.25">
      <c r="A446" s="16">
        <v>45584</v>
      </c>
      <c r="B446" s="2" t="s">
        <v>111</v>
      </c>
      <c r="C446" s="2">
        <v>680</v>
      </c>
      <c r="D446" s="19">
        <v>0.32</v>
      </c>
      <c r="E446" s="11">
        <v>0.26700000000000002</v>
      </c>
      <c r="F446" s="10">
        <f t="shared" si="62"/>
        <v>680</v>
      </c>
      <c r="G446" s="10">
        <f t="shared" si="63"/>
        <v>0.68</v>
      </c>
      <c r="H446" s="12">
        <f t="shared" si="64"/>
        <v>1</v>
      </c>
      <c r="I446" s="12">
        <v>0.02</v>
      </c>
      <c r="J446" s="12">
        <v>7.0000000000000007E-2</v>
      </c>
      <c r="K446" s="12">
        <f t="shared" si="65"/>
        <v>0.29103000000000001</v>
      </c>
      <c r="L446" s="12">
        <f t="shared" si="66"/>
        <v>1.38103</v>
      </c>
      <c r="M446" s="12">
        <f>L446*250</f>
        <v>345.25749999999999</v>
      </c>
      <c r="N446" s="12"/>
      <c r="O446" s="12"/>
      <c r="P446" s="12"/>
      <c r="Q446" s="12"/>
      <c r="R446" s="28">
        <f t="shared" si="69"/>
        <v>21.073401736385165</v>
      </c>
    </row>
    <row r="447" spans="1:18" hidden="1" x14ac:dyDescent="0.25">
      <c r="A447" s="16">
        <v>45584</v>
      </c>
      <c r="B447" s="2" t="s">
        <v>169</v>
      </c>
      <c r="C447" s="2">
        <v>900</v>
      </c>
      <c r="D447" s="19">
        <v>0.17</v>
      </c>
      <c r="E447" s="11">
        <v>0.34699999999999998</v>
      </c>
      <c r="F447" s="10">
        <f t="shared" si="62"/>
        <v>830</v>
      </c>
      <c r="G447" s="10">
        <f t="shared" si="63"/>
        <v>0.9</v>
      </c>
      <c r="H447" s="12">
        <f t="shared" si="64"/>
        <v>1.0843373493975903</v>
      </c>
      <c r="I447" s="12">
        <v>0.02</v>
      </c>
      <c r="J447" s="12">
        <v>7.0000000000000007E-2</v>
      </c>
      <c r="K447" s="12">
        <f t="shared" si="65"/>
        <v>0.40749506024096382</v>
      </c>
      <c r="L447" s="12">
        <f t="shared" si="66"/>
        <v>1.5818324096385541</v>
      </c>
      <c r="M447" s="12">
        <f>L447*250</f>
        <v>395.45810240963851</v>
      </c>
      <c r="N447" s="12"/>
      <c r="O447" s="12"/>
      <c r="P447" s="12"/>
      <c r="Q447" s="12"/>
      <c r="R447" s="28">
        <f t="shared" si="69"/>
        <v>25.760950259836676</v>
      </c>
    </row>
    <row r="448" spans="1:18" hidden="1" x14ac:dyDescent="0.25">
      <c r="A448" s="16">
        <v>45584</v>
      </c>
      <c r="B448" s="2" t="s">
        <v>162</v>
      </c>
      <c r="C448" s="2">
        <v>220</v>
      </c>
      <c r="D448" s="19">
        <v>0.01</v>
      </c>
      <c r="E448" s="11">
        <v>0.44500000000000001</v>
      </c>
      <c r="F448" s="10">
        <f t="shared" si="62"/>
        <v>990</v>
      </c>
      <c r="G448" s="10">
        <f t="shared" si="63"/>
        <v>0.22</v>
      </c>
      <c r="H448" s="12">
        <f t="shared" si="64"/>
        <v>0.22222222222222221</v>
      </c>
      <c r="I448" s="12">
        <v>0.02</v>
      </c>
      <c r="J448" s="12">
        <v>7.0000000000000007E-2</v>
      </c>
      <c r="K448" s="12">
        <f t="shared" si="65"/>
        <v>0.13893888888888886</v>
      </c>
      <c r="L448" s="12">
        <f t="shared" si="66"/>
        <v>0.45116111111111101</v>
      </c>
      <c r="M448" s="12"/>
      <c r="N448" s="12"/>
      <c r="O448" s="12">
        <f t="shared" ref="O448:O454" si="71">L448*500</f>
        <v>225.58055555555552</v>
      </c>
      <c r="P448" s="12"/>
      <c r="Q448" s="12"/>
      <c r="R448" s="28">
        <f t="shared" si="69"/>
        <v>30.79584775086505</v>
      </c>
    </row>
    <row r="449" spans="1:18" hidden="1" x14ac:dyDescent="0.25">
      <c r="A449" s="16">
        <v>45585</v>
      </c>
      <c r="B449" s="2" t="s">
        <v>159</v>
      </c>
      <c r="C449" s="2">
        <v>350</v>
      </c>
      <c r="D449" s="19">
        <v>0.06</v>
      </c>
      <c r="E449" s="11">
        <v>0.41</v>
      </c>
      <c r="F449" s="10">
        <f t="shared" si="62"/>
        <v>940</v>
      </c>
      <c r="G449" s="10">
        <f t="shared" si="63"/>
        <v>0.35</v>
      </c>
      <c r="H449" s="12">
        <f t="shared" si="64"/>
        <v>0.37234042553191488</v>
      </c>
      <c r="I449" s="12">
        <v>0.02</v>
      </c>
      <c r="J449" s="12">
        <v>7.0000000000000007E-2</v>
      </c>
      <c r="K449" s="12">
        <f t="shared" si="65"/>
        <v>0.18955957446808511</v>
      </c>
      <c r="L449" s="12">
        <f t="shared" si="66"/>
        <v>0.65190000000000003</v>
      </c>
      <c r="M449" s="12"/>
      <c r="N449" s="12"/>
      <c r="O449" s="12">
        <f t="shared" si="71"/>
        <v>325.95000000000005</v>
      </c>
      <c r="P449" s="12"/>
      <c r="Q449" s="12"/>
      <c r="R449" s="28">
        <f t="shared" si="69"/>
        <v>29.078014184397162</v>
      </c>
    </row>
    <row r="450" spans="1:18" hidden="1" x14ac:dyDescent="0.25">
      <c r="A450" s="16">
        <v>45585</v>
      </c>
      <c r="B450" s="2" t="s">
        <v>94</v>
      </c>
      <c r="C450" s="2">
        <v>180</v>
      </c>
      <c r="D450" s="19">
        <v>0.22</v>
      </c>
      <c r="E450" s="11">
        <v>9.5000000000000001E-2</v>
      </c>
      <c r="F450" s="10">
        <f t="shared" si="62"/>
        <v>780</v>
      </c>
      <c r="G450" s="10">
        <f t="shared" si="63"/>
        <v>0.18</v>
      </c>
      <c r="H450" s="12">
        <f t="shared" si="64"/>
        <v>0.23076923076923078</v>
      </c>
      <c r="I450" s="12">
        <v>0.02</v>
      </c>
      <c r="J450" s="12">
        <v>7.0000000000000007E-2</v>
      </c>
      <c r="K450" s="12">
        <f t="shared" si="65"/>
        <v>3.0473076923076926E-2</v>
      </c>
      <c r="L450" s="12">
        <f t="shared" si="66"/>
        <v>0.35124230769230774</v>
      </c>
      <c r="M450" s="12"/>
      <c r="N450" s="12"/>
      <c r="O450" s="12">
        <f t="shared" si="71"/>
        <v>175.62115384615387</v>
      </c>
      <c r="P450" s="12"/>
      <c r="Q450" s="12"/>
      <c r="R450" s="28">
        <f t="shared" si="69"/>
        <v>8.6757990867579906</v>
      </c>
    </row>
    <row r="451" spans="1:18" hidden="1" x14ac:dyDescent="0.25">
      <c r="A451" s="16">
        <v>45585</v>
      </c>
      <c r="B451" s="2" t="s">
        <v>95</v>
      </c>
      <c r="C451" s="2">
        <v>180</v>
      </c>
      <c r="D451" s="19">
        <v>0.22</v>
      </c>
      <c r="E451" s="11">
        <v>9.5000000000000001E-2</v>
      </c>
      <c r="F451" s="10">
        <f t="shared" si="62"/>
        <v>780</v>
      </c>
      <c r="G451" s="10">
        <f t="shared" si="63"/>
        <v>0.18</v>
      </c>
      <c r="H451" s="12">
        <f t="shared" si="64"/>
        <v>0.23076923076923078</v>
      </c>
      <c r="I451" s="12">
        <v>0.02</v>
      </c>
      <c r="J451" s="12">
        <v>7.0000000000000007E-2</v>
      </c>
      <c r="K451" s="12">
        <f t="shared" si="65"/>
        <v>3.0473076923076926E-2</v>
      </c>
      <c r="L451" s="12">
        <f t="shared" si="66"/>
        <v>0.35124230769230774</v>
      </c>
      <c r="M451" s="12"/>
      <c r="N451" s="12"/>
      <c r="O451" s="12">
        <f t="shared" si="71"/>
        <v>175.62115384615387</v>
      </c>
      <c r="P451" s="12"/>
      <c r="Q451" s="12"/>
      <c r="R451" s="28">
        <f t="shared" si="69"/>
        <v>8.6757990867579906</v>
      </c>
    </row>
    <row r="452" spans="1:18" hidden="1" x14ac:dyDescent="0.25">
      <c r="A452" s="16">
        <v>45585</v>
      </c>
      <c r="B452" s="2" t="s">
        <v>90</v>
      </c>
      <c r="C452" s="2">
        <v>340</v>
      </c>
      <c r="D452" s="19">
        <v>0.25</v>
      </c>
      <c r="E452" s="11">
        <v>0.19700000000000001</v>
      </c>
      <c r="F452" s="10">
        <f t="shared" si="62"/>
        <v>750</v>
      </c>
      <c r="G452" s="10">
        <f t="shared" si="63"/>
        <v>0.34</v>
      </c>
      <c r="H452" s="12">
        <f t="shared" si="64"/>
        <v>0.45333333333333331</v>
      </c>
      <c r="I452" s="12">
        <v>0.02</v>
      </c>
      <c r="J452" s="12">
        <v>7.0000000000000007E-2</v>
      </c>
      <c r="K452" s="12">
        <f t="shared" si="65"/>
        <v>0.10703666666666667</v>
      </c>
      <c r="L452" s="12">
        <f t="shared" si="66"/>
        <v>0.65037</v>
      </c>
      <c r="M452" s="12"/>
      <c r="N452" s="12"/>
      <c r="O452" s="12">
        <f t="shared" si="71"/>
        <v>325.185</v>
      </c>
      <c r="P452" s="12"/>
      <c r="Q452" s="12"/>
      <c r="R452" s="28">
        <f t="shared" si="69"/>
        <v>16.457811194653299</v>
      </c>
    </row>
    <row r="453" spans="1:18" hidden="1" x14ac:dyDescent="0.25">
      <c r="A453" s="16">
        <v>45585</v>
      </c>
      <c r="B453" s="2" t="s">
        <v>91</v>
      </c>
      <c r="C453" s="2">
        <v>340</v>
      </c>
      <c r="D453" s="19">
        <v>0.25</v>
      </c>
      <c r="E453" s="11">
        <v>0.19700000000000001</v>
      </c>
      <c r="F453" s="10">
        <f t="shared" si="62"/>
        <v>750</v>
      </c>
      <c r="G453" s="10">
        <f t="shared" si="63"/>
        <v>0.34</v>
      </c>
      <c r="H453" s="12">
        <f t="shared" si="64"/>
        <v>0.45333333333333331</v>
      </c>
      <c r="I453" s="12">
        <v>0.02</v>
      </c>
      <c r="J453" s="12">
        <v>7.0000000000000007E-2</v>
      </c>
      <c r="K453" s="12">
        <f t="shared" si="65"/>
        <v>0.10703666666666667</v>
      </c>
      <c r="L453" s="12">
        <f t="shared" si="66"/>
        <v>0.65037</v>
      </c>
      <c r="M453" s="12"/>
      <c r="N453" s="12"/>
      <c r="O453" s="12">
        <f t="shared" si="71"/>
        <v>325.185</v>
      </c>
      <c r="P453" s="12"/>
      <c r="Q453" s="12"/>
      <c r="R453" s="28">
        <f t="shared" si="69"/>
        <v>16.457811194653299</v>
      </c>
    </row>
    <row r="454" spans="1:18" hidden="1" x14ac:dyDescent="0.25">
      <c r="A454" s="16">
        <v>45585</v>
      </c>
      <c r="B454" s="2" t="s">
        <v>108</v>
      </c>
      <c r="C454" s="2">
        <v>400</v>
      </c>
      <c r="D454" s="19">
        <v>0.09</v>
      </c>
      <c r="E454" s="11">
        <v>0.115</v>
      </c>
      <c r="F454" s="10">
        <f t="shared" si="62"/>
        <v>910</v>
      </c>
      <c r="G454" s="10">
        <f t="shared" si="63"/>
        <v>0.4</v>
      </c>
      <c r="H454" s="12">
        <f t="shared" si="64"/>
        <v>0.43956043956043955</v>
      </c>
      <c r="I454" s="12">
        <v>0.02</v>
      </c>
      <c r="J454" s="12">
        <v>7.0000000000000007E-2</v>
      </c>
      <c r="K454" s="12">
        <f t="shared" si="65"/>
        <v>6.0899450549450562E-2</v>
      </c>
      <c r="L454" s="12">
        <f t="shared" si="66"/>
        <v>0.5904598901098902</v>
      </c>
      <c r="M454" s="12"/>
      <c r="N454" s="12"/>
      <c r="O454" s="12">
        <f t="shared" si="71"/>
        <v>295.22994505494512</v>
      </c>
      <c r="P454" s="12"/>
      <c r="Q454" s="12"/>
      <c r="R454" s="28">
        <f t="shared" si="69"/>
        <v>10.31390134529148</v>
      </c>
    </row>
    <row r="455" spans="1:18" hidden="1" x14ac:dyDescent="0.25">
      <c r="A455" s="16">
        <v>45587</v>
      </c>
      <c r="B455" s="2" t="s">
        <v>111</v>
      </c>
      <c r="C455" s="2">
        <v>680</v>
      </c>
      <c r="D455" s="19">
        <v>0.38</v>
      </c>
      <c r="E455" s="11">
        <v>0.16500000000000001</v>
      </c>
      <c r="F455" s="10">
        <f t="shared" si="62"/>
        <v>620</v>
      </c>
      <c r="G455" s="10">
        <f t="shared" si="63"/>
        <v>0.68</v>
      </c>
      <c r="H455" s="12">
        <f t="shared" si="64"/>
        <v>1.096774193548387</v>
      </c>
      <c r="I455" s="12">
        <v>0.02</v>
      </c>
      <c r="J455" s="12">
        <v>7.0000000000000007E-2</v>
      </c>
      <c r="K455" s="12">
        <f t="shared" si="65"/>
        <v>0.19581774193548387</v>
      </c>
      <c r="L455" s="12">
        <f t="shared" si="66"/>
        <v>1.3825919354838709</v>
      </c>
      <c r="M455" s="12">
        <f>L455*250</f>
        <v>345.64798387096772</v>
      </c>
      <c r="N455" s="12"/>
      <c r="O455" s="12"/>
      <c r="P455" s="12"/>
      <c r="Q455" s="12"/>
      <c r="R455" s="28">
        <f t="shared" si="69"/>
        <v>14.163090128755366</v>
      </c>
    </row>
    <row r="456" spans="1:18" hidden="1" x14ac:dyDescent="0.25">
      <c r="A456" s="16">
        <v>45587</v>
      </c>
      <c r="B456" s="2" t="s">
        <v>160</v>
      </c>
      <c r="C456" s="2">
        <v>680</v>
      </c>
      <c r="D456" s="19">
        <v>0.38</v>
      </c>
      <c r="E456" s="11">
        <v>0.2225</v>
      </c>
      <c r="F456" s="10">
        <f t="shared" ref="F456:F478" si="72">1000-1000*D456</f>
        <v>620</v>
      </c>
      <c r="G456" s="10">
        <f t="shared" ref="G456:G478" si="73">C456/1000</f>
        <v>0.68</v>
      </c>
      <c r="H456" s="12">
        <f t="shared" ref="H456:H478" si="74">C456/F456</f>
        <v>1.096774193548387</v>
      </c>
      <c r="I456" s="12">
        <v>0.02</v>
      </c>
      <c r="J456" s="12">
        <v>7.0000000000000007E-2</v>
      </c>
      <c r="K456" s="12">
        <f t="shared" ref="K456:K478" si="75">SUM(H456:J456)*E456</f>
        <v>0.26405725806451613</v>
      </c>
      <c r="L456" s="12">
        <f t="shared" ref="L456:L478" si="76">SUM(H456:K456)</f>
        <v>1.4508314516129033</v>
      </c>
      <c r="M456" s="12"/>
      <c r="N456" s="12"/>
      <c r="O456" s="12">
        <f>L456*500</f>
        <v>725.41572580645163</v>
      </c>
      <c r="P456" s="12"/>
      <c r="Q456" s="12"/>
      <c r="R456" s="28">
        <f t="shared" si="69"/>
        <v>18.200408997955009</v>
      </c>
    </row>
    <row r="457" spans="1:18" hidden="1" x14ac:dyDescent="0.25">
      <c r="A457" s="16">
        <v>45587</v>
      </c>
      <c r="B457" s="2" t="s">
        <v>170</v>
      </c>
      <c r="C457" s="2">
        <v>680</v>
      </c>
      <c r="D457" s="19">
        <v>0.38</v>
      </c>
      <c r="E457" s="11">
        <v>0.26500000000000001</v>
      </c>
      <c r="F457" s="10">
        <f t="shared" si="72"/>
        <v>620</v>
      </c>
      <c r="G457" s="10">
        <f t="shared" si="73"/>
        <v>0.68</v>
      </c>
      <c r="H457" s="12">
        <f t="shared" si="74"/>
        <v>1.096774193548387</v>
      </c>
      <c r="I457" s="12">
        <v>0.02</v>
      </c>
      <c r="J457" s="12">
        <v>7.0000000000000007E-2</v>
      </c>
      <c r="K457" s="12">
        <f t="shared" si="75"/>
        <v>0.31449516129032262</v>
      </c>
      <c r="L457" s="12">
        <f t="shared" si="76"/>
        <v>1.5012693548387097</v>
      </c>
      <c r="M457" s="12">
        <f>L457*250</f>
        <v>375.31733870967741</v>
      </c>
      <c r="N457" s="12"/>
      <c r="O457" s="12"/>
      <c r="P457" s="12"/>
      <c r="Q457" s="12"/>
      <c r="R457" s="28">
        <f t="shared" si="69"/>
        <v>20.948616600790515</v>
      </c>
    </row>
    <row r="458" spans="1:18" hidden="1" x14ac:dyDescent="0.25">
      <c r="A458" s="16">
        <v>45587</v>
      </c>
      <c r="B458" s="2" t="s">
        <v>113</v>
      </c>
      <c r="C458" s="2">
        <v>680</v>
      </c>
      <c r="D458" s="19">
        <v>0.38</v>
      </c>
      <c r="E458" s="11">
        <v>0.6</v>
      </c>
      <c r="F458" s="2">
        <f t="shared" si="72"/>
        <v>620</v>
      </c>
      <c r="G458" s="10">
        <f t="shared" si="73"/>
        <v>0.68</v>
      </c>
      <c r="H458" s="12">
        <f t="shared" si="74"/>
        <v>1.096774193548387</v>
      </c>
      <c r="I458" s="12">
        <v>0.02</v>
      </c>
      <c r="J458" s="12">
        <v>7.0000000000000007E-2</v>
      </c>
      <c r="K458" s="12">
        <f t="shared" si="75"/>
        <v>0.71206451612903221</v>
      </c>
      <c r="L458" s="12">
        <f t="shared" si="76"/>
        <v>1.8988387096774193</v>
      </c>
      <c r="M458" s="2">
        <f>L458*250</f>
        <v>474.70967741935482</v>
      </c>
      <c r="N458" s="2"/>
      <c r="O458" s="2"/>
      <c r="P458" s="2"/>
      <c r="Q458" s="2"/>
      <c r="R458" s="28">
        <f t="shared" si="69"/>
        <v>37.5</v>
      </c>
    </row>
    <row r="459" spans="1:18" hidden="1" x14ac:dyDescent="0.25">
      <c r="A459" s="16">
        <v>45587</v>
      </c>
      <c r="B459" s="2" t="s">
        <v>90</v>
      </c>
      <c r="C459" s="2">
        <v>340</v>
      </c>
      <c r="D459" s="19">
        <v>0.14000000000000001</v>
      </c>
      <c r="E459" s="11">
        <v>0.34</v>
      </c>
      <c r="F459" s="10">
        <f t="shared" si="72"/>
        <v>860</v>
      </c>
      <c r="G459" s="10">
        <f t="shared" si="73"/>
        <v>0.34</v>
      </c>
      <c r="H459" s="12">
        <f t="shared" si="74"/>
        <v>0.39534883720930231</v>
      </c>
      <c r="I459" s="12">
        <v>0.02</v>
      </c>
      <c r="J459" s="12">
        <v>7.0000000000000007E-2</v>
      </c>
      <c r="K459" s="12">
        <f t="shared" si="75"/>
        <v>0.1650186046511628</v>
      </c>
      <c r="L459" s="12">
        <f t="shared" si="76"/>
        <v>0.65036744186046513</v>
      </c>
      <c r="M459" s="12"/>
      <c r="N459" s="12"/>
      <c r="O459" s="12">
        <f>L459*500</f>
        <v>325.18372093023254</v>
      </c>
      <c r="P459" s="12"/>
      <c r="Q459" s="12"/>
      <c r="R459" s="28">
        <f t="shared" si="69"/>
        <v>25.373134328358212</v>
      </c>
    </row>
    <row r="460" spans="1:18" hidden="1" x14ac:dyDescent="0.25">
      <c r="A460" s="16">
        <v>45587</v>
      </c>
      <c r="B460" s="2" t="s">
        <v>91</v>
      </c>
      <c r="C460" s="2">
        <v>340</v>
      </c>
      <c r="D460" s="19">
        <v>0.14000000000000001</v>
      </c>
      <c r="E460" s="11">
        <v>0.34</v>
      </c>
      <c r="F460" s="10">
        <f t="shared" si="72"/>
        <v>860</v>
      </c>
      <c r="G460" s="10">
        <f t="shared" si="73"/>
        <v>0.34</v>
      </c>
      <c r="H460" s="12">
        <f t="shared" si="74"/>
        <v>0.39534883720930231</v>
      </c>
      <c r="I460" s="12">
        <v>0.02</v>
      </c>
      <c r="J460" s="12">
        <v>7.0000000000000007E-2</v>
      </c>
      <c r="K460" s="12">
        <f t="shared" si="75"/>
        <v>0.1650186046511628</v>
      </c>
      <c r="L460" s="12">
        <f t="shared" si="76"/>
        <v>0.65036744186046513</v>
      </c>
      <c r="M460" s="12"/>
      <c r="N460" s="12"/>
      <c r="O460" s="12">
        <f>L460*500</f>
        <v>325.18372093023254</v>
      </c>
      <c r="P460" s="12"/>
      <c r="Q460" s="12"/>
      <c r="R460" s="28">
        <f t="shared" si="69"/>
        <v>25.373134328358212</v>
      </c>
    </row>
    <row r="461" spans="1:18" hidden="1" x14ac:dyDescent="0.25">
      <c r="A461" s="16">
        <v>45587</v>
      </c>
      <c r="B461" s="2" t="s">
        <v>138</v>
      </c>
      <c r="C461" s="2">
        <v>370</v>
      </c>
      <c r="D461" s="19">
        <v>0.56000000000000005</v>
      </c>
      <c r="E461" s="11">
        <v>0.27</v>
      </c>
      <c r="F461" s="2">
        <f t="shared" si="72"/>
        <v>440</v>
      </c>
      <c r="G461" s="2">
        <f t="shared" si="73"/>
        <v>0.37</v>
      </c>
      <c r="H461" s="12">
        <f t="shared" si="74"/>
        <v>0.84090909090909094</v>
      </c>
      <c r="I461" s="12">
        <v>0.02</v>
      </c>
      <c r="J461" s="12">
        <v>7.0000000000000007E-2</v>
      </c>
      <c r="K461" s="12">
        <f t="shared" si="75"/>
        <v>0.25134545454545454</v>
      </c>
      <c r="L461" s="12">
        <f t="shared" si="76"/>
        <v>1.1822545454545454</v>
      </c>
      <c r="M461" s="2">
        <f>L461*250</f>
        <v>295.56363636363636</v>
      </c>
      <c r="N461" s="2"/>
      <c r="O461" s="2"/>
      <c r="P461" s="2"/>
      <c r="Q461" s="2"/>
      <c r="R461" s="28">
        <f t="shared" si="69"/>
        <v>21.259842519685041</v>
      </c>
    </row>
    <row r="462" spans="1:18" hidden="1" x14ac:dyDescent="0.25">
      <c r="A462" s="16">
        <v>45587</v>
      </c>
      <c r="B462" s="2" t="s">
        <v>137</v>
      </c>
      <c r="C462" s="2">
        <v>220</v>
      </c>
      <c r="D462" s="19">
        <v>0.06</v>
      </c>
      <c r="E462" s="11">
        <v>0.51</v>
      </c>
      <c r="F462" s="10">
        <f t="shared" si="72"/>
        <v>940</v>
      </c>
      <c r="G462" s="10">
        <f t="shared" si="73"/>
        <v>0.22</v>
      </c>
      <c r="H462" s="12">
        <f t="shared" si="74"/>
        <v>0.23404255319148937</v>
      </c>
      <c r="I462" s="12">
        <v>0.02</v>
      </c>
      <c r="J462" s="12">
        <v>7.0000000000000007E-2</v>
      </c>
      <c r="K462" s="12">
        <f t="shared" si="75"/>
        <v>0.16526170212765959</v>
      </c>
      <c r="L462" s="12">
        <f t="shared" si="76"/>
        <v>0.48930425531914901</v>
      </c>
      <c r="M462" s="12"/>
      <c r="N462" s="12"/>
      <c r="O462" s="12">
        <f>L462*500</f>
        <v>244.65212765957449</v>
      </c>
      <c r="P462" s="12"/>
      <c r="Q462" s="12"/>
      <c r="R462" s="28">
        <f t="shared" si="69"/>
        <v>33.774834437086092</v>
      </c>
    </row>
    <row r="463" spans="1:18" hidden="1" x14ac:dyDescent="0.25">
      <c r="A463" s="16">
        <v>45587</v>
      </c>
      <c r="B463" s="2" t="s">
        <v>94</v>
      </c>
      <c r="C463" s="2">
        <v>210</v>
      </c>
      <c r="D463" s="19">
        <v>0.22</v>
      </c>
      <c r="E463" s="11">
        <v>-2.5000000000000001E-2</v>
      </c>
      <c r="F463" s="10">
        <f t="shared" si="72"/>
        <v>780</v>
      </c>
      <c r="G463" s="10">
        <f t="shared" si="73"/>
        <v>0.21</v>
      </c>
      <c r="H463" s="12">
        <f t="shared" si="74"/>
        <v>0.26923076923076922</v>
      </c>
      <c r="I463" s="12">
        <v>0.02</v>
      </c>
      <c r="J463" s="12">
        <v>7.0000000000000007E-2</v>
      </c>
      <c r="K463" s="12">
        <f t="shared" si="75"/>
        <v>-8.9807692307692314E-3</v>
      </c>
      <c r="L463" s="12">
        <f t="shared" si="76"/>
        <v>0.35025000000000001</v>
      </c>
      <c r="M463" s="12"/>
      <c r="N463" s="12"/>
      <c r="O463" s="12">
        <f>L463*500</f>
        <v>175.125</v>
      </c>
      <c r="P463" s="12"/>
      <c r="Q463" s="12"/>
      <c r="R463" s="28">
        <f t="shared" si="69"/>
        <v>-2.5641025641025643</v>
      </c>
    </row>
    <row r="464" spans="1:18" hidden="1" x14ac:dyDescent="0.25">
      <c r="A464" s="16">
        <v>45587</v>
      </c>
      <c r="B464" s="2" t="s">
        <v>95</v>
      </c>
      <c r="C464" s="2">
        <v>210</v>
      </c>
      <c r="D464" s="19">
        <v>0.22</v>
      </c>
      <c r="E464" s="11">
        <v>-2.5000000000000001E-2</v>
      </c>
      <c r="F464" s="10">
        <f t="shared" si="72"/>
        <v>780</v>
      </c>
      <c r="G464" s="10">
        <f t="shared" si="73"/>
        <v>0.21</v>
      </c>
      <c r="H464" s="12">
        <f t="shared" si="74"/>
        <v>0.26923076923076922</v>
      </c>
      <c r="I464" s="12">
        <v>0.02</v>
      </c>
      <c r="J464" s="12">
        <v>7.0000000000000007E-2</v>
      </c>
      <c r="K464" s="12">
        <f t="shared" si="75"/>
        <v>-8.9807692307692314E-3</v>
      </c>
      <c r="L464" s="12">
        <f t="shared" si="76"/>
        <v>0.35025000000000001</v>
      </c>
      <c r="M464" s="12"/>
      <c r="N464" s="12"/>
      <c r="O464" s="12">
        <f>L464*500</f>
        <v>175.125</v>
      </c>
      <c r="P464" s="12"/>
      <c r="Q464" s="12"/>
      <c r="R464" s="28">
        <f t="shared" si="69"/>
        <v>-2.5641025641025643</v>
      </c>
    </row>
    <row r="465" spans="1:18" hidden="1" x14ac:dyDescent="0.25">
      <c r="A465" s="16">
        <v>45587</v>
      </c>
      <c r="B465" s="2" t="s">
        <v>118</v>
      </c>
      <c r="C465" s="2">
        <v>250</v>
      </c>
      <c r="D465" s="19">
        <v>0.41</v>
      </c>
      <c r="E465" s="11">
        <v>0.52</v>
      </c>
      <c r="F465" s="2">
        <f t="shared" si="72"/>
        <v>590</v>
      </c>
      <c r="G465" s="10">
        <f t="shared" si="73"/>
        <v>0.25</v>
      </c>
      <c r="H465" s="12">
        <f t="shared" si="74"/>
        <v>0.42372881355932202</v>
      </c>
      <c r="I465" s="12">
        <v>0.02</v>
      </c>
      <c r="J465" s="12">
        <v>7.0000000000000007E-2</v>
      </c>
      <c r="K465" s="12">
        <f t="shared" si="75"/>
        <v>0.26713898305084749</v>
      </c>
      <c r="L465" s="12">
        <f t="shared" si="76"/>
        <v>0.78086779661016958</v>
      </c>
      <c r="M465" s="2">
        <f>L465*250</f>
        <v>195.21694915254238</v>
      </c>
      <c r="N465" s="2"/>
      <c r="O465" s="2"/>
      <c r="P465" s="2"/>
      <c r="Q465" s="2"/>
      <c r="R465" s="28">
        <f t="shared" si="69"/>
        <v>34.210526315789473</v>
      </c>
    </row>
    <row r="466" spans="1:18" hidden="1" x14ac:dyDescent="0.25">
      <c r="A466" s="16">
        <v>45587</v>
      </c>
      <c r="B466" s="2" t="s">
        <v>110</v>
      </c>
      <c r="C466" s="2">
        <v>90</v>
      </c>
      <c r="D466" s="19">
        <v>0.08</v>
      </c>
      <c r="E466" s="11">
        <v>0.34</v>
      </c>
      <c r="F466" s="10">
        <f t="shared" si="72"/>
        <v>920</v>
      </c>
      <c r="G466" s="2">
        <f t="shared" si="73"/>
        <v>0.09</v>
      </c>
      <c r="H466" s="12">
        <f t="shared" si="74"/>
        <v>9.7826086956521743E-2</v>
      </c>
      <c r="I466" s="12">
        <v>0.02</v>
      </c>
      <c r="J466" s="12">
        <v>7.0000000000000007E-2</v>
      </c>
      <c r="K466" s="12">
        <f t="shared" si="75"/>
        <v>6.3860869565217401E-2</v>
      </c>
      <c r="L466" s="12">
        <f t="shared" si="76"/>
        <v>0.25168695652173917</v>
      </c>
      <c r="M466" s="2"/>
      <c r="N466" s="2"/>
      <c r="O466" s="2">
        <f t="shared" ref="O466:O472" si="77">L466*500</f>
        <v>125.84347826086959</v>
      </c>
      <c r="P466" s="2"/>
      <c r="Q466" s="2"/>
      <c r="R466" s="28">
        <f t="shared" si="69"/>
        <v>25.373134328358208</v>
      </c>
    </row>
    <row r="467" spans="1:18" hidden="1" x14ac:dyDescent="0.25">
      <c r="A467" s="16">
        <v>45587</v>
      </c>
      <c r="B467" s="2" t="s">
        <v>92</v>
      </c>
      <c r="C467" s="2">
        <v>420</v>
      </c>
      <c r="D467" s="19">
        <v>0.03</v>
      </c>
      <c r="E467" s="11">
        <v>0.245</v>
      </c>
      <c r="F467" s="10">
        <f t="shared" si="72"/>
        <v>970</v>
      </c>
      <c r="G467" s="10">
        <f t="shared" si="73"/>
        <v>0.42</v>
      </c>
      <c r="H467" s="12">
        <f t="shared" si="74"/>
        <v>0.4329896907216495</v>
      </c>
      <c r="I467" s="12">
        <v>0.02</v>
      </c>
      <c r="J467" s="12">
        <v>7.0000000000000007E-2</v>
      </c>
      <c r="K467" s="12">
        <f t="shared" si="75"/>
        <v>0.12813247422680415</v>
      </c>
      <c r="L467" s="12">
        <f t="shared" si="76"/>
        <v>0.65112216494845376</v>
      </c>
      <c r="M467" s="12"/>
      <c r="N467" s="12"/>
      <c r="O467" s="12">
        <f t="shared" si="77"/>
        <v>325.56108247422691</v>
      </c>
      <c r="P467" s="12"/>
      <c r="Q467" s="12"/>
      <c r="R467" s="28">
        <f t="shared" si="69"/>
        <v>19.678714859437751</v>
      </c>
    </row>
    <row r="468" spans="1:18" hidden="1" x14ac:dyDescent="0.25">
      <c r="A468" s="16">
        <v>45588</v>
      </c>
      <c r="B468" s="2" t="s">
        <v>137</v>
      </c>
      <c r="C468" s="2">
        <v>220</v>
      </c>
      <c r="D468" s="19">
        <v>0.19</v>
      </c>
      <c r="E468" s="11">
        <v>0.35520000000000002</v>
      </c>
      <c r="F468" s="10">
        <f t="shared" si="72"/>
        <v>810</v>
      </c>
      <c r="G468" s="10">
        <f t="shared" si="73"/>
        <v>0.22</v>
      </c>
      <c r="H468" s="12">
        <f t="shared" si="74"/>
        <v>0.27160493827160492</v>
      </c>
      <c r="I468" s="12">
        <v>0.02</v>
      </c>
      <c r="J468" s="12">
        <v>7.0000000000000007E-2</v>
      </c>
      <c r="K468" s="12">
        <f t="shared" si="75"/>
        <v>0.12844207407407407</v>
      </c>
      <c r="L468" s="12">
        <f t="shared" si="76"/>
        <v>0.49004701234567904</v>
      </c>
      <c r="M468" s="12"/>
      <c r="N468" s="12"/>
      <c r="O468" s="12">
        <f t="shared" si="77"/>
        <v>245.02350617283952</v>
      </c>
      <c r="P468" s="12"/>
      <c r="Q468" s="12"/>
      <c r="R468" s="28">
        <f t="shared" si="69"/>
        <v>26.210153482880752</v>
      </c>
    </row>
    <row r="469" spans="1:18" hidden="1" x14ac:dyDescent="0.25">
      <c r="A469" s="16">
        <v>45588</v>
      </c>
      <c r="B469" s="10" t="s">
        <v>93</v>
      </c>
      <c r="C469" s="10">
        <v>520</v>
      </c>
      <c r="D469" s="19">
        <v>0.1111</v>
      </c>
      <c r="E469" s="11">
        <v>0.17</v>
      </c>
      <c r="F469" s="10">
        <f t="shared" si="72"/>
        <v>888.9</v>
      </c>
      <c r="G469" s="2">
        <f t="shared" si="73"/>
        <v>0.52</v>
      </c>
      <c r="H469" s="12">
        <f t="shared" si="74"/>
        <v>0.5849926875914051</v>
      </c>
      <c r="I469" s="12">
        <v>0.02</v>
      </c>
      <c r="J469" s="12">
        <v>7.0000000000000007E-2</v>
      </c>
      <c r="K469" s="12">
        <f t="shared" si="75"/>
        <v>0.11474875689053889</v>
      </c>
      <c r="L469" s="12">
        <f t="shared" si="76"/>
        <v>0.78974144448194405</v>
      </c>
      <c r="M469" s="12"/>
      <c r="N469" s="12"/>
      <c r="O469" s="12">
        <f t="shared" si="77"/>
        <v>394.87072224097204</v>
      </c>
      <c r="P469" s="12"/>
      <c r="Q469" s="12"/>
      <c r="R469" s="28">
        <v>5.8380414312617708</v>
      </c>
    </row>
    <row r="470" spans="1:18" hidden="1" x14ac:dyDescent="0.25">
      <c r="A470" s="16">
        <v>45588</v>
      </c>
      <c r="B470" s="2" t="s">
        <v>172</v>
      </c>
      <c r="C470" s="2">
        <v>1150</v>
      </c>
      <c r="D470" s="19">
        <v>0.03</v>
      </c>
      <c r="E470" s="11">
        <v>0.16850000000000001</v>
      </c>
      <c r="F470" s="2">
        <f t="shared" si="72"/>
        <v>970</v>
      </c>
      <c r="G470" s="10">
        <f t="shared" si="73"/>
        <v>1.1499999999999999</v>
      </c>
      <c r="H470" s="12">
        <f t="shared" si="74"/>
        <v>1.1855670103092784</v>
      </c>
      <c r="I470" s="12">
        <v>0.02</v>
      </c>
      <c r="J470" s="12">
        <v>7.0000000000000007E-2</v>
      </c>
      <c r="K470" s="12">
        <f t="shared" si="75"/>
        <v>0.21493304123711343</v>
      </c>
      <c r="L470" s="12">
        <f t="shared" si="76"/>
        <v>1.490500051546392</v>
      </c>
      <c r="M470" s="2"/>
      <c r="N470" s="2"/>
      <c r="O470" s="2">
        <f t="shared" si="77"/>
        <v>745.25002577319594</v>
      </c>
      <c r="P470" s="2"/>
      <c r="Q470" s="2"/>
      <c r="R470" s="28">
        <f t="shared" ref="R470:R476" si="78">K470/L470%</f>
        <v>14.420196833547283</v>
      </c>
    </row>
    <row r="471" spans="1:18" hidden="1" x14ac:dyDescent="0.25">
      <c r="A471" s="16">
        <v>45588</v>
      </c>
      <c r="B471" s="2" t="s">
        <v>94</v>
      </c>
      <c r="C471" s="2">
        <v>200</v>
      </c>
      <c r="D471" s="19">
        <v>0.26</v>
      </c>
      <c r="E471" s="11">
        <v>-2.5000000000000001E-2</v>
      </c>
      <c r="F471" s="10">
        <f t="shared" si="72"/>
        <v>740</v>
      </c>
      <c r="G471" s="10">
        <f t="shared" si="73"/>
        <v>0.2</v>
      </c>
      <c r="H471" s="12">
        <f t="shared" si="74"/>
        <v>0.27027027027027029</v>
      </c>
      <c r="I471" s="12">
        <v>0.02</v>
      </c>
      <c r="J471" s="12">
        <v>7.0000000000000007E-2</v>
      </c>
      <c r="K471" s="12">
        <f t="shared" si="75"/>
        <v>-9.0067567567567574E-3</v>
      </c>
      <c r="L471" s="12">
        <f t="shared" si="76"/>
        <v>0.35126351351351354</v>
      </c>
      <c r="M471" s="12"/>
      <c r="N471" s="12"/>
      <c r="O471" s="12">
        <f t="shared" si="77"/>
        <v>175.63175675675677</v>
      </c>
      <c r="P471" s="12"/>
      <c r="Q471" s="12"/>
      <c r="R471" s="28">
        <f t="shared" si="78"/>
        <v>-2.5641025641025643</v>
      </c>
    </row>
    <row r="472" spans="1:18" hidden="1" x14ac:dyDescent="0.25">
      <c r="A472" s="16">
        <v>45588</v>
      </c>
      <c r="B472" s="2" t="s">
        <v>95</v>
      </c>
      <c r="C472" s="2">
        <v>200</v>
      </c>
      <c r="D472" s="19">
        <v>0.26</v>
      </c>
      <c r="E472" s="11">
        <v>-2.5000000000000001E-2</v>
      </c>
      <c r="F472" s="10">
        <f t="shared" si="72"/>
        <v>740</v>
      </c>
      <c r="G472" s="10">
        <f t="shared" si="73"/>
        <v>0.2</v>
      </c>
      <c r="H472" s="12">
        <f t="shared" si="74"/>
        <v>0.27027027027027029</v>
      </c>
      <c r="I472" s="12">
        <v>0.02</v>
      </c>
      <c r="J472" s="12">
        <v>7.0000000000000007E-2</v>
      </c>
      <c r="K472" s="12">
        <f t="shared" si="75"/>
        <v>-9.0067567567567574E-3</v>
      </c>
      <c r="L472" s="12">
        <f t="shared" si="76"/>
        <v>0.35126351351351354</v>
      </c>
      <c r="M472" s="12"/>
      <c r="N472" s="12"/>
      <c r="O472" s="12">
        <f t="shared" si="77"/>
        <v>175.63175675675677</v>
      </c>
      <c r="P472" s="12"/>
      <c r="Q472" s="12"/>
      <c r="R472" s="28">
        <f t="shared" si="78"/>
        <v>-2.5641025641025643</v>
      </c>
    </row>
    <row r="473" spans="1:18" hidden="1" x14ac:dyDescent="0.25">
      <c r="A473" s="16">
        <v>45588</v>
      </c>
      <c r="B473" s="2" t="s">
        <v>111</v>
      </c>
      <c r="C473" s="2">
        <v>740</v>
      </c>
      <c r="D473" s="19">
        <v>0.4</v>
      </c>
      <c r="E473" s="11">
        <v>4.4999999999999998E-2</v>
      </c>
      <c r="F473" s="10">
        <f t="shared" si="72"/>
        <v>600</v>
      </c>
      <c r="G473" s="10">
        <f t="shared" si="73"/>
        <v>0.74</v>
      </c>
      <c r="H473" s="12">
        <f t="shared" si="74"/>
        <v>1.2333333333333334</v>
      </c>
      <c r="I473" s="12">
        <v>0.02</v>
      </c>
      <c r="J473" s="12">
        <v>7.0000000000000007E-2</v>
      </c>
      <c r="K473" s="12">
        <f t="shared" si="75"/>
        <v>5.9550000000000006E-2</v>
      </c>
      <c r="L473" s="12">
        <f t="shared" si="76"/>
        <v>1.3828833333333335</v>
      </c>
      <c r="M473" s="12">
        <f>L473*250</f>
        <v>345.72083333333336</v>
      </c>
      <c r="N473" s="12"/>
      <c r="O473" s="12" t="s">
        <v>72</v>
      </c>
      <c r="P473" s="12"/>
      <c r="Q473" s="12"/>
      <c r="R473" s="28">
        <f t="shared" si="78"/>
        <v>4.3062200956937797</v>
      </c>
    </row>
    <row r="474" spans="1:18" hidden="1" x14ac:dyDescent="0.25">
      <c r="A474" s="16">
        <v>45588</v>
      </c>
      <c r="B474" s="2" t="s">
        <v>112</v>
      </c>
      <c r="C474" s="2">
        <v>740</v>
      </c>
      <c r="D474" s="19">
        <v>0.4</v>
      </c>
      <c r="E474" s="11">
        <v>0.02</v>
      </c>
      <c r="F474" s="10">
        <f t="shared" si="72"/>
        <v>600</v>
      </c>
      <c r="G474" s="10">
        <f t="shared" si="73"/>
        <v>0.74</v>
      </c>
      <c r="H474" s="12">
        <f t="shared" si="74"/>
        <v>1.2333333333333334</v>
      </c>
      <c r="I474" s="12">
        <v>0.02</v>
      </c>
      <c r="J474" s="12">
        <v>7.0000000000000007E-2</v>
      </c>
      <c r="K474" s="12">
        <f t="shared" si="75"/>
        <v>2.646666666666667E-2</v>
      </c>
      <c r="L474" s="12">
        <f t="shared" si="76"/>
        <v>1.3498000000000001</v>
      </c>
      <c r="M474" s="12" t="s">
        <v>72</v>
      </c>
      <c r="N474" s="12"/>
      <c r="O474" s="12">
        <f>L474*500</f>
        <v>674.90000000000009</v>
      </c>
      <c r="P474" s="12"/>
      <c r="Q474" s="12"/>
      <c r="R474" s="28">
        <f t="shared" si="78"/>
        <v>1.9607843137254901</v>
      </c>
    </row>
    <row r="475" spans="1:18" hidden="1" x14ac:dyDescent="0.25">
      <c r="A475" s="16">
        <v>45589</v>
      </c>
      <c r="B475" s="2" t="s">
        <v>94</v>
      </c>
      <c r="C475" s="2">
        <v>170</v>
      </c>
      <c r="D475" s="19">
        <v>0.21</v>
      </c>
      <c r="E475" s="11">
        <v>-4.4999999999999998E-2</v>
      </c>
      <c r="F475" s="10">
        <f t="shared" si="72"/>
        <v>790</v>
      </c>
      <c r="G475" s="10">
        <f t="shared" si="73"/>
        <v>0.17</v>
      </c>
      <c r="H475" s="12">
        <f t="shared" si="74"/>
        <v>0.21518987341772153</v>
      </c>
      <c r="I475" s="12">
        <v>0.02</v>
      </c>
      <c r="J475" s="12">
        <v>7.0000000000000007E-2</v>
      </c>
      <c r="K475" s="12">
        <f t="shared" si="75"/>
        <v>-1.3733544303797468E-2</v>
      </c>
      <c r="L475" s="12">
        <f t="shared" si="76"/>
        <v>0.29145632911392405</v>
      </c>
      <c r="M475" s="12"/>
      <c r="N475" s="12"/>
      <c r="O475" s="12">
        <f>L475*500</f>
        <v>145.72816455696201</v>
      </c>
      <c r="P475" s="12"/>
      <c r="Q475" s="12"/>
      <c r="R475" s="28">
        <f t="shared" si="78"/>
        <v>-4.7120418848167542</v>
      </c>
    </row>
    <row r="476" spans="1:18" hidden="1" x14ac:dyDescent="0.25">
      <c r="A476" s="16">
        <v>45589</v>
      </c>
      <c r="B476" s="2" t="s">
        <v>95</v>
      </c>
      <c r="C476" s="2">
        <v>170</v>
      </c>
      <c r="D476" s="19">
        <v>0.21</v>
      </c>
      <c r="E476" s="11">
        <v>-4.4999999999999998E-2</v>
      </c>
      <c r="F476" s="10">
        <f t="shared" si="72"/>
        <v>790</v>
      </c>
      <c r="G476" s="10">
        <f t="shared" si="73"/>
        <v>0.17</v>
      </c>
      <c r="H476" s="12">
        <f t="shared" si="74"/>
        <v>0.21518987341772153</v>
      </c>
      <c r="I476" s="12">
        <v>0.02</v>
      </c>
      <c r="J476" s="12">
        <v>7.0000000000000007E-2</v>
      </c>
      <c r="K476" s="12">
        <f t="shared" si="75"/>
        <v>-1.3733544303797468E-2</v>
      </c>
      <c r="L476" s="12">
        <f t="shared" si="76"/>
        <v>0.29145632911392405</v>
      </c>
      <c r="M476" s="12"/>
      <c r="N476" s="12"/>
      <c r="O476" s="12">
        <f>L476*500</f>
        <v>145.72816455696201</v>
      </c>
      <c r="P476" s="12"/>
      <c r="Q476" s="12"/>
      <c r="R476" s="28">
        <f t="shared" si="78"/>
        <v>-4.7120418848167542</v>
      </c>
    </row>
    <row r="477" spans="1:18" hidden="1" x14ac:dyDescent="0.25">
      <c r="A477" s="16">
        <v>45589</v>
      </c>
      <c r="B477" s="10" t="s">
        <v>142</v>
      </c>
      <c r="C477" s="10">
        <v>320</v>
      </c>
      <c r="D477" s="19">
        <v>0.55000000000000004</v>
      </c>
      <c r="E477" s="11">
        <v>0.47499999999999998</v>
      </c>
      <c r="F477" s="10">
        <f t="shared" si="72"/>
        <v>450</v>
      </c>
      <c r="G477" s="10">
        <f t="shared" si="73"/>
        <v>0.32</v>
      </c>
      <c r="H477" s="12">
        <f t="shared" si="74"/>
        <v>0.71111111111111114</v>
      </c>
      <c r="I477" s="12">
        <v>0.02</v>
      </c>
      <c r="J477" s="12">
        <v>7.0000000000000007E-2</v>
      </c>
      <c r="K477" s="12">
        <f t="shared" si="75"/>
        <v>0.38052777777777774</v>
      </c>
      <c r="L477" s="12">
        <f t="shared" si="76"/>
        <v>1.1816388888888889</v>
      </c>
      <c r="M477" s="12">
        <f>L477*250</f>
        <v>295.40972222222223</v>
      </c>
      <c r="N477" s="12"/>
      <c r="O477" s="12"/>
      <c r="P477" s="12"/>
      <c r="Q477" s="12"/>
      <c r="R477" s="28">
        <v>16.666666666666668</v>
      </c>
    </row>
    <row r="478" spans="1:18" hidden="1" x14ac:dyDescent="0.25">
      <c r="A478" s="16">
        <v>45589</v>
      </c>
      <c r="B478" s="2" t="s">
        <v>137</v>
      </c>
      <c r="C478" s="2">
        <v>240</v>
      </c>
      <c r="D478" s="19">
        <v>-7.0000000000000007E-2</v>
      </c>
      <c r="E478" s="11">
        <v>0.56000000000000005</v>
      </c>
      <c r="F478" s="10">
        <f t="shared" si="72"/>
        <v>1070</v>
      </c>
      <c r="G478" s="10">
        <f t="shared" si="73"/>
        <v>0.24</v>
      </c>
      <c r="H478" s="12">
        <f t="shared" si="74"/>
        <v>0.22429906542056074</v>
      </c>
      <c r="I478" s="12">
        <v>0.02</v>
      </c>
      <c r="J478" s="12">
        <v>7.0000000000000007E-2</v>
      </c>
      <c r="K478" s="12">
        <f t="shared" si="75"/>
        <v>0.17600747663551403</v>
      </c>
      <c r="L478" s="12">
        <f t="shared" si="76"/>
        <v>0.49030654205607477</v>
      </c>
      <c r="M478" s="12"/>
      <c r="N478" s="12"/>
      <c r="O478" s="12">
        <f>L478*500</f>
        <v>245.15327102803738</v>
      </c>
      <c r="P478" s="12"/>
      <c r="Q478" s="12"/>
      <c r="R478" s="28">
        <f>K478/L478%</f>
        <v>35.897435897435898</v>
      </c>
    </row>
    <row r="479" spans="1:18" hidden="1" x14ac:dyDescent="0.25">
      <c r="A479" s="16">
        <v>45589</v>
      </c>
      <c r="B479" s="2" t="s">
        <v>108</v>
      </c>
      <c r="C479" s="2">
        <v>380</v>
      </c>
      <c r="D479" s="19"/>
      <c r="E479" s="11">
        <v>0.115</v>
      </c>
      <c r="F479" s="10">
        <v>910</v>
      </c>
      <c r="G479" s="10">
        <v>0.4</v>
      </c>
      <c r="H479" s="12">
        <v>0.43956043956043955</v>
      </c>
      <c r="I479" s="12">
        <v>0.02</v>
      </c>
      <c r="J479" s="12">
        <v>7.0000000000000007E-2</v>
      </c>
      <c r="K479" s="12">
        <v>6.0899450549450562E-2</v>
      </c>
      <c r="L479" s="12">
        <v>0.5904598901098902</v>
      </c>
      <c r="M479" s="12"/>
      <c r="N479" s="12"/>
      <c r="O479" s="12">
        <v>295.22994505494512</v>
      </c>
      <c r="P479" s="12"/>
      <c r="Q479" s="12"/>
      <c r="R479" s="28">
        <v>10.31390134529148</v>
      </c>
    </row>
    <row r="480" spans="1:18" hidden="1" x14ac:dyDescent="0.25">
      <c r="A480" s="16">
        <v>45589</v>
      </c>
      <c r="B480" s="2" t="s">
        <v>92</v>
      </c>
      <c r="C480" s="2">
        <v>380</v>
      </c>
      <c r="D480" s="19"/>
      <c r="E480" s="11">
        <v>0.245</v>
      </c>
      <c r="F480" s="10">
        <v>970</v>
      </c>
      <c r="G480" s="10">
        <v>0.42</v>
      </c>
      <c r="H480" s="12">
        <v>0.4329896907216495</v>
      </c>
      <c r="I480" s="12">
        <v>0.02</v>
      </c>
      <c r="J480" s="12">
        <v>7.0000000000000007E-2</v>
      </c>
      <c r="K480" s="12">
        <v>0.12813247422680415</v>
      </c>
      <c r="L480" s="12">
        <v>0.65112216494845376</v>
      </c>
      <c r="M480" s="12"/>
      <c r="N480" s="12"/>
      <c r="O480" s="12">
        <v>325.56108247422691</v>
      </c>
      <c r="P480" s="12"/>
      <c r="Q480" s="12"/>
      <c r="R480" s="28">
        <v>19.678714859437751</v>
      </c>
    </row>
    <row r="481" spans="1:18" hidden="1" x14ac:dyDescent="0.25">
      <c r="A481" s="16">
        <v>45589</v>
      </c>
      <c r="B481" s="2" t="s">
        <v>90</v>
      </c>
      <c r="C481" s="2">
        <v>340</v>
      </c>
      <c r="D481" s="19">
        <v>0.14000000000000001</v>
      </c>
      <c r="E481" s="11">
        <v>0.34</v>
      </c>
      <c r="F481" s="10">
        <f t="shared" ref="F481:F516" si="79">1000-1000*D481</f>
        <v>860</v>
      </c>
      <c r="G481" s="10">
        <f t="shared" ref="G481:G516" si="80">C481/1000</f>
        <v>0.34</v>
      </c>
      <c r="H481" s="12">
        <f t="shared" ref="H481:H516" si="81">C481/F481</f>
        <v>0.39534883720930231</v>
      </c>
      <c r="I481" s="12">
        <v>0.02</v>
      </c>
      <c r="J481" s="12">
        <v>7.0000000000000007E-2</v>
      </c>
      <c r="K481" s="12">
        <f t="shared" ref="K481:K516" si="82">SUM(H481:J481)*E481</f>
        <v>0.1650186046511628</v>
      </c>
      <c r="L481" s="12">
        <f t="shared" ref="L481:L516" si="83">SUM(H481:K481)</f>
        <v>0.65036744186046513</v>
      </c>
      <c r="M481" s="12"/>
      <c r="N481" s="12"/>
      <c r="O481" s="12">
        <f>L481*500</f>
        <v>325.18372093023254</v>
      </c>
      <c r="P481" s="12"/>
      <c r="Q481" s="12"/>
      <c r="R481" s="28">
        <f t="shared" ref="R481:R516" si="84">K481/L481%</f>
        <v>25.373134328358212</v>
      </c>
    </row>
    <row r="482" spans="1:18" hidden="1" x14ac:dyDescent="0.25">
      <c r="A482" s="16">
        <v>45589</v>
      </c>
      <c r="B482" s="2" t="s">
        <v>91</v>
      </c>
      <c r="C482" s="2">
        <v>340</v>
      </c>
      <c r="D482" s="19">
        <v>0.14000000000000001</v>
      </c>
      <c r="E482" s="11">
        <v>0.34</v>
      </c>
      <c r="F482" s="10">
        <f t="shared" si="79"/>
        <v>860</v>
      </c>
      <c r="G482" s="10">
        <f t="shared" si="80"/>
        <v>0.34</v>
      </c>
      <c r="H482" s="12">
        <f t="shared" si="81"/>
        <v>0.39534883720930231</v>
      </c>
      <c r="I482" s="12">
        <v>0.02</v>
      </c>
      <c r="J482" s="12">
        <v>7.0000000000000007E-2</v>
      </c>
      <c r="K482" s="12">
        <f t="shared" si="82"/>
        <v>0.1650186046511628</v>
      </c>
      <c r="L482" s="12">
        <f t="shared" si="83"/>
        <v>0.65036744186046513</v>
      </c>
      <c r="M482" s="12"/>
      <c r="N482" s="12"/>
      <c r="O482" s="12">
        <f>L482*500</f>
        <v>325.18372093023254</v>
      </c>
      <c r="P482" s="12"/>
      <c r="Q482" s="12"/>
      <c r="R482" s="28">
        <f t="shared" si="84"/>
        <v>25.373134328358212</v>
      </c>
    </row>
    <row r="483" spans="1:18" hidden="1" x14ac:dyDescent="0.25">
      <c r="A483" s="16">
        <v>45589</v>
      </c>
      <c r="B483" s="2" t="s">
        <v>111</v>
      </c>
      <c r="C483" s="2">
        <v>650</v>
      </c>
      <c r="D483" s="19">
        <v>0.38</v>
      </c>
      <c r="E483" s="11">
        <v>0.32</v>
      </c>
      <c r="F483" s="10">
        <f t="shared" si="79"/>
        <v>620</v>
      </c>
      <c r="G483" s="10">
        <f t="shared" si="80"/>
        <v>0.65</v>
      </c>
      <c r="H483" s="12">
        <f t="shared" si="81"/>
        <v>1.0483870967741935</v>
      </c>
      <c r="I483" s="12">
        <v>0.02</v>
      </c>
      <c r="J483" s="12">
        <v>7.0000000000000007E-2</v>
      </c>
      <c r="K483" s="12">
        <f t="shared" si="82"/>
        <v>0.36428387096774195</v>
      </c>
      <c r="L483" s="12">
        <f t="shared" si="83"/>
        <v>1.5026709677419356</v>
      </c>
      <c r="M483" s="12">
        <f>L483*250</f>
        <v>375.66774193548389</v>
      </c>
      <c r="N483" s="12"/>
      <c r="O483" s="12" t="s">
        <v>72</v>
      </c>
      <c r="P483" s="12"/>
      <c r="Q483" s="12"/>
      <c r="R483" s="28">
        <f t="shared" si="84"/>
        <v>24.242424242424242</v>
      </c>
    </row>
    <row r="484" spans="1:18" hidden="1" x14ac:dyDescent="0.25">
      <c r="A484" s="16">
        <v>45589</v>
      </c>
      <c r="B484" s="2" t="s">
        <v>113</v>
      </c>
      <c r="C484" s="2">
        <v>650</v>
      </c>
      <c r="D484" s="19">
        <v>0.38</v>
      </c>
      <c r="E484" s="11">
        <v>0.74</v>
      </c>
      <c r="F484" s="2">
        <f t="shared" si="79"/>
        <v>620</v>
      </c>
      <c r="G484" s="10">
        <f t="shared" si="80"/>
        <v>0.65</v>
      </c>
      <c r="H484" s="12">
        <f t="shared" si="81"/>
        <v>1.0483870967741935</v>
      </c>
      <c r="I484" s="12">
        <v>0.02</v>
      </c>
      <c r="J484" s="12">
        <v>7.0000000000000007E-2</v>
      </c>
      <c r="K484" s="12">
        <f t="shared" si="82"/>
        <v>0.84240645161290328</v>
      </c>
      <c r="L484" s="12">
        <f t="shared" si="83"/>
        <v>1.9807935483870969</v>
      </c>
      <c r="M484" s="2">
        <f>L484*250</f>
        <v>495.19838709677424</v>
      </c>
      <c r="N484" s="2"/>
      <c r="O484" s="2"/>
      <c r="P484" s="2"/>
      <c r="Q484" s="2"/>
      <c r="R484" s="28">
        <f t="shared" si="84"/>
        <v>42.52873563218391</v>
      </c>
    </row>
    <row r="485" spans="1:18" hidden="1" x14ac:dyDescent="0.25">
      <c r="A485" s="16">
        <v>45589</v>
      </c>
      <c r="B485" s="2" t="s">
        <v>173</v>
      </c>
      <c r="C485" s="2">
        <v>650</v>
      </c>
      <c r="D485" s="19">
        <v>0.38</v>
      </c>
      <c r="E485" s="11">
        <v>0.30499999999999999</v>
      </c>
      <c r="F485" s="2">
        <f t="shared" si="79"/>
        <v>620</v>
      </c>
      <c r="G485" s="10">
        <f t="shared" si="80"/>
        <v>0.65</v>
      </c>
      <c r="H485" s="12">
        <f t="shared" si="81"/>
        <v>1.0483870967741935</v>
      </c>
      <c r="I485" s="12">
        <v>0.02</v>
      </c>
      <c r="J485" s="12">
        <v>7.0000000000000007E-2</v>
      </c>
      <c r="K485" s="12">
        <f t="shared" si="82"/>
        <v>0.34720806451612901</v>
      </c>
      <c r="L485" s="12">
        <f t="shared" si="83"/>
        <v>1.4855951612903227</v>
      </c>
      <c r="M485" s="2" t="s">
        <v>72</v>
      </c>
      <c r="N485" s="2">
        <f>L485*300</f>
        <v>445.67854838709678</v>
      </c>
      <c r="O485" s="2"/>
      <c r="P485" s="2"/>
      <c r="Q485" s="2">
        <f>L485*1000</f>
        <v>1485.5951612903227</v>
      </c>
      <c r="R485" s="28">
        <f t="shared" si="84"/>
        <v>23.371647509578541</v>
      </c>
    </row>
    <row r="486" spans="1:18" hidden="1" x14ac:dyDescent="0.25">
      <c r="A486" s="16">
        <v>45589</v>
      </c>
      <c r="B486" s="2" t="s">
        <v>103</v>
      </c>
      <c r="C486" s="2">
        <v>160</v>
      </c>
      <c r="D486" s="19">
        <v>0</v>
      </c>
      <c r="E486" s="11">
        <v>0.16</v>
      </c>
      <c r="F486" s="2">
        <f t="shared" si="79"/>
        <v>1000</v>
      </c>
      <c r="G486" s="10">
        <f t="shared" si="80"/>
        <v>0.16</v>
      </c>
      <c r="H486" s="12">
        <f t="shared" si="81"/>
        <v>0.16</v>
      </c>
      <c r="I486" s="12">
        <v>0.02</v>
      </c>
      <c r="J486" s="12">
        <v>7.0000000000000007E-2</v>
      </c>
      <c r="K486" s="12">
        <f t="shared" si="82"/>
        <v>0.04</v>
      </c>
      <c r="L486" s="12">
        <f t="shared" si="83"/>
        <v>0.28999999999999998</v>
      </c>
      <c r="M486" s="2"/>
      <c r="N486" s="2"/>
      <c r="O486" s="2">
        <f>L486*500</f>
        <v>145</v>
      </c>
      <c r="P486" s="2"/>
      <c r="Q486" s="2"/>
      <c r="R486" s="28">
        <f t="shared" si="84"/>
        <v>13.793103448275863</v>
      </c>
    </row>
    <row r="487" spans="1:18" hidden="1" x14ac:dyDescent="0.25">
      <c r="A487" s="16">
        <v>45589</v>
      </c>
      <c r="B487" s="10" t="s">
        <v>158</v>
      </c>
      <c r="C487" s="10">
        <v>208</v>
      </c>
      <c r="D487" s="19">
        <v>0</v>
      </c>
      <c r="E487" s="11">
        <v>0</v>
      </c>
      <c r="F487" s="10">
        <f t="shared" si="79"/>
        <v>1000</v>
      </c>
      <c r="G487" s="10">
        <f t="shared" si="80"/>
        <v>0.20799999999999999</v>
      </c>
      <c r="H487" s="12">
        <f t="shared" si="81"/>
        <v>0.20799999999999999</v>
      </c>
      <c r="I487" s="12">
        <v>0.02</v>
      </c>
      <c r="J487" s="12">
        <v>7.0000000000000007E-2</v>
      </c>
      <c r="K487" s="12">
        <f t="shared" si="82"/>
        <v>0</v>
      </c>
      <c r="L487" s="12">
        <f t="shared" si="83"/>
        <v>0.29799999999999999</v>
      </c>
      <c r="M487" s="2"/>
      <c r="N487" s="2"/>
      <c r="O487" s="2">
        <f>L487*500</f>
        <v>149</v>
      </c>
      <c r="P487" s="2"/>
      <c r="Q487" s="2"/>
      <c r="R487" s="28">
        <f t="shared" si="84"/>
        <v>0</v>
      </c>
    </row>
    <row r="488" spans="1:18" hidden="1" x14ac:dyDescent="0.25">
      <c r="A488" s="16">
        <v>45590</v>
      </c>
      <c r="B488" s="10" t="s">
        <v>93</v>
      </c>
      <c r="C488" s="2">
        <v>0</v>
      </c>
      <c r="D488" s="19">
        <v>0</v>
      </c>
      <c r="E488" s="11">
        <v>0.16850000000000001</v>
      </c>
      <c r="F488" s="2">
        <f t="shared" si="79"/>
        <v>1000</v>
      </c>
      <c r="G488" s="10">
        <f t="shared" si="80"/>
        <v>0</v>
      </c>
      <c r="H488" s="12">
        <f t="shared" si="81"/>
        <v>0</v>
      </c>
      <c r="I488" s="12">
        <v>0.02</v>
      </c>
      <c r="J488" s="12">
        <v>7.0000000000000007E-2</v>
      </c>
      <c r="K488" s="12">
        <f t="shared" si="82"/>
        <v>1.5165000000000003E-2</v>
      </c>
      <c r="L488" s="12">
        <f t="shared" si="83"/>
        <v>0.10516500000000001</v>
      </c>
      <c r="M488" s="2"/>
      <c r="N488" s="2"/>
      <c r="O488" s="2">
        <f>L488*500</f>
        <v>52.582500000000003</v>
      </c>
      <c r="P488" s="2"/>
      <c r="Q488" s="2"/>
      <c r="R488" s="28">
        <f t="shared" si="84"/>
        <v>14.420196833547283</v>
      </c>
    </row>
    <row r="489" spans="1:18" hidden="1" x14ac:dyDescent="0.25">
      <c r="A489" s="16">
        <v>45590</v>
      </c>
      <c r="B489" s="2" t="s">
        <v>172</v>
      </c>
      <c r="C489" s="2">
        <v>100</v>
      </c>
      <c r="D489" s="19">
        <v>0</v>
      </c>
      <c r="E489" s="11">
        <v>0.32</v>
      </c>
      <c r="F489" s="2">
        <f t="shared" si="79"/>
        <v>1000</v>
      </c>
      <c r="G489" s="10">
        <f t="shared" si="80"/>
        <v>0.1</v>
      </c>
      <c r="H489" s="12">
        <f t="shared" si="81"/>
        <v>0.1</v>
      </c>
      <c r="I489" s="12">
        <v>0.02</v>
      </c>
      <c r="J489" s="12">
        <v>7.0000000000000007E-2</v>
      </c>
      <c r="K489" s="12">
        <f t="shared" si="82"/>
        <v>6.08E-2</v>
      </c>
      <c r="L489" s="12">
        <f t="shared" si="83"/>
        <v>0.25080000000000002</v>
      </c>
      <c r="M489" s="2"/>
      <c r="N489" s="2"/>
      <c r="O489" s="2">
        <f>L489*500</f>
        <v>125.4</v>
      </c>
      <c r="P489" s="2"/>
      <c r="Q489" s="2"/>
      <c r="R489" s="28">
        <f t="shared" si="84"/>
        <v>24.242424242424239</v>
      </c>
    </row>
    <row r="490" spans="1:18" hidden="1" x14ac:dyDescent="0.25">
      <c r="A490" s="16">
        <v>45590</v>
      </c>
      <c r="B490" s="2" t="s">
        <v>116</v>
      </c>
      <c r="C490" s="2">
        <v>400</v>
      </c>
      <c r="D490" s="19">
        <v>0.12</v>
      </c>
      <c r="E490" s="11">
        <v>0.19500000000000001</v>
      </c>
      <c r="F490" s="2">
        <f t="shared" si="79"/>
        <v>880</v>
      </c>
      <c r="G490" s="10">
        <f t="shared" si="80"/>
        <v>0.4</v>
      </c>
      <c r="H490" s="12">
        <f t="shared" si="81"/>
        <v>0.45454545454545453</v>
      </c>
      <c r="I490" s="12">
        <v>0.02</v>
      </c>
      <c r="J490" s="12">
        <v>7.0000000000000007E-2</v>
      </c>
      <c r="K490" s="12">
        <f t="shared" si="82"/>
        <v>0.10618636363636365</v>
      </c>
      <c r="L490" s="12">
        <f t="shared" si="83"/>
        <v>0.65073181818181824</v>
      </c>
      <c r="M490" s="2"/>
      <c r="N490" s="2"/>
      <c r="O490" s="2">
        <f>L490*500</f>
        <v>325.3659090909091</v>
      </c>
      <c r="P490" s="2"/>
      <c r="Q490" s="2"/>
      <c r="R490" s="28">
        <f t="shared" si="84"/>
        <v>16.317991631799163</v>
      </c>
    </row>
    <row r="491" spans="1:18" hidden="1" x14ac:dyDescent="0.25">
      <c r="A491" s="16">
        <v>45591</v>
      </c>
      <c r="B491" s="2" t="s">
        <v>111</v>
      </c>
      <c r="C491" s="2">
        <v>800</v>
      </c>
      <c r="D491" s="19">
        <v>0.37</v>
      </c>
      <c r="E491" s="11">
        <v>0.105</v>
      </c>
      <c r="F491" s="10">
        <f t="shared" si="79"/>
        <v>630</v>
      </c>
      <c r="G491" s="10">
        <f t="shared" si="80"/>
        <v>0.8</v>
      </c>
      <c r="H491" s="12">
        <f t="shared" si="81"/>
        <v>1.2698412698412698</v>
      </c>
      <c r="I491" s="12">
        <v>0.02</v>
      </c>
      <c r="J491" s="12">
        <v>7.0000000000000007E-2</v>
      </c>
      <c r="K491" s="12">
        <f t="shared" si="82"/>
        <v>0.14278333333333332</v>
      </c>
      <c r="L491" s="12">
        <f t="shared" si="83"/>
        <v>1.5026246031746031</v>
      </c>
      <c r="M491" s="12">
        <f>L491*250</f>
        <v>375.6561507936508</v>
      </c>
      <c r="N491" s="12"/>
      <c r="O491" s="2"/>
      <c r="P491" s="12"/>
      <c r="Q491" s="12"/>
      <c r="R491" s="28">
        <f t="shared" si="84"/>
        <v>9.502262443438914</v>
      </c>
    </row>
    <row r="492" spans="1:18" hidden="1" x14ac:dyDescent="0.25">
      <c r="A492" s="16">
        <v>45591</v>
      </c>
      <c r="B492" s="2" t="s">
        <v>112</v>
      </c>
      <c r="C492" s="2">
        <v>800</v>
      </c>
      <c r="D492" s="19">
        <v>0.37</v>
      </c>
      <c r="E492" s="11">
        <v>6.7000000000000004E-2</v>
      </c>
      <c r="F492" s="2">
        <f t="shared" si="79"/>
        <v>630</v>
      </c>
      <c r="G492" s="10">
        <f t="shared" si="80"/>
        <v>0.8</v>
      </c>
      <c r="H492" s="12">
        <f t="shared" si="81"/>
        <v>1.2698412698412698</v>
      </c>
      <c r="I492" s="12">
        <v>0.02</v>
      </c>
      <c r="J492" s="12">
        <v>7.0000000000000007E-2</v>
      </c>
      <c r="K492" s="12">
        <f t="shared" si="82"/>
        <v>9.1109365079365082E-2</v>
      </c>
      <c r="L492" s="12">
        <f t="shared" si="83"/>
        <v>1.4509506349206349</v>
      </c>
      <c r="M492" s="2"/>
      <c r="N492" s="2"/>
      <c r="O492" s="2">
        <f t="shared" ref="O492:O505" si="85">L492*500</f>
        <v>725.47531746031746</v>
      </c>
      <c r="P492" s="2"/>
      <c r="Q492" s="2"/>
      <c r="R492" s="28">
        <f t="shared" si="84"/>
        <v>6.2792877225866919</v>
      </c>
    </row>
    <row r="493" spans="1:18" hidden="1" x14ac:dyDescent="0.25">
      <c r="A493" s="16">
        <v>45591</v>
      </c>
      <c r="B493" s="2" t="s">
        <v>110</v>
      </c>
      <c r="C493" s="2">
        <v>100</v>
      </c>
      <c r="D493" s="19">
        <v>0</v>
      </c>
      <c r="E493" s="11">
        <v>0.32</v>
      </c>
      <c r="F493" s="2">
        <f t="shared" si="79"/>
        <v>1000</v>
      </c>
      <c r="G493" s="10">
        <f t="shared" si="80"/>
        <v>0.1</v>
      </c>
      <c r="H493" s="12">
        <f t="shared" si="81"/>
        <v>0.1</v>
      </c>
      <c r="I493" s="12">
        <v>0.02</v>
      </c>
      <c r="J493" s="12">
        <v>7.0000000000000007E-2</v>
      </c>
      <c r="K493" s="12">
        <f t="shared" si="82"/>
        <v>6.08E-2</v>
      </c>
      <c r="L493" s="12">
        <f t="shared" si="83"/>
        <v>0.25080000000000002</v>
      </c>
      <c r="M493" s="2"/>
      <c r="N493" s="2"/>
      <c r="O493" s="2">
        <f t="shared" si="85"/>
        <v>125.4</v>
      </c>
      <c r="P493" s="2"/>
      <c r="Q493" s="2"/>
      <c r="R493" s="28">
        <f t="shared" si="84"/>
        <v>24.242424242424239</v>
      </c>
    </row>
    <row r="494" spans="1:18" hidden="1" x14ac:dyDescent="0.25">
      <c r="A494" s="16">
        <v>45591</v>
      </c>
      <c r="B494" s="2" t="s">
        <v>94</v>
      </c>
      <c r="C494" s="2">
        <v>180</v>
      </c>
      <c r="D494" s="19">
        <v>0.13</v>
      </c>
      <c r="E494" s="11">
        <v>-1.7999999999999999E-2</v>
      </c>
      <c r="F494" s="2">
        <f t="shared" si="79"/>
        <v>870</v>
      </c>
      <c r="G494" s="10">
        <f t="shared" si="80"/>
        <v>0.18</v>
      </c>
      <c r="H494" s="12">
        <f t="shared" si="81"/>
        <v>0.20689655172413793</v>
      </c>
      <c r="I494" s="12">
        <v>0.02</v>
      </c>
      <c r="J494" s="12">
        <v>7.0000000000000007E-2</v>
      </c>
      <c r="K494" s="12">
        <f t="shared" si="82"/>
        <v>-5.3441379310344818E-3</v>
      </c>
      <c r="L494" s="12">
        <f t="shared" si="83"/>
        <v>0.29155241379310343</v>
      </c>
      <c r="M494" s="2"/>
      <c r="N494" s="2"/>
      <c r="O494" s="2">
        <f t="shared" si="85"/>
        <v>145.77620689655171</v>
      </c>
      <c r="P494" s="2"/>
      <c r="Q494" s="2"/>
      <c r="R494" s="28">
        <f t="shared" si="84"/>
        <v>-1.8329938900203664</v>
      </c>
    </row>
    <row r="495" spans="1:18" hidden="1" x14ac:dyDescent="0.25">
      <c r="A495" s="16">
        <v>45591</v>
      </c>
      <c r="B495" s="2" t="s">
        <v>95</v>
      </c>
      <c r="C495" s="2">
        <v>180</v>
      </c>
      <c r="D495" s="19">
        <v>0.13</v>
      </c>
      <c r="E495" s="11">
        <v>-1.7999999999999999E-2</v>
      </c>
      <c r="F495" s="2">
        <f t="shared" si="79"/>
        <v>870</v>
      </c>
      <c r="G495" s="10">
        <f t="shared" si="80"/>
        <v>0.18</v>
      </c>
      <c r="H495" s="12">
        <f t="shared" si="81"/>
        <v>0.20689655172413793</v>
      </c>
      <c r="I495" s="12">
        <v>0.02</v>
      </c>
      <c r="J495" s="12">
        <v>7.0000000000000007E-2</v>
      </c>
      <c r="K495" s="12">
        <f t="shared" si="82"/>
        <v>-5.3441379310344818E-3</v>
      </c>
      <c r="L495" s="12">
        <f t="shared" si="83"/>
        <v>0.29155241379310343</v>
      </c>
      <c r="M495" s="2"/>
      <c r="N495" s="2"/>
      <c r="O495" s="2">
        <f t="shared" si="85"/>
        <v>145.77620689655171</v>
      </c>
      <c r="P495" s="2"/>
      <c r="Q495" s="2"/>
      <c r="R495" s="28">
        <f t="shared" si="84"/>
        <v>-1.8329938900203664</v>
      </c>
    </row>
    <row r="496" spans="1:18" hidden="1" x14ac:dyDescent="0.25">
      <c r="A496" s="16">
        <v>45591</v>
      </c>
      <c r="B496" s="2" t="s">
        <v>40</v>
      </c>
      <c r="C496" s="2">
        <v>200</v>
      </c>
      <c r="D496" s="19">
        <v>0.22</v>
      </c>
      <c r="E496" s="11">
        <v>1.4999999999999999E-2</v>
      </c>
      <c r="F496" s="2">
        <f t="shared" si="79"/>
        <v>780</v>
      </c>
      <c r="G496" s="10">
        <f t="shared" si="80"/>
        <v>0.2</v>
      </c>
      <c r="H496" s="12">
        <f t="shared" si="81"/>
        <v>0.25641025641025639</v>
      </c>
      <c r="I496" s="12">
        <v>0.02</v>
      </c>
      <c r="J496" s="12">
        <v>7.0000000000000007E-2</v>
      </c>
      <c r="K496" s="12">
        <f t="shared" si="82"/>
        <v>5.196153846153846E-3</v>
      </c>
      <c r="L496" s="12">
        <f t="shared" si="83"/>
        <v>0.35160641025641026</v>
      </c>
      <c r="M496" s="2"/>
      <c r="N496" s="2"/>
      <c r="O496" s="2">
        <f t="shared" si="85"/>
        <v>175.80320512820512</v>
      </c>
      <c r="P496" s="2"/>
      <c r="Q496" s="2"/>
      <c r="R496" s="28">
        <f t="shared" si="84"/>
        <v>1.4778325123152709</v>
      </c>
    </row>
    <row r="497" spans="1:18" hidden="1" x14ac:dyDescent="0.25">
      <c r="A497" s="16">
        <v>45591</v>
      </c>
      <c r="B497" s="10" t="s">
        <v>197</v>
      </c>
      <c r="C497" s="2">
        <v>450</v>
      </c>
      <c r="D497" s="19">
        <v>0</v>
      </c>
      <c r="E497" s="11">
        <v>0.20499999999999999</v>
      </c>
      <c r="F497" s="2">
        <f t="shared" si="79"/>
        <v>1000</v>
      </c>
      <c r="G497" s="10">
        <f t="shared" si="80"/>
        <v>0.45</v>
      </c>
      <c r="H497" s="12">
        <f t="shared" si="81"/>
        <v>0.45</v>
      </c>
      <c r="I497" s="12">
        <v>0.02</v>
      </c>
      <c r="J497" s="12">
        <v>7.0000000000000007E-2</v>
      </c>
      <c r="K497" s="12">
        <f t="shared" si="82"/>
        <v>0.11070000000000001</v>
      </c>
      <c r="L497" s="12">
        <f t="shared" si="83"/>
        <v>0.65070000000000006</v>
      </c>
      <c r="M497" s="2"/>
      <c r="N497" s="2"/>
      <c r="O497" s="2">
        <f t="shared" si="85"/>
        <v>325.35000000000002</v>
      </c>
      <c r="P497" s="2"/>
      <c r="Q497" s="2"/>
      <c r="R497" s="28">
        <f t="shared" si="84"/>
        <v>17.012448132780083</v>
      </c>
    </row>
    <row r="498" spans="1:18" hidden="1" x14ac:dyDescent="0.25">
      <c r="A498" s="16">
        <v>45591</v>
      </c>
      <c r="B498" s="2" t="s">
        <v>108</v>
      </c>
      <c r="C498" s="2">
        <v>420</v>
      </c>
      <c r="D498" s="19">
        <v>0.01</v>
      </c>
      <c r="E498" s="11">
        <v>0.15</v>
      </c>
      <c r="F498" s="2">
        <f t="shared" si="79"/>
        <v>990</v>
      </c>
      <c r="G498" s="10">
        <f t="shared" si="80"/>
        <v>0.42</v>
      </c>
      <c r="H498" s="12">
        <f t="shared" si="81"/>
        <v>0.42424242424242425</v>
      </c>
      <c r="I498" s="12">
        <v>0.02</v>
      </c>
      <c r="J498" s="12">
        <v>7.0000000000000007E-2</v>
      </c>
      <c r="K498" s="12">
        <f t="shared" si="82"/>
        <v>7.7136363636363642E-2</v>
      </c>
      <c r="L498" s="12">
        <f t="shared" si="83"/>
        <v>0.59137878787878795</v>
      </c>
      <c r="M498" s="2"/>
      <c r="N498" s="2"/>
      <c r="O498" s="2">
        <f t="shared" si="85"/>
        <v>295.68939393939399</v>
      </c>
      <c r="P498" s="2"/>
      <c r="Q498" s="2"/>
      <c r="R498" s="28">
        <f t="shared" si="84"/>
        <v>13.043478260869565</v>
      </c>
    </row>
    <row r="499" spans="1:18" hidden="1" x14ac:dyDescent="0.25">
      <c r="A499" s="16">
        <v>45591</v>
      </c>
      <c r="B499" s="2" t="s">
        <v>107</v>
      </c>
      <c r="C499" s="2">
        <v>420</v>
      </c>
      <c r="D499" s="19">
        <v>0.01</v>
      </c>
      <c r="E499" s="11">
        <v>0.26500000000000001</v>
      </c>
      <c r="F499" s="2">
        <f t="shared" si="79"/>
        <v>990</v>
      </c>
      <c r="G499" s="10">
        <f t="shared" si="80"/>
        <v>0.42</v>
      </c>
      <c r="H499" s="2">
        <f t="shared" si="81"/>
        <v>0.42424242424242425</v>
      </c>
      <c r="I499" s="12">
        <v>0.02</v>
      </c>
      <c r="J499" s="12">
        <v>7.0000000000000007E-2</v>
      </c>
      <c r="K499" s="12">
        <f t="shared" si="82"/>
        <v>0.13627424242424244</v>
      </c>
      <c r="L499" s="12">
        <f t="shared" si="83"/>
        <v>0.65051666666666674</v>
      </c>
      <c r="M499" s="2"/>
      <c r="N499" s="2"/>
      <c r="O499" s="2">
        <f t="shared" si="85"/>
        <v>325.25833333333338</v>
      </c>
      <c r="P499" s="2"/>
      <c r="Q499" s="2"/>
      <c r="R499" s="28">
        <f t="shared" si="84"/>
        <v>20.948616600790512</v>
      </c>
    </row>
    <row r="500" spans="1:18" hidden="1" x14ac:dyDescent="0.25">
      <c r="A500" s="16">
        <v>45592</v>
      </c>
      <c r="B500" s="2" t="s">
        <v>40</v>
      </c>
      <c r="C500" s="2">
        <v>200</v>
      </c>
      <c r="D500" s="19">
        <v>0.14000000000000001</v>
      </c>
      <c r="E500" s="11">
        <v>8.5999999999999993E-2</v>
      </c>
      <c r="F500" s="2">
        <f t="shared" si="79"/>
        <v>860</v>
      </c>
      <c r="G500" s="10">
        <f t="shared" si="80"/>
        <v>0.2</v>
      </c>
      <c r="H500" s="2">
        <f t="shared" si="81"/>
        <v>0.23255813953488372</v>
      </c>
      <c r="I500" s="12">
        <v>0.02</v>
      </c>
      <c r="J500" s="12">
        <v>7.0000000000000007E-2</v>
      </c>
      <c r="K500" s="12">
        <f t="shared" si="82"/>
        <v>2.7739999999999997E-2</v>
      </c>
      <c r="L500" s="12">
        <f t="shared" si="83"/>
        <v>0.3502981395348837</v>
      </c>
      <c r="M500" s="2"/>
      <c r="N500" s="2"/>
      <c r="O500" s="2">
        <f t="shared" si="85"/>
        <v>175.14906976744186</v>
      </c>
      <c r="P500" s="2"/>
      <c r="Q500" s="2"/>
      <c r="R500" s="28">
        <f t="shared" si="84"/>
        <v>7.9189686924493552</v>
      </c>
    </row>
    <row r="501" spans="1:18" hidden="1" x14ac:dyDescent="0.25">
      <c r="A501" s="16">
        <v>45592</v>
      </c>
      <c r="B501" s="2" t="s">
        <v>94</v>
      </c>
      <c r="C501" s="2">
        <v>180</v>
      </c>
      <c r="D501" s="19">
        <v>0.17</v>
      </c>
      <c r="E501" s="11">
        <v>-0.05</v>
      </c>
      <c r="F501" s="2">
        <f t="shared" si="79"/>
        <v>830</v>
      </c>
      <c r="G501" s="10">
        <f t="shared" si="80"/>
        <v>0.18</v>
      </c>
      <c r="H501" s="2">
        <f t="shared" si="81"/>
        <v>0.21686746987951808</v>
      </c>
      <c r="I501" s="12">
        <v>0.02</v>
      </c>
      <c r="J501" s="12">
        <v>7.0000000000000007E-2</v>
      </c>
      <c r="K501" s="12">
        <f t="shared" si="82"/>
        <v>-1.5343373493975904E-2</v>
      </c>
      <c r="L501" s="12">
        <f t="shared" si="83"/>
        <v>0.29152409638554216</v>
      </c>
      <c r="M501" s="2"/>
      <c r="N501" s="2"/>
      <c r="O501" s="2">
        <f t="shared" si="85"/>
        <v>145.76204819277109</v>
      </c>
      <c r="P501" s="2"/>
      <c r="Q501" s="2"/>
      <c r="R501" s="28">
        <f t="shared" si="84"/>
        <v>-5.2631578947368425</v>
      </c>
    </row>
    <row r="502" spans="1:18" hidden="1" x14ac:dyDescent="0.25">
      <c r="A502" s="16">
        <v>45592</v>
      </c>
      <c r="B502" s="2" t="s">
        <v>95</v>
      </c>
      <c r="C502" s="2">
        <v>180</v>
      </c>
      <c r="D502" s="19">
        <v>0.17</v>
      </c>
      <c r="E502" s="11">
        <v>-0.05</v>
      </c>
      <c r="F502" s="2">
        <f t="shared" si="79"/>
        <v>830</v>
      </c>
      <c r="G502" s="10">
        <f t="shared" si="80"/>
        <v>0.18</v>
      </c>
      <c r="H502" s="2">
        <f t="shared" si="81"/>
        <v>0.21686746987951808</v>
      </c>
      <c r="I502" s="12">
        <v>0.02</v>
      </c>
      <c r="J502" s="12">
        <v>7.0000000000000007E-2</v>
      </c>
      <c r="K502" s="12">
        <f t="shared" si="82"/>
        <v>-1.5343373493975904E-2</v>
      </c>
      <c r="L502" s="12">
        <f t="shared" si="83"/>
        <v>0.29152409638554216</v>
      </c>
      <c r="M502" s="2"/>
      <c r="N502" s="2"/>
      <c r="O502" s="2">
        <f t="shared" si="85"/>
        <v>145.76204819277109</v>
      </c>
      <c r="P502" s="2"/>
      <c r="Q502" s="2"/>
      <c r="R502" s="28">
        <f t="shared" si="84"/>
        <v>-5.2631578947368425</v>
      </c>
    </row>
    <row r="503" spans="1:18" hidden="1" x14ac:dyDescent="0.25">
      <c r="A503" s="16">
        <v>45592</v>
      </c>
      <c r="B503" s="2" t="s">
        <v>137</v>
      </c>
      <c r="C503" s="2">
        <v>120</v>
      </c>
      <c r="D503" s="19">
        <v>0</v>
      </c>
      <c r="E503" s="11">
        <v>0.85799999999999998</v>
      </c>
      <c r="F503" s="2">
        <f t="shared" si="79"/>
        <v>1000</v>
      </c>
      <c r="G503" s="10">
        <f t="shared" si="80"/>
        <v>0.12</v>
      </c>
      <c r="H503" s="2">
        <f t="shared" si="81"/>
        <v>0.12</v>
      </c>
      <c r="I503" s="12">
        <v>0.02</v>
      </c>
      <c r="J503" s="12">
        <v>7.0000000000000007E-2</v>
      </c>
      <c r="K503" s="12">
        <f t="shared" si="82"/>
        <v>0.18017999999999998</v>
      </c>
      <c r="L503" s="12">
        <f t="shared" si="83"/>
        <v>0.39017999999999997</v>
      </c>
      <c r="M503" s="2"/>
      <c r="N503" s="2"/>
      <c r="O503" s="2">
        <f t="shared" si="85"/>
        <v>195.08999999999997</v>
      </c>
      <c r="P503" s="2"/>
      <c r="Q503" s="2"/>
      <c r="R503" s="28">
        <f t="shared" si="84"/>
        <v>46.178686759956946</v>
      </c>
    </row>
    <row r="504" spans="1:18" hidden="1" x14ac:dyDescent="0.25">
      <c r="A504" s="16">
        <v>45592</v>
      </c>
      <c r="B504" s="2" t="s">
        <v>152</v>
      </c>
      <c r="C504" s="2">
        <v>120</v>
      </c>
      <c r="D504" s="19">
        <v>0</v>
      </c>
      <c r="E504" s="11">
        <v>0.85799999999999998</v>
      </c>
      <c r="F504" s="2">
        <f t="shared" si="79"/>
        <v>1000</v>
      </c>
      <c r="G504" s="10">
        <f t="shared" si="80"/>
        <v>0.12</v>
      </c>
      <c r="H504" s="2">
        <f t="shared" si="81"/>
        <v>0.12</v>
      </c>
      <c r="I504" s="12">
        <v>0.02</v>
      </c>
      <c r="J504" s="12">
        <v>7.0000000000000007E-2</v>
      </c>
      <c r="K504" s="12">
        <f t="shared" si="82"/>
        <v>0.18017999999999998</v>
      </c>
      <c r="L504" s="12">
        <f t="shared" si="83"/>
        <v>0.39017999999999997</v>
      </c>
      <c r="M504" s="2"/>
      <c r="N504" s="2"/>
      <c r="O504" s="2">
        <f t="shared" si="85"/>
        <v>195.08999999999997</v>
      </c>
      <c r="P504" s="2"/>
      <c r="Q504" s="2"/>
      <c r="R504" s="28">
        <f t="shared" si="84"/>
        <v>46.178686759956946</v>
      </c>
    </row>
    <row r="505" spans="1:18" hidden="1" x14ac:dyDescent="0.25">
      <c r="A505" s="16">
        <v>45592</v>
      </c>
      <c r="B505" s="2" t="s">
        <v>93</v>
      </c>
      <c r="C505" s="2">
        <v>530</v>
      </c>
      <c r="D505" s="19">
        <v>7.0000000000000007E-2</v>
      </c>
      <c r="E505" s="11">
        <v>0.2</v>
      </c>
      <c r="F505" s="2">
        <f t="shared" si="79"/>
        <v>930</v>
      </c>
      <c r="G505" s="10">
        <f t="shared" si="80"/>
        <v>0.53</v>
      </c>
      <c r="H505" s="2">
        <f t="shared" si="81"/>
        <v>0.56989247311827962</v>
      </c>
      <c r="I505" s="12">
        <v>0.02</v>
      </c>
      <c r="J505" s="12">
        <v>7.0000000000000007E-2</v>
      </c>
      <c r="K505" s="12">
        <f t="shared" si="82"/>
        <v>0.13197849462365593</v>
      </c>
      <c r="L505" s="12">
        <f t="shared" si="83"/>
        <v>0.79187096774193555</v>
      </c>
      <c r="M505" s="2"/>
      <c r="N505" s="2"/>
      <c r="O505" s="2">
        <f t="shared" si="85"/>
        <v>395.9354838709678</v>
      </c>
      <c r="P505" s="2"/>
      <c r="Q505" s="2"/>
      <c r="R505" s="28">
        <f t="shared" si="84"/>
        <v>16.666666666666668</v>
      </c>
    </row>
    <row r="506" spans="1:18" hidden="1" x14ac:dyDescent="0.25">
      <c r="A506" s="16">
        <v>45594</v>
      </c>
      <c r="B506" s="2" t="s">
        <v>111</v>
      </c>
      <c r="C506" s="2">
        <v>650</v>
      </c>
      <c r="D506" s="19">
        <v>0.31</v>
      </c>
      <c r="E506" s="11">
        <v>0.45200000000000001</v>
      </c>
      <c r="F506" s="10">
        <f t="shared" si="79"/>
        <v>690</v>
      </c>
      <c r="G506" s="10">
        <f t="shared" si="80"/>
        <v>0.65</v>
      </c>
      <c r="H506" s="12">
        <f t="shared" si="81"/>
        <v>0.94202898550724634</v>
      </c>
      <c r="I506" s="12">
        <v>0.02</v>
      </c>
      <c r="J506" s="12">
        <v>7.0000000000000007E-2</v>
      </c>
      <c r="K506" s="12">
        <f t="shared" si="82"/>
        <v>0.4664771014492754</v>
      </c>
      <c r="L506" s="12">
        <f t="shared" si="83"/>
        <v>1.4985060869565219</v>
      </c>
      <c r="M506" s="12">
        <f>L506*250</f>
        <v>374.62652173913045</v>
      </c>
      <c r="N506" s="12"/>
      <c r="O506" s="2"/>
      <c r="P506" s="12"/>
      <c r="Q506" s="12"/>
      <c r="R506" s="28">
        <f t="shared" si="84"/>
        <v>31.12947658402204</v>
      </c>
    </row>
    <row r="507" spans="1:18" hidden="1" x14ac:dyDescent="0.25">
      <c r="A507" s="16">
        <v>45594</v>
      </c>
      <c r="B507" s="2" t="s">
        <v>160</v>
      </c>
      <c r="C507" s="2">
        <v>650</v>
      </c>
      <c r="D507" s="19">
        <v>0.31</v>
      </c>
      <c r="E507" s="11">
        <v>0.40500000000000003</v>
      </c>
      <c r="F507" s="2">
        <f t="shared" si="79"/>
        <v>690</v>
      </c>
      <c r="G507" s="10">
        <f t="shared" si="80"/>
        <v>0.65</v>
      </c>
      <c r="H507" s="12">
        <f t="shared" si="81"/>
        <v>0.94202898550724634</v>
      </c>
      <c r="I507" s="12">
        <v>0.02</v>
      </c>
      <c r="J507" s="12">
        <v>7.0000000000000007E-2</v>
      </c>
      <c r="K507" s="12">
        <f t="shared" si="82"/>
        <v>0.41797173913043484</v>
      </c>
      <c r="L507" s="12">
        <f t="shared" si="83"/>
        <v>1.4500007246376811</v>
      </c>
      <c r="M507" s="2"/>
      <c r="N507" s="2"/>
      <c r="O507" s="2">
        <f t="shared" ref="O507:O514" si="86">L507*500</f>
        <v>725.00036231884053</v>
      </c>
      <c r="P507" s="2"/>
      <c r="Q507" s="2"/>
      <c r="R507" s="28">
        <f t="shared" si="84"/>
        <v>28.825622775800714</v>
      </c>
    </row>
    <row r="508" spans="1:18" hidden="1" x14ac:dyDescent="0.25">
      <c r="A508" s="16">
        <v>45594</v>
      </c>
      <c r="B508" s="2" t="s">
        <v>137</v>
      </c>
      <c r="C508" s="2">
        <v>200</v>
      </c>
      <c r="D508" s="19">
        <v>1.23E-2</v>
      </c>
      <c r="E508" s="11">
        <v>-0.01</v>
      </c>
      <c r="F508" s="2">
        <f t="shared" si="79"/>
        <v>987.7</v>
      </c>
      <c r="G508" s="10">
        <f t="shared" si="80"/>
        <v>0.2</v>
      </c>
      <c r="H508" s="2">
        <f t="shared" si="81"/>
        <v>0.20249063480814011</v>
      </c>
      <c r="I508" s="12">
        <v>0.02</v>
      </c>
      <c r="J508" s="12">
        <v>7.0000000000000007E-2</v>
      </c>
      <c r="K508" s="12">
        <f t="shared" si="82"/>
        <v>-2.9249063480814011E-3</v>
      </c>
      <c r="L508" s="12">
        <f t="shared" si="83"/>
        <v>0.28956572846005868</v>
      </c>
      <c r="M508" s="2"/>
      <c r="N508" s="2"/>
      <c r="O508" s="2">
        <f t="shared" si="86"/>
        <v>144.78286423002933</v>
      </c>
      <c r="P508" s="2"/>
      <c r="Q508" s="2"/>
      <c r="R508" s="28">
        <f t="shared" si="84"/>
        <v>-1.0101010101010102</v>
      </c>
    </row>
    <row r="509" spans="1:18" hidden="1" x14ac:dyDescent="0.25">
      <c r="A509" s="16">
        <v>45594</v>
      </c>
      <c r="B509" s="2" t="s">
        <v>152</v>
      </c>
      <c r="C509" s="2">
        <v>200</v>
      </c>
      <c r="D509" s="19">
        <v>1.23E-2</v>
      </c>
      <c r="E509" s="11">
        <v>-0.01</v>
      </c>
      <c r="F509" s="2">
        <f t="shared" si="79"/>
        <v>987.7</v>
      </c>
      <c r="G509" s="10">
        <f t="shared" si="80"/>
        <v>0.2</v>
      </c>
      <c r="H509" s="2">
        <f t="shared" si="81"/>
        <v>0.20249063480814011</v>
      </c>
      <c r="I509" s="12">
        <v>0.02</v>
      </c>
      <c r="J509" s="12">
        <v>7.0000000000000007E-2</v>
      </c>
      <c r="K509" s="12">
        <f t="shared" si="82"/>
        <v>-2.9249063480814011E-3</v>
      </c>
      <c r="L509" s="12">
        <f t="shared" si="83"/>
        <v>0.28956572846005868</v>
      </c>
      <c r="M509" s="2"/>
      <c r="N509" s="2"/>
      <c r="O509" s="2">
        <f t="shared" si="86"/>
        <v>144.78286423002933</v>
      </c>
      <c r="P509" s="2"/>
      <c r="Q509" s="2"/>
      <c r="R509" s="28">
        <f t="shared" si="84"/>
        <v>-1.0101010101010102</v>
      </c>
    </row>
    <row r="510" spans="1:18" hidden="1" x14ac:dyDescent="0.25">
      <c r="A510" s="16">
        <v>45594</v>
      </c>
      <c r="B510" s="2" t="s">
        <v>90</v>
      </c>
      <c r="C510" s="2">
        <v>400</v>
      </c>
      <c r="D510" s="19">
        <v>0.15</v>
      </c>
      <c r="E510" s="11">
        <v>0.16</v>
      </c>
      <c r="F510" s="10">
        <f t="shared" si="79"/>
        <v>850</v>
      </c>
      <c r="G510" s="10">
        <f t="shared" si="80"/>
        <v>0.4</v>
      </c>
      <c r="H510" s="12">
        <f t="shared" si="81"/>
        <v>0.47058823529411764</v>
      </c>
      <c r="I510" s="12">
        <v>0.02</v>
      </c>
      <c r="J510" s="12">
        <v>7.0000000000000007E-2</v>
      </c>
      <c r="K510" s="12">
        <f t="shared" si="82"/>
        <v>8.9694117647058813E-2</v>
      </c>
      <c r="L510" s="12">
        <f t="shared" si="83"/>
        <v>0.65028235294117642</v>
      </c>
      <c r="M510" s="12"/>
      <c r="N510" s="12"/>
      <c r="O510" s="12">
        <f t="shared" si="86"/>
        <v>325.14117647058822</v>
      </c>
      <c r="P510" s="12"/>
      <c r="Q510" s="12"/>
      <c r="R510" s="28">
        <f t="shared" si="84"/>
        <v>13.793103448275861</v>
      </c>
    </row>
    <row r="511" spans="1:18" hidden="1" x14ac:dyDescent="0.25">
      <c r="A511" s="16">
        <v>45594</v>
      </c>
      <c r="B511" s="2" t="s">
        <v>108</v>
      </c>
      <c r="C511" s="2">
        <v>420</v>
      </c>
      <c r="D511" s="19">
        <v>0.08</v>
      </c>
      <c r="E511" s="11">
        <v>0.08</v>
      </c>
      <c r="F511" s="2">
        <f t="shared" si="79"/>
        <v>920</v>
      </c>
      <c r="G511" s="10">
        <f t="shared" si="80"/>
        <v>0.42</v>
      </c>
      <c r="H511" s="12">
        <f t="shared" si="81"/>
        <v>0.45652173913043476</v>
      </c>
      <c r="I511" s="12">
        <v>0.02</v>
      </c>
      <c r="J511" s="12">
        <v>7.0000000000000007E-2</v>
      </c>
      <c r="K511" s="12">
        <f t="shared" si="82"/>
        <v>4.3721739130434784E-2</v>
      </c>
      <c r="L511" s="12">
        <f t="shared" si="83"/>
        <v>0.59024347826086954</v>
      </c>
      <c r="M511" s="2"/>
      <c r="N511" s="2"/>
      <c r="O511" s="2">
        <f t="shared" si="86"/>
        <v>295.12173913043478</v>
      </c>
      <c r="P511" s="2"/>
      <c r="Q511" s="2"/>
      <c r="R511" s="28">
        <f t="shared" si="84"/>
        <v>7.4074074074074074</v>
      </c>
    </row>
    <row r="512" spans="1:18" hidden="1" x14ac:dyDescent="0.25">
      <c r="A512" s="16">
        <v>45594</v>
      </c>
      <c r="B512" s="2" t="s">
        <v>107</v>
      </c>
      <c r="C512" s="2">
        <v>420</v>
      </c>
      <c r="D512" s="19">
        <v>0.08</v>
      </c>
      <c r="E512" s="11">
        <v>0.19</v>
      </c>
      <c r="F512" s="2">
        <f t="shared" si="79"/>
        <v>920</v>
      </c>
      <c r="G512" s="10">
        <f t="shared" si="80"/>
        <v>0.42</v>
      </c>
      <c r="H512" s="2">
        <f t="shared" si="81"/>
        <v>0.45652173913043476</v>
      </c>
      <c r="I512" s="12">
        <v>0.02</v>
      </c>
      <c r="J512" s="12">
        <v>7.0000000000000007E-2</v>
      </c>
      <c r="K512" s="12">
        <f t="shared" si="82"/>
        <v>0.10383913043478261</v>
      </c>
      <c r="L512" s="12">
        <f t="shared" si="83"/>
        <v>0.65036086956521744</v>
      </c>
      <c r="M512" s="2"/>
      <c r="N512" s="2"/>
      <c r="O512" s="2">
        <f t="shared" si="86"/>
        <v>325.1804347826087</v>
      </c>
      <c r="P512" s="2"/>
      <c r="Q512" s="2"/>
      <c r="R512" s="28">
        <f t="shared" si="84"/>
        <v>15.966386554621849</v>
      </c>
    </row>
    <row r="513" spans="1:18" hidden="1" x14ac:dyDescent="0.25">
      <c r="A513" s="16">
        <v>45594</v>
      </c>
      <c r="B513" s="2" t="s">
        <v>94</v>
      </c>
      <c r="C513" s="2">
        <v>130</v>
      </c>
      <c r="D513" s="19">
        <v>0.15</v>
      </c>
      <c r="E513" s="11">
        <v>0.44</v>
      </c>
      <c r="F513" s="2">
        <f t="shared" si="79"/>
        <v>850</v>
      </c>
      <c r="G513" s="10">
        <f t="shared" si="80"/>
        <v>0.13</v>
      </c>
      <c r="H513" s="2">
        <f t="shared" si="81"/>
        <v>0.15294117647058825</v>
      </c>
      <c r="I513" s="12">
        <v>0.02</v>
      </c>
      <c r="J513" s="12">
        <v>7.0000000000000007E-2</v>
      </c>
      <c r="K513" s="12">
        <f t="shared" si="82"/>
        <v>0.10689411764705883</v>
      </c>
      <c r="L513" s="12">
        <f t="shared" si="83"/>
        <v>0.34983529411764708</v>
      </c>
      <c r="M513" s="2"/>
      <c r="N513" s="2"/>
      <c r="O513" s="2">
        <f t="shared" si="86"/>
        <v>174.91764705882355</v>
      </c>
      <c r="P513" s="2"/>
      <c r="Q513" s="2"/>
      <c r="R513" s="28">
        <f t="shared" si="84"/>
        <v>30.555555555555557</v>
      </c>
    </row>
    <row r="514" spans="1:18" hidden="1" x14ac:dyDescent="0.25">
      <c r="A514" s="16">
        <v>45594</v>
      </c>
      <c r="B514" s="2" t="s">
        <v>95</v>
      </c>
      <c r="C514" s="2">
        <v>130</v>
      </c>
      <c r="D514" s="19">
        <v>0.15</v>
      </c>
      <c r="E514" s="11">
        <v>0.44</v>
      </c>
      <c r="F514" s="2">
        <f t="shared" si="79"/>
        <v>850</v>
      </c>
      <c r="G514" s="10">
        <f t="shared" si="80"/>
        <v>0.13</v>
      </c>
      <c r="H514" s="2">
        <f t="shared" si="81"/>
        <v>0.15294117647058825</v>
      </c>
      <c r="I514" s="12">
        <v>0.02</v>
      </c>
      <c r="J514" s="12">
        <v>7.0000000000000007E-2</v>
      </c>
      <c r="K514" s="12">
        <f t="shared" si="82"/>
        <v>0.10689411764705883</v>
      </c>
      <c r="L514" s="12">
        <f t="shared" si="83"/>
        <v>0.34983529411764708</v>
      </c>
      <c r="M514" s="2"/>
      <c r="N514" s="2"/>
      <c r="O514" s="2">
        <f t="shared" si="86"/>
        <v>174.91764705882355</v>
      </c>
      <c r="P514" s="2"/>
      <c r="Q514" s="2"/>
      <c r="R514" s="28">
        <f t="shared" si="84"/>
        <v>30.555555555555557</v>
      </c>
    </row>
    <row r="515" spans="1:18" hidden="1" x14ac:dyDescent="0.25">
      <c r="A515" s="16">
        <v>45596</v>
      </c>
      <c r="B515" s="2" t="s">
        <v>111</v>
      </c>
      <c r="C515" s="2">
        <v>620</v>
      </c>
      <c r="D515" s="19">
        <v>0.35</v>
      </c>
      <c r="E515" s="11">
        <v>0.44</v>
      </c>
      <c r="F515" s="10">
        <f t="shared" si="79"/>
        <v>650</v>
      </c>
      <c r="G515" s="10">
        <f t="shared" si="80"/>
        <v>0.62</v>
      </c>
      <c r="H515" s="12">
        <f t="shared" si="81"/>
        <v>0.9538461538461539</v>
      </c>
      <c r="I515" s="12">
        <v>0.02</v>
      </c>
      <c r="J515" s="12">
        <v>7.0000000000000007E-2</v>
      </c>
      <c r="K515" s="12">
        <f t="shared" si="82"/>
        <v>0.45929230769230772</v>
      </c>
      <c r="L515" s="12">
        <f t="shared" si="83"/>
        <v>1.5031384615384615</v>
      </c>
      <c r="M515" s="12">
        <f>L515*250</f>
        <v>375.78461538461539</v>
      </c>
      <c r="N515" s="12"/>
      <c r="O515" s="2"/>
      <c r="P515" s="12"/>
      <c r="Q515" s="12"/>
      <c r="R515" s="28">
        <f t="shared" si="84"/>
        <v>30.555555555555557</v>
      </c>
    </row>
    <row r="516" spans="1:18" hidden="1" x14ac:dyDescent="0.25">
      <c r="A516" s="16">
        <v>45596</v>
      </c>
      <c r="B516" s="2" t="s">
        <v>103</v>
      </c>
      <c r="C516" s="2">
        <v>160</v>
      </c>
      <c r="D516" s="19">
        <v>0</v>
      </c>
      <c r="E516" s="11">
        <v>0.16</v>
      </c>
      <c r="F516" s="2">
        <f t="shared" si="79"/>
        <v>1000</v>
      </c>
      <c r="G516" s="10">
        <f t="shared" si="80"/>
        <v>0.16</v>
      </c>
      <c r="H516" s="12">
        <f t="shared" si="81"/>
        <v>0.16</v>
      </c>
      <c r="I516" s="12">
        <v>0.02</v>
      </c>
      <c r="J516" s="12">
        <v>7.0000000000000007E-2</v>
      </c>
      <c r="K516" s="12">
        <f t="shared" si="82"/>
        <v>0.04</v>
      </c>
      <c r="L516" s="12">
        <f t="shared" si="83"/>
        <v>0.28999999999999998</v>
      </c>
      <c r="M516" s="2"/>
      <c r="N516" s="2"/>
      <c r="O516" s="2">
        <f t="shared" ref="O516:O524" si="87">L516*500</f>
        <v>145</v>
      </c>
      <c r="P516" s="2"/>
      <c r="Q516" s="2"/>
      <c r="R516" s="28">
        <f t="shared" si="84"/>
        <v>13.793103448275863</v>
      </c>
    </row>
    <row r="517" spans="1:18" hidden="1" x14ac:dyDescent="0.25">
      <c r="A517" s="16">
        <v>45596</v>
      </c>
      <c r="B517" s="2" t="s">
        <v>196</v>
      </c>
      <c r="C517" s="10">
        <v>370</v>
      </c>
      <c r="D517" s="19">
        <v>0.24</v>
      </c>
      <c r="E517" s="11">
        <v>0.3</v>
      </c>
      <c r="F517" s="10">
        <v>760</v>
      </c>
      <c r="G517" s="10">
        <v>0.3</v>
      </c>
      <c r="H517" s="12">
        <v>0.39473684210526316</v>
      </c>
      <c r="I517" s="12">
        <v>0.02</v>
      </c>
      <c r="J517" s="12">
        <v>7.0000000000000007E-2</v>
      </c>
      <c r="K517" s="12">
        <v>0.14542105263157895</v>
      </c>
      <c r="L517" s="12">
        <v>0.63015789473684214</v>
      </c>
      <c r="M517" s="12"/>
      <c r="N517" s="12"/>
      <c r="O517" s="2">
        <f t="shared" si="87"/>
        <v>315.0789473684211</v>
      </c>
      <c r="P517" s="12"/>
      <c r="Q517" s="12"/>
      <c r="R517" s="28">
        <v>23.076923076923077</v>
      </c>
    </row>
    <row r="518" spans="1:18" hidden="1" x14ac:dyDescent="0.25">
      <c r="A518" s="16">
        <v>45596</v>
      </c>
      <c r="B518" s="10" t="s">
        <v>93</v>
      </c>
      <c r="C518" s="10">
        <v>370</v>
      </c>
      <c r="D518" s="19">
        <v>0</v>
      </c>
      <c r="E518" s="11">
        <v>0.34</v>
      </c>
      <c r="F518" s="10">
        <v>1000</v>
      </c>
      <c r="G518" s="10">
        <v>0.47</v>
      </c>
      <c r="H518" s="12">
        <v>0.47</v>
      </c>
      <c r="I518" s="12">
        <v>0.02</v>
      </c>
      <c r="J518" s="12">
        <v>7.0000000000000007E-2</v>
      </c>
      <c r="K518" s="12">
        <v>0.19040000000000004</v>
      </c>
      <c r="L518" s="12">
        <v>0.75040000000000007</v>
      </c>
      <c r="M518" s="12"/>
      <c r="N518" s="12"/>
      <c r="O518" s="2">
        <f t="shared" si="87"/>
        <v>375.20000000000005</v>
      </c>
      <c r="P518" s="12"/>
      <c r="Q518" s="12"/>
      <c r="R518" s="28">
        <v>25.373134328358212</v>
      </c>
    </row>
    <row r="519" spans="1:18" hidden="1" x14ac:dyDescent="0.25">
      <c r="A519" s="16">
        <v>45596</v>
      </c>
      <c r="B519" s="2" t="s">
        <v>137</v>
      </c>
      <c r="C519" s="2">
        <v>180</v>
      </c>
      <c r="D519" s="19">
        <v>0</v>
      </c>
      <c r="E519" s="11">
        <v>0.45</v>
      </c>
      <c r="F519" s="2">
        <f t="shared" ref="F519:F582" si="88">1000-1000*D519</f>
        <v>1000</v>
      </c>
      <c r="G519" s="10">
        <f t="shared" ref="G519:G582" si="89">C519/1000</f>
        <v>0.18</v>
      </c>
      <c r="H519" s="2">
        <f t="shared" ref="H519:H582" si="90">C519/F519</f>
        <v>0.18</v>
      </c>
      <c r="I519" s="12">
        <v>0.02</v>
      </c>
      <c r="J519" s="12">
        <v>7.0000000000000007E-2</v>
      </c>
      <c r="K519" s="12">
        <f t="shared" ref="K519:K582" si="91">SUM(H519:J519)*E519</f>
        <v>0.12150000000000001</v>
      </c>
      <c r="L519" s="12">
        <f t="shared" ref="L519:L582" si="92">SUM(H519:K519)</f>
        <v>0.39150000000000001</v>
      </c>
      <c r="M519" s="2"/>
      <c r="N519" s="2"/>
      <c r="O519" s="2">
        <f t="shared" si="87"/>
        <v>195.75</v>
      </c>
      <c r="P519" s="2"/>
      <c r="Q519" s="2"/>
      <c r="R519" s="28">
        <f t="shared" ref="R519:R529" si="93">K519/L519%</f>
        <v>31.03448275862069</v>
      </c>
    </row>
    <row r="520" spans="1:18" hidden="1" x14ac:dyDescent="0.25">
      <c r="A520" s="16">
        <v>45596</v>
      </c>
      <c r="B520" s="2" t="s">
        <v>152</v>
      </c>
      <c r="C520" s="2">
        <v>180</v>
      </c>
      <c r="D520" s="19">
        <v>0</v>
      </c>
      <c r="E520" s="11">
        <v>0.45</v>
      </c>
      <c r="F520" s="2">
        <f t="shared" si="88"/>
        <v>1000</v>
      </c>
      <c r="G520" s="10">
        <f t="shared" si="89"/>
        <v>0.18</v>
      </c>
      <c r="H520" s="2">
        <f t="shared" si="90"/>
        <v>0.18</v>
      </c>
      <c r="I520" s="12">
        <v>0.02</v>
      </c>
      <c r="J520" s="12">
        <v>7.0000000000000007E-2</v>
      </c>
      <c r="K520" s="12">
        <f t="shared" si="91"/>
        <v>0.12150000000000001</v>
      </c>
      <c r="L520" s="12">
        <f t="shared" si="92"/>
        <v>0.39150000000000001</v>
      </c>
      <c r="M520" s="2"/>
      <c r="N520" s="2"/>
      <c r="O520" s="2">
        <f t="shared" si="87"/>
        <v>195.75</v>
      </c>
      <c r="P520" s="2"/>
      <c r="Q520" s="2"/>
      <c r="R520" s="28">
        <f t="shared" si="93"/>
        <v>31.03448275862069</v>
      </c>
    </row>
    <row r="521" spans="1:18" hidden="1" x14ac:dyDescent="0.25">
      <c r="A521" s="16">
        <v>45596</v>
      </c>
      <c r="B521" s="2" t="s">
        <v>94</v>
      </c>
      <c r="C521" s="2">
        <v>150</v>
      </c>
      <c r="D521" s="19">
        <v>0.15</v>
      </c>
      <c r="E521" s="11">
        <v>0.314</v>
      </c>
      <c r="F521" s="2">
        <f t="shared" si="88"/>
        <v>850</v>
      </c>
      <c r="G521" s="10">
        <f t="shared" si="89"/>
        <v>0.15</v>
      </c>
      <c r="H521" s="2">
        <f t="shared" si="90"/>
        <v>0.17647058823529413</v>
      </c>
      <c r="I521" s="12">
        <v>0.02</v>
      </c>
      <c r="J521" s="12">
        <v>7.0000000000000007E-2</v>
      </c>
      <c r="K521" s="12">
        <f t="shared" si="91"/>
        <v>8.3671764705882362E-2</v>
      </c>
      <c r="L521" s="12">
        <f t="shared" si="92"/>
        <v>0.35014235294117646</v>
      </c>
      <c r="M521" s="2"/>
      <c r="N521" s="2"/>
      <c r="O521" s="2">
        <f t="shared" si="87"/>
        <v>175.07117647058823</v>
      </c>
      <c r="P521" s="2"/>
      <c r="Q521" s="2"/>
      <c r="R521" s="28">
        <f t="shared" si="93"/>
        <v>23.896499238964996</v>
      </c>
    </row>
    <row r="522" spans="1:18" hidden="1" x14ac:dyDescent="0.25">
      <c r="A522" s="16">
        <v>45596</v>
      </c>
      <c r="B522" s="2" t="s">
        <v>95</v>
      </c>
      <c r="C522" s="2">
        <v>150</v>
      </c>
      <c r="D522" s="19">
        <v>0.15</v>
      </c>
      <c r="E522" s="11">
        <v>0.314</v>
      </c>
      <c r="F522" s="2">
        <f t="shared" si="88"/>
        <v>850</v>
      </c>
      <c r="G522" s="10">
        <f t="shared" si="89"/>
        <v>0.15</v>
      </c>
      <c r="H522" s="2">
        <f t="shared" si="90"/>
        <v>0.17647058823529413</v>
      </c>
      <c r="I522" s="12">
        <v>0.02</v>
      </c>
      <c r="J522" s="12">
        <v>7.0000000000000007E-2</v>
      </c>
      <c r="K522" s="12">
        <f t="shared" si="91"/>
        <v>8.3671764705882362E-2</v>
      </c>
      <c r="L522" s="12">
        <f t="shared" si="92"/>
        <v>0.35014235294117646</v>
      </c>
      <c r="M522" s="2"/>
      <c r="N522" s="2"/>
      <c r="O522" s="2">
        <f t="shared" si="87"/>
        <v>175.07117647058823</v>
      </c>
      <c r="P522" s="2"/>
      <c r="Q522" s="2"/>
      <c r="R522" s="28">
        <f t="shared" si="93"/>
        <v>23.896499238964996</v>
      </c>
    </row>
    <row r="523" spans="1:18" hidden="1" x14ac:dyDescent="0.25">
      <c r="A523" s="16">
        <v>45597</v>
      </c>
      <c r="B523" s="2" t="s">
        <v>94</v>
      </c>
      <c r="C523" s="2">
        <v>150</v>
      </c>
      <c r="D523" s="19">
        <v>0.21</v>
      </c>
      <c r="E523" s="11">
        <v>0.25</v>
      </c>
      <c r="F523" s="2">
        <f t="shared" si="88"/>
        <v>790</v>
      </c>
      <c r="G523" s="10">
        <f t="shared" si="89"/>
        <v>0.15</v>
      </c>
      <c r="H523" s="2">
        <f t="shared" si="90"/>
        <v>0.189873417721519</v>
      </c>
      <c r="I523" s="12">
        <v>0.02</v>
      </c>
      <c r="J523" s="12">
        <v>7.0000000000000007E-2</v>
      </c>
      <c r="K523" s="12">
        <f t="shared" si="91"/>
        <v>6.9968354430379742E-2</v>
      </c>
      <c r="L523" s="12">
        <f t="shared" si="92"/>
        <v>0.34984177215189871</v>
      </c>
      <c r="M523" s="2"/>
      <c r="N523" s="2"/>
      <c r="O523" s="2">
        <f t="shared" si="87"/>
        <v>174.92088607594937</v>
      </c>
      <c r="P523" s="2"/>
      <c r="Q523" s="2"/>
      <c r="R523" s="28">
        <f t="shared" si="93"/>
        <v>20</v>
      </c>
    </row>
    <row r="524" spans="1:18" hidden="1" x14ac:dyDescent="0.25">
      <c r="A524" s="16">
        <v>45597</v>
      </c>
      <c r="B524" s="2" t="s">
        <v>95</v>
      </c>
      <c r="C524" s="2">
        <v>150</v>
      </c>
      <c r="D524" s="19">
        <v>0.21</v>
      </c>
      <c r="E524" s="11">
        <v>0.25</v>
      </c>
      <c r="F524" s="2">
        <f t="shared" si="88"/>
        <v>790</v>
      </c>
      <c r="G524" s="10">
        <f t="shared" si="89"/>
        <v>0.15</v>
      </c>
      <c r="H524" s="2">
        <f t="shared" si="90"/>
        <v>0.189873417721519</v>
      </c>
      <c r="I524" s="12">
        <v>0.02</v>
      </c>
      <c r="J524" s="12">
        <v>7.0000000000000007E-2</v>
      </c>
      <c r="K524" s="12">
        <f t="shared" si="91"/>
        <v>6.9968354430379742E-2</v>
      </c>
      <c r="L524" s="12">
        <f t="shared" si="92"/>
        <v>0.34984177215189871</v>
      </c>
      <c r="M524" s="2"/>
      <c r="N524" s="2"/>
      <c r="O524" s="2">
        <f t="shared" si="87"/>
        <v>174.92088607594937</v>
      </c>
      <c r="P524" s="2"/>
      <c r="Q524" s="2"/>
      <c r="R524" s="28">
        <f t="shared" si="93"/>
        <v>20</v>
      </c>
    </row>
    <row r="525" spans="1:18" hidden="1" x14ac:dyDescent="0.25">
      <c r="A525" s="16">
        <v>45597</v>
      </c>
      <c r="B525" s="2" t="s">
        <v>111</v>
      </c>
      <c r="C525" s="2">
        <v>650</v>
      </c>
      <c r="D525" s="19">
        <v>0.28999999999999998</v>
      </c>
      <c r="E525" s="11">
        <v>0.49</v>
      </c>
      <c r="F525" s="10">
        <f t="shared" si="88"/>
        <v>710</v>
      </c>
      <c r="G525" s="10">
        <f t="shared" si="89"/>
        <v>0.65</v>
      </c>
      <c r="H525" s="12">
        <f t="shared" si="90"/>
        <v>0.91549295774647887</v>
      </c>
      <c r="I525" s="12">
        <v>0.02</v>
      </c>
      <c r="J525" s="12">
        <v>7.0000000000000007E-2</v>
      </c>
      <c r="K525" s="12">
        <f t="shared" si="91"/>
        <v>0.49269154929577463</v>
      </c>
      <c r="L525" s="12">
        <f t="shared" si="92"/>
        <v>1.4981845070422535</v>
      </c>
      <c r="M525" s="12">
        <f>L525*250</f>
        <v>374.54612676056337</v>
      </c>
      <c r="N525" s="12"/>
      <c r="O525" s="2"/>
      <c r="P525" s="12"/>
      <c r="Q525" s="12"/>
      <c r="R525" s="28">
        <f t="shared" si="93"/>
        <v>32.885906040268459</v>
      </c>
    </row>
    <row r="526" spans="1:18" hidden="1" x14ac:dyDescent="0.25">
      <c r="A526" s="16">
        <v>45597</v>
      </c>
      <c r="B526" s="2" t="s">
        <v>160</v>
      </c>
      <c r="C526" s="2">
        <v>650</v>
      </c>
      <c r="D526" s="19">
        <v>0.28999999999999998</v>
      </c>
      <c r="E526" s="11">
        <v>0.442</v>
      </c>
      <c r="F526" s="2">
        <f t="shared" si="88"/>
        <v>710</v>
      </c>
      <c r="G526" s="10">
        <f t="shared" si="89"/>
        <v>0.65</v>
      </c>
      <c r="H526" s="12">
        <f t="shared" si="90"/>
        <v>0.91549295774647887</v>
      </c>
      <c r="I526" s="12">
        <v>0.02</v>
      </c>
      <c r="J526" s="12">
        <v>7.0000000000000007E-2</v>
      </c>
      <c r="K526" s="12">
        <f t="shared" si="91"/>
        <v>0.44442788732394367</v>
      </c>
      <c r="L526" s="12">
        <f t="shared" si="92"/>
        <v>1.4499208450704226</v>
      </c>
      <c r="M526" s="2"/>
      <c r="N526" s="2"/>
      <c r="O526" s="2">
        <f>L526*500</f>
        <v>724.96042253521136</v>
      </c>
      <c r="P526" s="2"/>
      <c r="Q526" s="2"/>
      <c r="R526" s="28">
        <f t="shared" si="93"/>
        <v>30.651872399445214</v>
      </c>
    </row>
    <row r="527" spans="1:18" hidden="1" x14ac:dyDescent="0.25">
      <c r="A527" s="16">
        <v>45597</v>
      </c>
      <c r="B527" s="2" t="s">
        <v>118</v>
      </c>
      <c r="C527" s="2">
        <v>240</v>
      </c>
      <c r="D527" s="19">
        <v>0.34</v>
      </c>
      <c r="E527" s="11">
        <v>0.72</v>
      </c>
      <c r="F527" s="2">
        <f t="shared" si="88"/>
        <v>660</v>
      </c>
      <c r="G527" s="10">
        <f t="shared" si="89"/>
        <v>0.24</v>
      </c>
      <c r="H527" s="12">
        <f t="shared" si="90"/>
        <v>0.36363636363636365</v>
      </c>
      <c r="I527" s="12">
        <v>0.02</v>
      </c>
      <c r="J527" s="12">
        <v>7.0000000000000007E-2</v>
      </c>
      <c r="K527" s="12">
        <f t="shared" si="91"/>
        <v>0.32661818181818181</v>
      </c>
      <c r="L527" s="12">
        <f t="shared" si="92"/>
        <v>0.78025454545454553</v>
      </c>
      <c r="M527" s="2">
        <f>L527*250</f>
        <v>195.06363636363639</v>
      </c>
      <c r="N527" s="2"/>
      <c r="O527" s="2"/>
      <c r="P527" s="2"/>
      <c r="Q527" s="2"/>
      <c r="R527" s="28">
        <f t="shared" si="93"/>
        <v>41.860465116279066</v>
      </c>
    </row>
    <row r="528" spans="1:18" hidden="1" x14ac:dyDescent="0.25">
      <c r="A528" s="16">
        <v>45598</v>
      </c>
      <c r="B528" s="2" t="s">
        <v>105</v>
      </c>
      <c r="C528" s="10">
        <v>130</v>
      </c>
      <c r="D528" s="19">
        <v>0.65</v>
      </c>
      <c r="E528" s="11">
        <v>0.52</v>
      </c>
      <c r="F528" s="10">
        <f t="shared" si="88"/>
        <v>350</v>
      </c>
      <c r="G528" s="10">
        <f t="shared" si="89"/>
        <v>0.13</v>
      </c>
      <c r="H528" s="12">
        <f t="shared" si="90"/>
        <v>0.37142857142857144</v>
      </c>
      <c r="I528" s="12">
        <v>0.02</v>
      </c>
      <c r="J528" s="12">
        <v>7.0000000000000007E-2</v>
      </c>
      <c r="K528" s="12">
        <f t="shared" si="91"/>
        <v>0.23994285714285718</v>
      </c>
      <c r="L528" s="12">
        <f t="shared" si="92"/>
        <v>0.70137142857142865</v>
      </c>
      <c r="M528" s="12">
        <f>L528*250</f>
        <v>175.34285714285716</v>
      </c>
      <c r="N528" s="2"/>
      <c r="O528" s="2"/>
      <c r="P528" s="2"/>
      <c r="Q528" s="2"/>
      <c r="R528" s="28">
        <f t="shared" si="93"/>
        <v>34.210526315789473</v>
      </c>
    </row>
    <row r="529" spans="1:18" hidden="1" x14ac:dyDescent="0.25">
      <c r="A529" s="16">
        <v>45598</v>
      </c>
      <c r="B529" s="2" t="s">
        <v>104</v>
      </c>
      <c r="C529" s="10">
        <v>130</v>
      </c>
      <c r="D529" s="19">
        <v>0.65</v>
      </c>
      <c r="E529" s="11">
        <v>0.52</v>
      </c>
      <c r="F529" s="10">
        <f t="shared" si="88"/>
        <v>350</v>
      </c>
      <c r="G529" s="10">
        <f t="shared" si="89"/>
        <v>0.13</v>
      </c>
      <c r="H529" s="12">
        <f t="shared" si="90"/>
        <v>0.37142857142857144</v>
      </c>
      <c r="I529" s="12">
        <v>0.02</v>
      </c>
      <c r="J529" s="12">
        <v>7.0000000000000007E-2</v>
      </c>
      <c r="K529" s="12">
        <f t="shared" si="91"/>
        <v>0.23994285714285718</v>
      </c>
      <c r="L529" s="12">
        <f t="shared" si="92"/>
        <v>0.70137142857142865</v>
      </c>
      <c r="M529" s="12">
        <f>L529*250</f>
        <v>175.34285714285716</v>
      </c>
      <c r="N529" s="12"/>
      <c r="O529" s="12"/>
      <c r="P529" s="12"/>
      <c r="Q529" s="12"/>
      <c r="R529" s="28">
        <f t="shared" si="93"/>
        <v>34.210526315789473</v>
      </c>
    </row>
    <row r="530" spans="1:18" hidden="1" x14ac:dyDescent="0.25">
      <c r="A530" s="16">
        <v>45598</v>
      </c>
      <c r="B530" s="2" t="s">
        <v>138</v>
      </c>
      <c r="C530" s="2">
        <v>350</v>
      </c>
      <c r="D530" s="19">
        <v>0.61</v>
      </c>
      <c r="E530" s="11">
        <v>0.4</v>
      </c>
      <c r="F530" s="10">
        <f t="shared" si="88"/>
        <v>390</v>
      </c>
      <c r="G530" s="10">
        <f t="shared" si="89"/>
        <v>0.35</v>
      </c>
      <c r="H530" s="12">
        <f t="shared" si="90"/>
        <v>0.89743589743589747</v>
      </c>
      <c r="I530" s="12">
        <v>0.02</v>
      </c>
      <c r="J530" s="12">
        <v>7.0000000000000007E-2</v>
      </c>
      <c r="K530" s="12">
        <f t="shared" si="91"/>
        <v>0.39497435897435901</v>
      </c>
      <c r="L530" s="12">
        <f t="shared" si="92"/>
        <v>1.3824102564102565</v>
      </c>
      <c r="M530" s="12">
        <f>L530*250</f>
        <v>345.60256410256414</v>
      </c>
      <c r="N530" s="2"/>
      <c r="O530" s="2"/>
      <c r="P530" s="2"/>
      <c r="Q530" s="2"/>
      <c r="R530" s="28">
        <v>22.480620155038757</v>
      </c>
    </row>
    <row r="531" spans="1:18" hidden="1" x14ac:dyDescent="0.25">
      <c r="A531" s="16">
        <v>45598</v>
      </c>
      <c r="B531" s="2" t="s">
        <v>143</v>
      </c>
      <c r="C531" s="2">
        <v>350</v>
      </c>
      <c r="D531" s="19">
        <v>0.61</v>
      </c>
      <c r="E531" s="11">
        <v>0.307</v>
      </c>
      <c r="F531" s="10">
        <f t="shared" si="88"/>
        <v>390</v>
      </c>
      <c r="G531" s="10">
        <f t="shared" si="89"/>
        <v>0.35</v>
      </c>
      <c r="H531" s="12">
        <f t="shared" si="90"/>
        <v>0.89743589743589747</v>
      </c>
      <c r="I531" s="12">
        <v>0.02</v>
      </c>
      <c r="J531" s="12">
        <v>7.0000000000000007E-2</v>
      </c>
      <c r="K531" s="12">
        <f t="shared" si="91"/>
        <v>0.30314282051282049</v>
      </c>
      <c r="L531" s="12">
        <f t="shared" si="92"/>
        <v>1.2905787179487178</v>
      </c>
      <c r="M531" s="12" t="s">
        <v>72</v>
      </c>
      <c r="N531" s="2"/>
      <c r="O531" s="2">
        <f>L531*500</f>
        <v>645.28935897435895</v>
      </c>
      <c r="P531" s="2"/>
      <c r="Q531" s="2"/>
      <c r="R531" s="28">
        <v>21.259842519685041</v>
      </c>
    </row>
    <row r="532" spans="1:18" hidden="1" x14ac:dyDescent="0.25">
      <c r="A532" s="16">
        <v>45598</v>
      </c>
      <c r="B532" s="2" t="s">
        <v>111</v>
      </c>
      <c r="C532" s="2">
        <v>650</v>
      </c>
      <c r="D532" s="19">
        <v>0.38</v>
      </c>
      <c r="E532" s="11">
        <v>0.39</v>
      </c>
      <c r="F532" s="10">
        <f t="shared" si="88"/>
        <v>620</v>
      </c>
      <c r="G532" s="10">
        <f t="shared" si="89"/>
        <v>0.65</v>
      </c>
      <c r="H532" s="12">
        <f t="shared" si="90"/>
        <v>1.0483870967741935</v>
      </c>
      <c r="I532" s="12">
        <v>0.02</v>
      </c>
      <c r="J532" s="12">
        <v>7.0000000000000007E-2</v>
      </c>
      <c r="K532" s="12">
        <f t="shared" si="91"/>
        <v>0.44397096774193551</v>
      </c>
      <c r="L532" s="12">
        <f t="shared" si="92"/>
        <v>1.582358064516129</v>
      </c>
      <c r="M532" s="12">
        <f>L532*250</f>
        <v>395.58951612903223</v>
      </c>
      <c r="N532" s="12"/>
      <c r="O532" s="2"/>
      <c r="P532" s="12"/>
      <c r="Q532" s="2">
        <f>L532*1000</f>
        <v>1582.3580645161289</v>
      </c>
      <c r="R532" s="28">
        <f t="shared" ref="R532:R539" si="94">K532/L532%</f>
        <v>28.057553956834536</v>
      </c>
    </row>
    <row r="533" spans="1:18" hidden="1" x14ac:dyDescent="0.25">
      <c r="A533" s="16">
        <v>45598</v>
      </c>
      <c r="B533" s="2" t="s">
        <v>137</v>
      </c>
      <c r="C533" s="2">
        <v>220</v>
      </c>
      <c r="D533" s="19">
        <v>0</v>
      </c>
      <c r="E533" s="11">
        <v>0.32500000000000001</v>
      </c>
      <c r="F533" s="2">
        <f t="shared" si="88"/>
        <v>1000</v>
      </c>
      <c r="G533" s="10">
        <f t="shared" si="89"/>
        <v>0.22</v>
      </c>
      <c r="H533" s="2">
        <f t="shared" si="90"/>
        <v>0.22</v>
      </c>
      <c r="I533" s="12">
        <v>0.02</v>
      </c>
      <c r="J533" s="12">
        <v>7.0000000000000007E-2</v>
      </c>
      <c r="K533" s="12">
        <f t="shared" si="91"/>
        <v>0.10075000000000001</v>
      </c>
      <c r="L533" s="12">
        <f t="shared" si="92"/>
        <v>0.41075</v>
      </c>
      <c r="M533" s="2"/>
      <c r="N533" s="2"/>
      <c r="O533" s="2">
        <f t="shared" ref="O533:O540" si="95">L533*500</f>
        <v>205.375</v>
      </c>
      <c r="P533" s="2"/>
      <c r="Q533" s="2">
        <f>L533*1000</f>
        <v>410.75</v>
      </c>
      <c r="R533" s="28">
        <f t="shared" si="94"/>
        <v>24.528301886792455</v>
      </c>
    </row>
    <row r="534" spans="1:18" hidden="1" x14ac:dyDescent="0.25">
      <c r="A534" s="16">
        <v>45598</v>
      </c>
      <c r="B534" s="2" t="s">
        <v>152</v>
      </c>
      <c r="C534" s="2">
        <v>220</v>
      </c>
      <c r="D534" s="19">
        <v>0</v>
      </c>
      <c r="E534" s="11">
        <v>0.32500000000000001</v>
      </c>
      <c r="F534" s="2">
        <f t="shared" si="88"/>
        <v>1000</v>
      </c>
      <c r="G534" s="10">
        <f t="shared" si="89"/>
        <v>0.22</v>
      </c>
      <c r="H534" s="2">
        <f t="shared" si="90"/>
        <v>0.22</v>
      </c>
      <c r="I534" s="12">
        <v>0.02</v>
      </c>
      <c r="J534" s="12">
        <v>7.0000000000000007E-2</v>
      </c>
      <c r="K534" s="12">
        <f t="shared" si="91"/>
        <v>0.10075000000000001</v>
      </c>
      <c r="L534" s="12">
        <f t="shared" si="92"/>
        <v>0.41075</v>
      </c>
      <c r="M534" s="2"/>
      <c r="N534" s="2"/>
      <c r="O534" s="2">
        <f t="shared" si="95"/>
        <v>205.375</v>
      </c>
      <c r="P534" s="2"/>
      <c r="Q534" s="2"/>
      <c r="R534" s="28">
        <f t="shared" si="94"/>
        <v>24.528301886792455</v>
      </c>
    </row>
    <row r="535" spans="1:18" hidden="1" x14ac:dyDescent="0.25">
      <c r="A535" s="16">
        <v>45598</v>
      </c>
      <c r="B535" s="10" t="s">
        <v>93</v>
      </c>
      <c r="C535" s="2">
        <v>520</v>
      </c>
      <c r="D535" s="19">
        <v>0</v>
      </c>
      <c r="E535" s="11">
        <v>0</v>
      </c>
      <c r="F535" s="2">
        <f t="shared" si="88"/>
        <v>1000</v>
      </c>
      <c r="G535" s="10">
        <f t="shared" si="89"/>
        <v>0.52</v>
      </c>
      <c r="H535" s="12">
        <f t="shared" si="90"/>
        <v>0.52</v>
      </c>
      <c r="I535" s="12">
        <v>0.02</v>
      </c>
      <c r="J535" s="12">
        <v>7.0000000000000007E-2</v>
      </c>
      <c r="K535" s="12">
        <f t="shared" si="91"/>
        <v>0</v>
      </c>
      <c r="L535" s="12">
        <f t="shared" si="92"/>
        <v>0.6100000000000001</v>
      </c>
      <c r="M535" s="2"/>
      <c r="N535" s="2"/>
      <c r="O535" s="2">
        <f t="shared" si="95"/>
        <v>305.00000000000006</v>
      </c>
      <c r="P535" s="2"/>
      <c r="Q535" s="2"/>
      <c r="R535" s="28">
        <f t="shared" si="94"/>
        <v>0</v>
      </c>
    </row>
    <row r="536" spans="1:18" hidden="1" x14ac:dyDescent="0.25">
      <c r="A536" s="16">
        <v>45598</v>
      </c>
      <c r="B536" s="2" t="s">
        <v>196</v>
      </c>
      <c r="C536" s="2">
        <v>380</v>
      </c>
      <c r="D536" s="19">
        <v>0.11</v>
      </c>
      <c r="E536" s="11">
        <v>0.26</v>
      </c>
      <c r="F536" s="2">
        <f t="shared" si="88"/>
        <v>890</v>
      </c>
      <c r="G536" s="10">
        <f t="shared" si="89"/>
        <v>0.38</v>
      </c>
      <c r="H536" s="12">
        <f t="shared" si="90"/>
        <v>0.42696629213483145</v>
      </c>
      <c r="I536" s="12">
        <v>0.02</v>
      </c>
      <c r="J536" s="12">
        <v>7.0000000000000007E-2</v>
      </c>
      <c r="K536" s="12">
        <f t="shared" si="91"/>
        <v>0.13441123595505619</v>
      </c>
      <c r="L536" s="12">
        <f t="shared" si="92"/>
        <v>0.65137752808988769</v>
      </c>
      <c r="M536" s="2"/>
      <c r="N536" s="2"/>
      <c r="O536" s="2">
        <f t="shared" si="95"/>
        <v>325.68876404494387</v>
      </c>
      <c r="P536" s="2"/>
      <c r="Q536" s="2"/>
      <c r="R536" s="28">
        <f t="shared" si="94"/>
        <v>20.634920634920636</v>
      </c>
    </row>
    <row r="537" spans="1:18" hidden="1" x14ac:dyDescent="0.25">
      <c r="A537" s="16">
        <v>45599</v>
      </c>
      <c r="B537" s="2" t="s">
        <v>94</v>
      </c>
      <c r="C537" s="2">
        <v>180</v>
      </c>
      <c r="D537" s="19" t="s">
        <v>72</v>
      </c>
      <c r="E537" s="11">
        <v>0.25</v>
      </c>
      <c r="F537" s="2" t="e">
        <f t="shared" si="88"/>
        <v>#VALUE!</v>
      </c>
      <c r="G537" s="10">
        <f t="shared" si="89"/>
        <v>0.18</v>
      </c>
      <c r="H537" s="2" t="e">
        <f t="shared" si="90"/>
        <v>#VALUE!</v>
      </c>
      <c r="I537" s="12">
        <v>0.02</v>
      </c>
      <c r="J537" s="12">
        <v>7.0000000000000007E-2</v>
      </c>
      <c r="K537" s="12" t="e">
        <f t="shared" si="91"/>
        <v>#VALUE!</v>
      </c>
      <c r="L537" s="12" t="e">
        <f t="shared" si="92"/>
        <v>#VALUE!</v>
      </c>
      <c r="M537" s="2"/>
      <c r="N537" s="2"/>
      <c r="O537" s="2" t="e">
        <f t="shared" si="95"/>
        <v>#VALUE!</v>
      </c>
      <c r="P537" s="2"/>
      <c r="Q537" s="2"/>
      <c r="R537" s="28" t="e">
        <f t="shared" si="94"/>
        <v>#VALUE!</v>
      </c>
    </row>
    <row r="538" spans="1:18" hidden="1" x14ac:dyDescent="0.25">
      <c r="A538" s="16">
        <v>45599</v>
      </c>
      <c r="B538" s="2" t="s">
        <v>95</v>
      </c>
      <c r="C538" s="2">
        <v>180</v>
      </c>
      <c r="D538" s="19" t="s">
        <v>72</v>
      </c>
      <c r="E538" s="11">
        <v>0.25</v>
      </c>
      <c r="F538" s="2" t="e">
        <f t="shared" si="88"/>
        <v>#VALUE!</v>
      </c>
      <c r="G538" s="10">
        <f t="shared" si="89"/>
        <v>0.18</v>
      </c>
      <c r="H538" s="2" t="e">
        <f t="shared" si="90"/>
        <v>#VALUE!</v>
      </c>
      <c r="I538" s="12">
        <v>0.02</v>
      </c>
      <c r="J538" s="12">
        <v>7.0000000000000007E-2</v>
      </c>
      <c r="K538" s="12" t="e">
        <f t="shared" si="91"/>
        <v>#VALUE!</v>
      </c>
      <c r="L538" s="12" t="e">
        <f t="shared" si="92"/>
        <v>#VALUE!</v>
      </c>
      <c r="M538" s="2"/>
      <c r="N538" s="2"/>
      <c r="O538" s="2" t="e">
        <f t="shared" si="95"/>
        <v>#VALUE!</v>
      </c>
      <c r="P538" s="2"/>
      <c r="Q538" s="2"/>
      <c r="R538" s="28" t="e">
        <f t="shared" si="94"/>
        <v>#VALUE!</v>
      </c>
    </row>
    <row r="539" spans="1:18" hidden="1" x14ac:dyDescent="0.25">
      <c r="A539" s="16">
        <v>45599</v>
      </c>
      <c r="B539" s="2" t="s">
        <v>91</v>
      </c>
      <c r="C539" s="2">
        <v>345</v>
      </c>
      <c r="D539" s="19">
        <v>0.2</v>
      </c>
      <c r="E539" s="11">
        <v>0.32500000000000001</v>
      </c>
      <c r="F539" s="10">
        <f t="shared" si="88"/>
        <v>800</v>
      </c>
      <c r="G539" s="10">
        <f t="shared" si="89"/>
        <v>0.34499999999999997</v>
      </c>
      <c r="H539" s="12">
        <f t="shared" si="90"/>
        <v>0.43125000000000002</v>
      </c>
      <c r="I539" s="12">
        <v>0.02</v>
      </c>
      <c r="J539" s="12">
        <v>7.0000000000000007E-2</v>
      </c>
      <c r="K539" s="12">
        <f t="shared" si="91"/>
        <v>0.16940625000000001</v>
      </c>
      <c r="L539" s="12">
        <f t="shared" si="92"/>
        <v>0.69065624999999997</v>
      </c>
      <c r="M539" s="12"/>
      <c r="N539" s="12"/>
      <c r="O539" s="12">
        <f t="shared" si="95"/>
        <v>345.328125</v>
      </c>
      <c r="P539" s="12"/>
      <c r="Q539" s="12"/>
      <c r="R539" s="28">
        <f t="shared" si="94"/>
        <v>24.528301886792455</v>
      </c>
    </row>
    <row r="540" spans="1:18" hidden="1" x14ac:dyDescent="0.25">
      <c r="A540" s="16">
        <v>45599</v>
      </c>
      <c r="B540" s="2" t="s">
        <v>160</v>
      </c>
      <c r="C540" s="2">
        <v>800</v>
      </c>
      <c r="D540" s="19">
        <v>0.26</v>
      </c>
      <c r="E540" s="11">
        <v>0.23899999999999999</v>
      </c>
      <c r="F540" s="10">
        <f t="shared" si="88"/>
        <v>740</v>
      </c>
      <c r="G540" s="10">
        <f t="shared" si="89"/>
        <v>0.8</v>
      </c>
      <c r="H540" s="12">
        <f t="shared" si="90"/>
        <v>1.0810810810810811</v>
      </c>
      <c r="I540" s="12">
        <v>0.02</v>
      </c>
      <c r="J540" s="12">
        <v>7.0000000000000007E-2</v>
      </c>
      <c r="K540" s="12">
        <f t="shared" si="91"/>
        <v>0.27988837837837838</v>
      </c>
      <c r="L540" s="12">
        <f t="shared" si="92"/>
        <v>1.4509694594594595</v>
      </c>
      <c r="M540" s="2"/>
      <c r="N540" s="2"/>
      <c r="O540" s="2">
        <f t="shared" si="95"/>
        <v>725.48472972972979</v>
      </c>
      <c r="P540" s="2"/>
      <c r="Q540" s="2"/>
      <c r="R540" s="28">
        <v>30.651872399445214</v>
      </c>
    </row>
    <row r="541" spans="1:18" hidden="1" x14ac:dyDescent="0.25">
      <c r="A541" s="16">
        <v>45599</v>
      </c>
      <c r="B541" s="2" t="s">
        <v>111</v>
      </c>
      <c r="C541" s="2">
        <v>800</v>
      </c>
      <c r="D541" s="19">
        <v>0.26</v>
      </c>
      <c r="E541" s="11">
        <v>0.35</v>
      </c>
      <c r="F541" s="10">
        <f t="shared" si="88"/>
        <v>740</v>
      </c>
      <c r="G541" s="10">
        <f t="shared" si="89"/>
        <v>0.8</v>
      </c>
      <c r="H541" s="12">
        <f t="shared" si="90"/>
        <v>1.0810810810810811</v>
      </c>
      <c r="I541" s="12">
        <v>0.02</v>
      </c>
      <c r="J541" s="12">
        <v>7.0000000000000007E-2</v>
      </c>
      <c r="K541" s="12">
        <f t="shared" si="91"/>
        <v>0.40987837837837843</v>
      </c>
      <c r="L541" s="12">
        <f t="shared" si="92"/>
        <v>1.5809594594594596</v>
      </c>
      <c r="M541" s="12">
        <f>L541*250</f>
        <v>395.2398648648649</v>
      </c>
      <c r="N541" s="12"/>
      <c r="O541" s="2"/>
      <c r="P541" s="12"/>
      <c r="Q541" s="2"/>
      <c r="R541" s="28">
        <v>28.057553956834536</v>
      </c>
    </row>
    <row r="542" spans="1:18" ht="16.5" hidden="1" customHeight="1" x14ac:dyDescent="0.25">
      <c r="A542" s="16">
        <v>45599</v>
      </c>
      <c r="B542" s="2" t="s">
        <v>205</v>
      </c>
      <c r="C542" s="10">
        <v>820</v>
      </c>
      <c r="D542" s="19">
        <v>0.42</v>
      </c>
      <c r="E542" s="11">
        <v>0.05</v>
      </c>
      <c r="F542" s="10">
        <f t="shared" si="88"/>
        <v>580</v>
      </c>
      <c r="G542" s="10">
        <f t="shared" si="89"/>
        <v>0.82</v>
      </c>
      <c r="H542" s="12">
        <f t="shared" si="90"/>
        <v>1.4137931034482758</v>
      </c>
      <c r="I542" s="12">
        <v>0.02</v>
      </c>
      <c r="J542" s="12">
        <v>7.0000000000000007E-2</v>
      </c>
      <c r="K542" s="12">
        <f t="shared" si="91"/>
        <v>7.51896551724138E-2</v>
      </c>
      <c r="L542" s="12">
        <f t="shared" si="92"/>
        <v>1.5789827586206897</v>
      </c>
      <c r="M542" s="12">
        <f>L542*250</f>
        <v>394.74568965517244</v>
      </c>
      <c r="N542" s="12"/>
      <c r="O542" s="12" t="s">
        <v>72</v>
      </c>
      <c r="P542" s="12"/>
      <c r="Q542" s="12"/>
      <c r="R542" s="28">
        <f>K542/L542%</f>
        <v>4.7619047619047619</v>
      </c>
    </row>
    <row r="543" spans="1:18" hidden="1" x14ac:dyDescent="0.25">
      <c r="A543" s="16">
        <v>45601</v>
      </c>
      <c r="B543" s="2" t="s">
        <v>111</v>
      </c>
      <c r="C543" s="2">
        <v>680</v>
      </c>
      <c r="D543" s="19">
        <v>0.32</v>
      </c>
      <c r="E543" s="11">
        <v>0.28000000000000003</v>
      </c>
      <c r="F543" s="10">
        <f t="shared" si="88"/>
        <v>680</v>
      </c>
      <c r="G543" s="10">
        <f t="shared" si="89"/>
        <v>0.68</v>
      </c>
      <c r="H543" s="12">
        <f t="shared" si="90"/>
        <v>1</v>
      </c>
      <c r="I543" s="12">
        <v>0.02</v>
      </c>
      <c r="J543" s="12">
        <v>7.0000000000000007E-2</v>
      </c>
      <c r="K543" s="12">
        <f t="shared" si="91"/>
        <v>0.30520000000000003</v>
      </c>
      <c r="L543" s="12">
        <f t="shared" si="92"/>
        <v>1.3952</v>
      </c>
      <c r="M543" s="12">
        <f>L543*250</f>
        <v>348.8</v>
      </c>
      <c r="N543" s="12"/>
      <c r="O543" s="2"/>
      <c r="P543" s="12"/>
      <c r="Q543" s="2">
        <f>L543*1000</f>
        <v>1395.2</v>
      </c>
      <c r="R543" s="28">
        <v>28.057553956834536</v>
      </c>
    </row>
    <row r="544" spans="1:18" hidden="1" x14ac:dyDescent="0.25">
      <c r="A544" s="16">
        <v>45601</v>
      </c>
      <c r="B544" s="2" t="s">
        <v>160</v>
      </c>
      <c r="C544" s="2">
        <v>680</v>
      </c>
      <c r="D544" s="19">
        <v>0.32</v>
      </c>
      <c r="E544" s="11">
        <v>0.28000000000000003</v>
      </c>
      <c r="F544" s="10">
        <f t="shared" si="88"/>
        <v>680</v>
      </c>
      <c r="G544" s="10">
        <f t="shared" si="89"/>
        <v>0.68</v>
      </c>
      <c r="H544" s="12">
        <f t="shared" si="90"/>
        <v>1</v>
      </c>
      <c r="I544" s="12">
        <v>0.02</v>
      </c>
      <c r="J544" s="12">
        <v>7.0000000000000007E-2</v>
      </c>
      <c r="K544" s="12">
        <f t="shared" si="91"/>
        <v>0.30520000000000003</v>
      </c>
      <c r="L544" s="12">
        <f t="shared" si="92"/>
        <v>1.3952</v>
      </c>
      <c r="M544" s="2"/>
      <c r="N544" s="2"/>
      <c r="O544" s="2">
        <f>L544*500</f>
        <v>697.6</v>
      </c>
      <c r="P544" s="2"/>
      <c r="Q544" s="2">
        <f>L544*1000</f>
        <v>1395.2</v>
      </c>
      <c r="R544" s="28">
        <v>30.651872399445214</v>
      </c>
    </row>
    <row r="545" spans="1:18" hidden="1" x14ac:dyDescent="0.25">
      <c r="A545" s="16">
        <v>45601</v>
      </c>
      <c r="B545" s="2" t="s">
        <v>173</v>
      </c>
      <c r="C545" s="2">
        <v>680</v>
      </c>
      <c r="D545" s="19">
        <v>0.32</v>
      </c>
      <c r="E545" s="11">
        <v>0.28000000000000003</v>
      </c>
      <c r="F545" s="10">
        <f t="shared" si="88"/>
        <v>680</v>
      </c>
      <c r="G545" s="10">
        <f t="shared" si="89"/>
        <v>0.68</v>
      </c>
      <c r="H545" s="12">
        <f t="shared" si="90"/>
        <v>1</v>
      </c>
      <c r="I545" s="12">
        <v>0.02</v>
      </c>
      <c r="J545" s="12">
        <v>7.0000000000000007E-2</v>
      </c>
      <c r="K545" s="12">
        <f t="shared" si="91"/>
        <v>0.30520000000000003</v>
      </c>
      <c r="L545" s="12">
        <f t="shared" si="92"/>
        <v>1.3952</v>
      </c>
      <c r="M545" s="2" t="s">
        <v>72</v>
      </c>
      <c r="N545" s="2">
        <f>L545*300</f>
        <v>418.56</v>
      </c>
      <c r="O545" s="2"/>
      <c r="P545" s="2"/>
      <c r="Q545" s="2">
        <f>L545*1000</f>
        <v>1395.2</v>
      </c>
      <c r="R545" s="28">
        <f>K545/L545%</f>
        <v>21.875000000000004</v>
      </c>
    </row>
    <row r="546" spans="1:18" hidden="1" x14ac:dyDescent="0.25">
      <c r="A546" s="16">
        <v>45601</v>
      </c>
      <c r="B546" s="2" t="s">
        <v>110</v>
      </c>
      <c r="C546" s="40">
        <v>100</v>
      </c>
      <c r="D546" s="44">
        <v>0</v>
      </c>
      <c r="E546" s="39">
        <v>0.32</v>
      </c>
      <c r="F546" s="40">
        <f t="shared" si="88"/>
        <v>1000</v>
      </c>
      <c r="G546" s="41">
        <f t="shared" si="89"/>
        <v>0.1</v>
      </c>
      <c r="H546" s="42">
        <f t="shared" si="90"/>
        <v>0.1</v>
      </c>
      <c r="I546" s="42">
        <v>0.02</v>
      </c>
      <c r="J546" s="42">
        <v>7.0000000000000007E-2</v>
      </c>
      <c r="K546" s="42">
        <f t="shared" si="91"/>
        <v>6.08E-2</v>
      </c>
      <c r="L546" s="42">
        <f t="shared" si="92"/>
        <v>0.25080000000000002</v>
      </c>
      <c r="M546" s="40"/>
      <c r="N546" s="40"/>
      <c r="O546" s="40">
        <f>L546*500</f>
        <v>125.4</v>
      </c>
      <c r="P546" s="40"/>
      <c r="Q546" s="40"/>
      <c r="R546" s="43">
        <f>K546/L546%</f>
        <v>24.242424242424239</v>
      </c>
    </row>
    <row r="547" spans="1:18" hidden="1" x14ac:dyDescent="0.25">
      <c r="A547" s="16">
        <v>45601</v>
      </c>
      <c r="B547" s="2" t="s">
        <v>118</v>
      </c>
      <c r="C547" s="2">
        <v>250</v>
      </c>
      <c r="D547" s="19">
        <v>0.4</v>
      </c>
      <c r="E547" s="11">
        <v>0.4</v>
      </c>
      <c r="F547" s="2">
        <f t="shared" si="88"/>
        <v>600</v>
      </c>
      <c r="G547" s="10">
        <f t="shared" si="89"/>
        <v>0.25</v>
      </c>
      <c r="H547" s="12">
        <f t="shared" si="90"/>
        <v>0.41666666666666669</v>
      </c>
      <c r="I547" s="12">
        <v>0.02</v>
      </c>
      <c r="J547" s="12">
        <v>7.0000000000000007E-2</v>
      </c>
      <c r="K547" s="12">
        <f t="shared" si="91"/>
        <v>0.20266666666666669</v>
      </c>
      <c r="L547" s="12">
        <f t="shared" si="92"/>
        <v>0.70933333333333337</v>
      </c>
      <c r="M547" s="2">
        <f>L547*250</f>
        <v>177.33333333333334</v>
      </c>
      <c r="N547" s="2"/>
      <c r="O547" s="2"/>
      <c r="P547" s="2"/>
      <c r="Q547" s="2"/>
      <c r="R547" s="28">
        <f>K547/L547%</f>
        <v>28.571428571428573</v>
      </c>
    </row>
    <row r="548" spans="1:18" ht="14.25" hidden="1" customHeight="1" x14ac:dyDescent="0.25">
      <c r="A548" s="16">
        <v>45601</v>
      </c>
      <c r="B548" s="2" t="s">
        <v>91</v>
      </c>
      <c r="C548" s="2">
        <v>380</v>
      </c>
      <c r="D548" s="19">
        <v>0.21</v>
      </c>
      <c r="E548" s="11">
        <v>0.14000000000000001</v>
      </c>
      <c r="F548" s="10">
        <f t="shared" si="88"/>
        <v>790</v>
      </c>
      <c r="G548" s="10">
        <f t="shared" si="89"/>
        <v>0.38</v>
      </c>
      <c r="H548" s="12">
        <f t="shared" si="90"/>
        <v>0.48101265822784811</v>
      </c>
      <c r="I548" s="12">
        <v>0.02</v>
      </c>
      <c r="J548" s="12">
        <v>7.0000000000000007E-2</v>
      </c>
      <c r="K548" s="12">
        <f t="shared" si="91"/>
        <v>7.9941772151898738E-2</v>
      </c>
      <c r="L548" s="12">
        <f t="shared" si="92"/>
        <v>0.65095443037974676</v>
      </c>
      <c r="M548" s="12"/>
      <c r="N548" s="12"/>
      <c r="O548" s="12">
        <f>L548*500</f>
        <v>325.47721518987339</v>
      </c>
      <c r="P548" s="12"/>
      <c r="Q548" s="12"/>
      <c r="R548" s="28">
        <f>K548/L548%</f>
        <v>12.280701754385966</v>
      </c>
    </row>
    <row r="549" spans="1:18" hidden="1" x14ac:dyDescent="0.25">
      <c r="A549" s="16">
        <v>45601</v>
      </c>
      <c r="B549" s="2" t="s">
        <v>90</v>
      </c>
      <c r="C549" s="2">
        <v>380</v>
      </c>
      <c r="D549" s="19">
        <v>0.21</v>
      </c>
      <c r="E549" s="11">
        <v>0.14000000000000001</v>
      </c>
      <c r="F549" s="10">
        <f t="shared" si="88"/>
        <v>790</v>
      </c>
      <c r="G549" s="10">
        <f t="shared" si="89"/>
        <v>0.38</v>
      </c>
      <c r="H549" s="12">
        <f t="shared" si="90"/>
        <v>0.48101265822784811</v>
      </c>
      <c r="I549" s="12">
        <v>0.02</v>
      </c>
      <c r="J549" s="12">
        <v>7.0000000000000007E-2</v>
      </c>
      <c r="K549" s="12">
        <f t="shared" si="91"/>
        <v>7.9941772151898738E-2</v>
      </c>
      <c r="L549" s="12">
        <f t="shared" si="92"/>
        <v>0.65095443037974676</v>
      </c>
      <c r="M549" s="12"/>
      <c r="N549" s="12"/>
      <c r="O549" s="12">
        <f>L549*500</f>
        <v>325.47721518987339</v>
      </c>
      <c r="P549" s="12"/>
      <c r="Q549" s="12"/>
      <c r="R549" s="28">
        <f>K549/L549%</f>
        <v>12.280701754385966</v>
      </c>
    </row>
    <row r="550" spans="1:18" hidden="1" x14ac:dyDescent="0.25">
      <c r="A550" s="16">
        <v>45601</v>
      </c>
      <c r="B550" s="10" t="s">
        <v>114</v>
      </c>
      <c r="C550" s="10">
        <v>580</v>
      </c>
      <c r="D550" s="19">
        <v>0.62</v>
      </c>
      <c r="E550" s="11">
        <v>0.22500000000000001</v>
      </c>
      <c r="F550" s="10">
        <f t="shared" si="88"/>
        <v>380</v>
      </c>
      <c r="G550" s="10">
        <f t="shared" si="89"/>
        <v>0.57999999999999996</v>
      </c>
      <c r="H550" s="12">
        <f t="shared" si="90"/>
        <v>1.5263157894736843</v>
      </c>
      <c r="I550" s="12">
        <v>0.02</v>
      </c>
      <c r="J550" s="12">
        <v>7.0000000000000007E-2</v>
      </c>
      <c r="K550" s="12">
        <f t="shared" si="91"/>
        <v>0.36367105263157901</v>
      </c>
      <c r="L550" s="12">
        <f t="shared" si="92"/>
        <v>1.9799868421052633</v>
      </c>
      <c r="M550" s="12">
        <f>L550*250</f>
        <v>494.99671052631584</v>
      </c>
      <c r="N550" s="12"/>
      <c r="O550" s="12"/>
      <c r="P550" s="12"/>
      <c r="Q550" s="12"/>
      <c r="R550" s="28">
        <v>16.666666666666668</v>
      </c>
    </row>
    <row r="551" spans="1:18" hidden="1" x14ac:dyDescent="0.25">
      <c r="A551" s="16">
        <v>45601</v>
      </c>
      <c r="B551" s="2" t="s">
        <v>120</v>
      </c>
      <c r="C551" s="10">
        <v>270</v>
      </c>
      <c r="D551" s="19">
        <v>0.6</v>
      </c>
      <c r="E551" s="11">
        <v>0.28000000000000003</v>
      </c>
      <c r="F551" s="10">
        <f t="shared" si="88"/>
        <v>400</v>
      </c>
      <c r="G551" s="10">
        <f t="shared" si="89"/>
        <v>0.27</v>
      </c>
      <c r="H551" s="12">
        <f t="shared" si="90"/>
        <v>0.67500000000000004</v>
      </c>
      <c r="I551" s="12">
        <v>0.02</v>
      </c>
      <c r="J551" s="12">
        <v>7.0000000000000007E-2</v>
      </c>
      <c r="K551" s="12">
        <f t="shared" si="91"/>
        <v>0.21420000000000006</v>
      </c>
      <c r="L551" s="12">
        <f t="shared" si="92"/>
        <v>0.97920000000000018</v>
      </c>
      <c r="M551" s="12">
        <f>L551*250</f>
        <v>244.80000000000004</v>
      </c>
      <c r="N551" s="12"/>
      <c r="O551" s="12"/>
      <c r="P551" s="12"/>
      <c r="Q551" s="12"/>
      <c r="R551" s="28">
        <f>K551/L551%</f>
        <v>21.875</v>
      </c>
    </row>
    <row r="552" spans="1:18" hidden="1" x14ac:dyDescent="0.25">
      <c r="A552" s="16">
        <v>45601</v>
      </c>
      <c r="B552" s="2" t="s">
        <v>152</v>
      </c>
      <c r="C552" s="2">
        <v>170</v>
      </c>
      <c r="D552" s="19">
        <v>0.14000000000000001</v>
      </c>
      <c r="E552" s="11">
        <v>0.43</v>
      </c>
      <c r="F552" s="2">
        <f t="shared" si="88"/>
        <v>860</v>
      </c>
      <c r="G552" s="10">
        <f t="shared" si="89"/>
        <v>0.17</v>
      </c>
      <c r="H552" s="2">
        <f t="shared" si="90"/>
        <v>0.19767441860465115</v>
      </c>
      <c r="I552" s="12">
        <v>0.02</v>
      </c>
      <c r="J552" s="12">
        <v>7.0000000000000007E-2</v>
      </c>
      <c r="K552" s="12">
        <f t="shared" si="91"/>
        <v>0.12369999999999999</v>
      </c>
      <c r="L552" s="12">
        <f t="shared" si="92"/>
        <v>0.41137441860465113</v>
      </c>
      <c r="M552" s="2"/>
      <c r="N552" s="2"/>
      <c r="O552" s="2">
        <f>L552*500</f>
        <v>205.68720930232556</v>
      </c>
      <c r="P552" s="2"/>
      <c r="Q552" s="2"/>
      <c r="R552" s="28">
        <f>K552/L552%</f>
        <v>30.06993006993007</v>
      </c>
    </row>
    <row r="553" spans="1:18" ht="14.25" hidden="1" customHeight="1" x14ac:dyDescent="0.25">
      <c r="A553" s="16">
        <v>45602</v>
      </c>
      <c r="B553" s="2" t="s">
        <v>111</v>
      </c>
      <c r="C553" s="2">
        <v>680</v>
      </c>
      <c r="D553" s="19">
        <v>0.28999999999999998</v>
      </c>
      <c r="E553" s="11">
        <v>0.32</v>
      </c>
      <c r="F553" s="10">
        <f t="shared" si="88"/>
        <v>710</v>
      </c>
      <c r="G553" s="10">
        <f t="shared" si="89"/>
        <v>0.68</v>
      </c>
      <c r="H553" s="12">
        <f t="shared" si="90"/>
        <v>0.95774647887323938</v>
      </c>
      <c r="I553" s="12">
        <v>0.02</v>
      </c>
      <c r="J553" s="12">
        <v>7.0000000000000007E-2</v>
      </c>
      <c r="K553" s="12">
        <f t="shared" si="91"/>
        <v>0.33527887323943661</v>
      </c>
      <c r="L553" s="12">
        <f t="shared" si="92"/>
        <v>1.3830253521126759</v>
      </c>
      <c r="M553" s="12">
        <f>L553*250</f>
        <v>345.75633802816895</v>
      </c>
      <c r="N553" s="12"/>
      <c r="O553" s="2"/>
      <c r="P553" s="12"/>
      <c r="Q553" s="2">
        <f>L553*1000</f>
        <v>1383.0253521126758</v>
      </c>
      <c r="R553" s="28">
        <v>28.057553956834536</v>
      </c>
    </row>
    <row r="554" spans="1:18" hidden="1" x14ac:dyDescent="0.25">
      <c r="A554" s="16">
        <v>45602</v>
      </c>
      <c r="B554" s="2" t="s">
        <v>160</v>
      </c>
      <c r="C554" s="2">
        <v>680</v>
      </c>
      <c r="D554" s="19">
        <v>0.28999999999999998</v>
      </c>
      <c r="E554" s="11">
        <v>0.32600000000000001</v>
      </c>
      <c r="F554" s="10">
        <f t="shared" si="88"/>
        <v>710</v>
      </c>
      <c r="G554" s="10">
        <f t="shared" si="89"/>
        <v>0.68</v>
      </c>
      <c r="H554" s="12">
        <f t="shared" si="90"/>
        <v>0.95774647887323938</v>
      </c>
      <c r="I554" s="12">
        <v>0.02</v>
      </c>
      <c r="J554" s="12">
        <v>7.0000000000000007E-2</v>
      </c>
      <c r="K554" s="12">
        <f t="shared" si="91"/>
        <v>0.34156535211267602</v>
      </c>
      <c r="L554" s="12">
        <f t="shared" si="92"/>
        <v>1.3893118309859154</v>
      </c>
      <c r="M554" s="2"/>
      <c r="N554" s="2"/>
      <c r="O554" s="2">
        <f>L554*500</f>
        <v>694.65591549295766</v>
      </c>
      <c r="P554" s="2"/>
      <c r="Q554" s="2">
        <f>L554*1000</f>
        <v>1389.3118309859153</v>
      </c>
      <c r="R554" s="28">
        <v>30.651872399445214</v>
      </c>
    </row>
    <row r="555" spans="1:18" hidden="1" x14ac:dyDescent="0.25">
      <c r="A555" s="16">
        <v>45602</v>
      </c>
      <c r="B555" s="2" t="s">
        <v>170</v>
      </c>
      <c r="C555" s="2">
        <v>680</v>
      </c>
      <c r="D555" s="19">
        <v>0.28999999999999998</v>
      </c>
      <c r="E555" s="11">
        <v>0.32</v>
      </c>
      <c r="F555" s="10">
        <f t="shared" si="88"/>
        <v>710</v>
      </c>
      <c r="G555" s="10">
        <f t="shared" si="89"/>
        <v>0.68</v>
      </c>
      <c r="H555" s="12">
        <f t="shared" si="90"/>
        <v>0.95774647887323938</v>
      </c>
      <c r="I555" s="12">
        <v>0.02</v>
      </c>
      <c r="J555" s="12">
        <v>7.0000000000000007E-2</v>
      </c>
      <c r="K555" s="12">
        <f t="shared" si="91"/>
        <v>0.33527887323943661</v>
      </c>
      <c r="L555" s="12">
        <f t="shared" si="92"/>
        <v>1.3830253521126759</v>
      </c>
      <c r="M555" s="12">
        <f>L555*250</f>
        <v>345.75633802816895</v>
      </c>
      <c r="N555" s="12"/>
      <c r="O555" s="12"/>
      <c r="P555" s="12"/>
      <c r="Q555" s="12"/>
      <c r="R555" s="28">
        <f>K555/L555%</f>
        <v>24.242424242424246</v>
      </c>
    </row>
    <row r="556" spans="1:18" hidden="1" x14ac:dyDescent="0.25">
      <c r="A556" s="16">
        <v>45602</v>
      </c>
      <c r="B556" s="2" t="s">
        <v>107</v>
      </c>
      <c r="C556" s="2">
        <v>400</v>
      </c>
      <c r="D556" s="19">
        <v>0.08</v>
      </c>
      <c r="E556" s="11">
        <v>0.24</v>
      </c>
      <c r="F556" s="2">
        <f t="shared" si="88"/>
        <v>920</v>
      </c>
      <c r="G556" s="10">
        <f t="shared" si="89"/>
        <v>0.4</v>
      </c>
      <c r="H556" s="2">
        <f t="shared" si="90"/>
        <v>0.43478260869565216</v>
      </c>
      <c r="I556" s="12">
        <v>0.02</v>
      </c>
      <c r="J556" s="12">
        <v>7.0000000000000007E-2</v>
      </c>
      <c r="K556" s="12">
        <f t="shared" si="91"/>
        <v>0.12594782608695651</v>
      </c>
      <c r="L556" s="12">
        <f t="shared" si="92"/>
        <v>0.65073043478260872</v>
      </c>
      <c r="M556" s="2"/>
      <c r="N556" s="2"/>
      <c r="O556" s="2">
        <f>L556*500</f>
        <v>325.36521739130438</v>
      </c>
      <c r="P556" s="2"/>
      <c r="Q556" s="2"/>
      <c r="R556" s="28">
        <f>K556/L556%</f>
        <v>19.354838709677416</v>
      </c>
    </row>
    <row r="557" spans="1:18" hidden="1" x14ac:dyDescent="0.25">
      <c r="A557" s="16">
        <v>45602</v>
      </c>
      <c r="B557" s="10" t="s">
        <v>195</v>
      </c>
      <c r="C557" s="10">
        <v>900</v>
      </c>
      <c r="D557" s="19">
        <v>0.46</v>
      </c>
      <c r="E557" s="11">
        <v>0.128</v>
      </c>
      <c r="F557" s="10">
        <f t="shared" si="88"/>
        <v>540</v>
      </c>
      <c r="G557" s="10">
        <f t="shared" si="89"/>
        <v>0.9</v>
      </c>
      <c r="H557" s="12">
        <f t="shared" si="90"/>
        <v>1.6666666666666667</v>
      </c>
      <c r="I557" s="12">
        <v>0.02</v>
      </c>
      <c r="J557" s="12">
        <v>7.0000000000000007E-2</v>
      </c>
      <c r="K557" s="12">
        <f t="shared" si="91"/>
        <v>0.22485333333333335</v>
      </c>
      <c r="L557" s="12">
        <f t="shared" si="92"/>
        <v>1.9815200000000002</v>
      </c>
      <c r="M557" s="12">
        <f>L557*250</f>
        <v>495.38000000000005</v>
      </c>
      <c r="N557" s="12"/>
      <c r="O557" s="12"/>
      <c r="P557" s="12"/>
      <c r="Q557" s="12"/>
      <c r="R557" s="28">
        <v>16.666666666666668</v>
      </c>
    </row>
    <row r="558" spans="1:18" hidden="1" x14ac:dyDescent="0.25">
      <c r="A558" s="16">
        <v>45603</v>
      </c>
      <c r="B558" s="2" t="s">
        <v>111</v>
      </c>
      <c r="C558" s="2">
        <v>650</v>
      </c>
      <c r="D558" s="19">
        <v>0.27</v>
      </c>
      <c r="E558" s="11">
        <v>0.41</v>
      </c>
      <c r="F558" s="10">
        <f t="shared" si="88"/>
        <v>730</v>
      </c>
      <c r="G558" s="10">
        <f t="shared" si="89"/>
        <v>0.65</v>
      </c>
      <c r="H558" s="12">
        <f t="shared" si="90"/>
        <v>0.8904109589041096</v>
      </c>
      <c r="I558" s="12">
        <v>0.02</v>
      </c>
      <c r="J558" s="12">
        <v>7.0000000000000007E-2</v>
      </c>
      <c r="K558" s="12">
        <f t="shared" si="91"/>
        <v>0.40196849315068495</v>
      </c>
      <c r="L558" s="12">
        <f t="shared" si="92"/>
        <v>1.3823794520547947</v>
      </c>
      <c r="M558" s="12">
        <f>L558*250</f>
        <v>345.59486301369867</v>
      </c>
      <c r="N558" s="12"/>
      <c r="O558" s="2"/>
      <c r="P558" s="12"/>
      <c r="Q558" s="2">
        <f t="shared" ref="Q558:Q563" si="96">L558*1000</f>
        <v>1382.3794520547947</v>
      </c>
      <c r="R558" s="28">
        <v>28.057553956834536</v>
      </c>
    </row>
    <row r="559" spans="1:18" hidden="1" x14ac:dyDescent="0.25">
      <c r="A559" s="16">
        <v>45603</v>
      </c>
      <c r="B559" s="2" t="s">
        <v>160</v>
      </c>
      <c r="C559" s="2">
        <v>650</v>
      </c>
      <c r="D559" s="19">
        <v>0.27</v>
      </c>
      <c r="E559" s="11">
        <v>0.41799999999999998</v>
      </c>
      <c r="F559" s="10">
        <f t="shared" si="88"/>
        <v>730</v>
      </c>
      <c r="G559" s="10">
        <f t="shared" si="89"/>
        <v>0.65</v>
      </c>
      <c r="H559" s="12">
        <f t="shared" si="90"/>
        <v>0.8904109589041096</v>
      </c>
      <c r="I559" s="12">
        <v>0.02</v>
      </c>
      <c r="J559" s="12">
        <v>7.0000000000000007E-2</v>
      </c>
      <c r="K559" s="12">
        <f t="shared" si="91"/>
        <v>0.40981178082191783</v>
      </c>
      <c r="L559" s="12">
        <f t="shared" si="92"/>
        <v>1.3902227397260276</v>
      </c>
      <c r="M559" s="2"/>
      <c r="N559" s="2"/>
      <c r="O559" s="2">
        <f>L559*500</f>
        <v>695.11136986301381</v>
      </c>
      <c r="P559" s="2"/>
      <c r="Q559" s="2">
        <f t="shared" si="96"/>
        <v>1390.2227397260276</v>
      </c>
      <c r="R559" s="28">
        <v>30.651872399445214</v>
      </c>
    </row>
    <row r="560" spans="1:18" hidden="1" x14ac:dyDescent="0.25">
      <c r="A560" s="16">
        <v>45603</v>
      </c>
      <c r="B560" s="2" t="s">
        <v>113</v>
      </c>
      <c r="C560" s="2">
        <v>650</v>
      </c>
      <c r="D560" s="19">
        <v>0.27</v>
      </c>
      <c r="E560" s="11">
        <v>0.61199999999999999</v>
      </c>
      <c r="F560" s="2">
        <f t="shared" si="88"/>
        <v>730</v>
      </c>
      <c r="G560" s="10">
        <f t="shared" si="89"/>
        <v>0.65</v>
      </c>
      <c r="H560" s="12">
        <f t="shared" si="90"/>
        <v>0.8904109589041096</v>
      </c>
      <c r="I560" s="12">
        <v>0.02</v>
      </c>
      <c r="J560" s="12">
        <v>7.0000000000000007E-2</v>
      </c>
      <c r="K560" s="12">
        <f t="shared" si="91"/>
        <v>0.60001150684931515</v>
      </c>
      <c r="L560" s="12">
        <f t="shared" si="92"/>
        <v>1.5804224657534247</v>
      </c>
      <c r="M560" s="2">
        <f>L560*250</f>
        <v>395.10561643835615</v>
      </c>
      <c r="N560" s="2"/>
      <c r="O560" s="2"/>
      <c r="P560" s="2"/>
      <c r="Q560" s="2">
        <f t="shared" si="96"/>
        <v>1580.4224657534246</v>
      </c>
      <c r="R560" s="28">
        <f>K560/L560%</f>
        <v>37.965260545905707</v>
      </c>
    </row>
    <row r="561" spans="1:18" hidden="1" x14ac:dyDescent="0.25">
      <c r="A561" s="16">
        <v>45603</v>
      </c>
      <c r="B561" s="2" t="s">
        <v>137</v>
      </c>
      <c r="C561" s="2">
        <v>180</v>
      </c>
      <c r="D561" s="19">
        <v>0</v>
      </c>
      <c r="E561" s="11">
        <v>0.3</v>
      </c>
      <c r="F561" s="2">
        <f t="shared" si="88"/>
        <v>1000</v>
      </c>
      <c r="G561" s="10">
        <f t="shared" si="89"/>
        <v>0.18</v>
      </c>
      <c r="H561" s="2">
        <f t="shared" si="90"/>
        <v>0.18</v>
      </c>
      <c r="I561" s="12">
        <v>0.02</v>
      </c>
      <c r="J561" s="12">
        <v>7.0000000000000007E-2</v>
      </c>
      <c r="K561" s="12">
        <f t="shared" si="91"/>
        <v>8.1000000000000003E-2</v>
      </c>
      <c r="L561" s="12">
        <f t="shared" si="92"/>
        <v>0.35100000000000003</v>
      </c>
      <c r="M561" s="2"/>
      <c r="N561" s="2"/>
      <c r="O561" s="2">
        <f>L561*500</f>
        <v>175.50000000000003</v>
      </c>
      <c r="P561" s="2"/>
      <c r="Q561" s="2">
        <f t="shared" si="96"/>
        <v>351.00000000000006</v>
      </c>
      <c r="R561" s="28">
        <f>K561/L561%</f>
        <v>23.076923076923073</v>
      </c>
    </row>
    <row r="562" spans="1:18" hidden="1" x14ac:dyDescent="0.25">
      <c r="A562" s="16">
        <v>45603</v>
      </c>
      <c r="B562" s="2" t="s">
        <v>138</v>
      </c>
      <c r="C562" s="2">
        <v>350</v>
      </c>
      <c r="D562" s="19">
        <v>0.55000000000000004</v>
      </c>
      <c r="E562" s="11">
        <v>0.59099999999999997</v>
      </c>
      <c r="F562" s="10">
        <f t="shared" si="88"/>
        <v>450</v>
      </c>
      <c r="G562" s="10">
        <f t="shared" si="89"/>
        <v>0.35</v>
      </c>
      <c r="H562" s="12">
        <f t="shared" si="90"/>
        <v>0.77777777777777779</v>
      </c>
      <c r="I562" s="12">
        <v>0.02</v>
      </c>
      <c r="J562" s="12">
        <v>7.0000000000000007E-2</v>
      </c>
      <c r="K562" s="12">
        <f t="shared" si="91"/>
        <v>0.51285666666666663</v>
      </c>
      <c r="L562" s="12">
        <f t="shared" si="92"/>
        <v>1.3806344444444445</v>
      </c>
      <c r="M562" s="12">
        <f>L562*250</f>
        <v>345.1586111111111</v>
      </c>
      <c r="N562" s="2"/>
      <c r="O562" s="2"/>
      <c r="P562" s="2"/>
      <c r="Q562" s="2">
        <f t="shared" si="96"/>
        <v>1380.6344444444444</v>
      </c>
      <c r="R562" s="28">
        <v>22.480620155038757</v>
      </c>
    </row>
    <row r="563" spans="1:18" hidden="1" x14ac:dyDescent="0.25">
      <c r="A563" s="16">
        <v>45603</v>
      </c>
      <c r="B563" s="2" t="s">
        <v>143</v>
      </c>
      <c r="C563" s="2">
        <v>350</v>
      </c>
      <c r="D563" s="19">
        <v>0.55000000000000004</v>
      </c>
      <c r="E563" s="11">
        <v>0.48699999999999999</v>
      </c>
      <c r="F563" s="10">
        <f t="shared" si="88"/>
        <v>450</v>
      </c>
      <c r="G563" s="10">
        <f t="shared" si="89"/>
        <v>0.35</v>
      </c>
      <c r="H563" s="12">
        <f t="shared" si="90"/>
        <v>0.77777777777777779</v>
      </c>
      <c r="I563" s="12">
        <v>0.02</v>
      </c>
      <c r="J563" s="12">
        <v>7.0000000000000007E-2</v>
      </c>
      <c r="K563" s="12">
        <f t="shared" si="91"/>
        <v>0.42260777777777775</v>
      </c>
      <c r="L563" s="12">
        <f t="shared" si="92"/>
        <v>1.2903855555555555</v>
      </c>
      <c r="M563" s="12" t="s">
        <v>72</v>
      </c>
      <c r="N563" s="2"/>
      <c r="O563" s="2">
        <f t="shared" ref="O563:O569" si="97">L563*500</f>
        <v>645.19277777777768</v>
      </c>
      <c r="P563" s="2"/>
      <c r="Q563" s="2">
        <f t="shared" si="96"/>
        <v>1290.3855555555554</v>
      </c>
      <c r="R563" s="28">
        <v>21.259842519685041</v>
      </c>
    </row>
    <row r="564" spans="1:18" hidden="1" x14ac:dyDescent="0.25">
      <c r="A564" s="16">
        <v>45603</v>
      </c>
      <c r="B564" s="2" t="s">
        <v>116</v>
      </c>
      <c r="C564" s="34">
        <v>350</v>
      </c>
      <c r="D564" s="38">
        <v>0.13</v>
      </c>
      <c r="E564" s="11">
        <v>0.52500000000000002</v>
      </c>
      <c r="F564" s="2">
        <f t="shared" si="88"/>
        <v>870</v>
      </c>
      <c r="G564" s="10">
        <f t="shared" si="89"/>
        <v>0.35</v>
      </c>
      <c r="H564" s="12">
        <f t="shared" si="90"/>
        <v>0.40229885057471265</v>
      </c>
      <c r="I564" s="12">
        <v>0.02</v>
      </c>
      <c r="J564" s="12">
        <v>7.0000000000000007E-2</v>
      </c>
      <c r="K564" s="12">
        <f t="shared" si="91"/>
        <v>0.25845689655172416</v>
      </c>
      <c r="L564" s="12">
        <f t="shared" si="92"/>
        <v>0.75075574712643678</v>
      </c>
      <c r="M564" s="2"/>
      <c r="N564" s="2"/>
      <c r="O564" s="2">
        <f t="shared" si="97"/>
        <v>375.37787356321837</v>
      </c>
      <c r="P564" s="2"/>
      <c r="Q564" s="2"/>
      <c r="R564" s="28">
        <f t="shared" ref="R564:R569" si="98">K564/L564%</f>
        <v>34.426229508196727</v>
      </c>
    </row>
    <row r="565" spans="1:18" hidden="1" x14ac:dyDescent="0.25">
      <c r="A565" s="16">
        <v>45604</v>
      </c>
      <c r="B565" s="2" t="s">
        <v>95</v>
      </c>
      <c r="C565" s="2">
        <v>170</v>
      </c>
      <c r="D565" s="19">
        <v>0.18</v>
      </c>
      <c r="E565" s="11">
        <v>0.18</v>
      </c>
      <c r="F565" s="2">
        <f t="shared" si="88"/>
        <v>820</v>
      </c>
      <c r="G565" s="10">
        <f t="shared" si="89"/>
        <v>0.17</v>
      </c>
      <c r="H565" s="2">
        <f t="shared" si="90"/>
        <v>0.2073170731707317</v>
      </c>
      <c r="I565" s="12">
        <v>0.02</v>
      </c>
      <c r="J565" s="12">
        <v>7.0000000000000007E-2</v>
      </c>
      <c r="K565" s="12">
        <f t="shared" si="91"/>
        <v>5.3517073170731705E-2</v>
      </c>
      <c r="L565" s="12">
        <f t="shared" si="92"/>
        <v>0.35083414634146337</v>
      </c>
      <c r="M565" s="2"/>
      <c r="N565" s="2"/>
      <c r="O565" s="2">
        <f t="shared" si="97"/>
        <v>175.4170731707317</v>
      </c>
      <c r="P565" s="2"/>
      <c r="Q565" s="2"/>
      <c r="R565" s="28">
        <f t="shared" si="98"/>
        <v>15.254237288135593</v>
      </c>
    </row>
    <row r="566" spans="1:18" hidden="1" x14ac:dyDescent="0.25">
      <c r="A566" s="16">
        <v>45604</v>
      </c>
      <c r="B566" s="2" t="s">
        <v>94</v>
      </c>
      <c r="C566" s="2">
        <v>170</v>
      </c>
      <c r="D566" s="19">
        <v>0.18</v>
      </c>
      <c r="E566" s="11">
        <v>0.18</v>
      </c>
      <c r="F566" s="2">
        <f t="shared" si="88"/>
        <v>820</v>
      </c>
      <c r="G566" s="10">
        <f t="shared" si="89"/>
        <v>0.17</v>
      </c>
      <c r="H566" s="2">
        <f t="shared" si="90"/>
        <v>0.2073170731707317</v>
      </c>
      <c r="I566" s="12">
        <v>0.02</v>
      </c>
      <c r="J566" s="12">
        <v>7.0000000000000007E-2</v>
      </c>
      <c r="K566" s="12">
        <f t="shared" si="91"/>
        <v>5.3517073170731705E-2</v>
      </c>
      <c r="L566" s="12">
        <f t="shared" si="92"/>
        <v>0.35083414634146337</v>
      </c>
      <c r="M566" s="2"/>
      <c r="N566" s="2"/>
      <c r="O566" s="2">
        <f t="shared" si="97"/>
        <v>175.4170731707317</v>
      </c>
      <c r="P566" s="2"/>
      <c r="Q566" s="2"/>
      <c r="R566" s="28">
        <f t="shared" si="98"/>
        <v>15.254237288135593</v>
      </c>
    </row>
    <row r="567" spans="1:18" hidden="1" x14ac:dyDescent="0.25">
      <c r="A567" s="16">
        <v>45604</v>
      </c>
      <c r="B567" s="2" t="s">
        <v>90</v>
      </c>
      <c r="C567" s="2">
        <v>360</v>
      </c>
      <c r="D567" s="19">
        <v>0.14000000000000001</v>
      </c>
      <c r="E567" s="11">
        <v>0.28000000000000003</v>
      </c>
      <c r="F567" s="10">
        <f t="shared" si="88"/>
        <v>860</v>
      </c>
      <c r="G567" s="10">
        <f t="shared" si="89"/>
        <v>0.36</v>
      </c>
      <c r="H567" s="12">
        <f t="shared" si="90"/>
        <v>0.41860465116279072</v>
      </c>
      <c r="I567" s="12">
        <v>0.02</v>
      </c>
      <c r="J567" s="12">
        <v>7.0000000000000007E-2</v>
      </c>
      <c r="K567" s="12">
        <f t="shared" si="91"/>
        <v>0.14240930232558141</v>
      </c>
      <c r="L567" s="12">
        <f t="shared" si="92"/>
        <v>0.6510139534883721</v>
      </c>
      <c r="M567" s="12"/>
      <c r="N567" s="12"/>
      <c r="O567" s="12">
        <f t="shared" si="97"/>
        <v>325.50697674418603</v>
      </c>
      <c r="P567" s="12"/>
      <c r="Q567" s="12"/>
      <c r="R567" s="28">
        <f t="shared" si="98"/>
        <v>21.875</v>
      </c>
    </row>
    <row r="568" spans="1:18" ht="14.25" hidden="1" customHeight="1" x14ac:dyDescent="0.25">
      <c r="A568" s="16">
        <v>45604</v>
      </c>
      <c r="B568" s="2" t="s">
        <v>91</v>
      </c>
      <c r="C568" s="2">
        <v>360</v>
      </c>
      <c r="D568" s="19">
        <v>0.14000000000000001</v>
      </c>
      <c r="E568" s="11">
        <v>0.28000000000000003</v>
      </c>
      <c r="F568" s="10">
        <f t="shared" si="88"/>
        <v>860</v>
      </c>
      <c r="G568" s="10">
        <f t="shared" si="89"/>
        <v>0.36</v>
      </c>
      <c r="H568" s="12">
        <f t="shared" si="90"/>
        <v>0.41860465116279072</v>
      </c>
      <c r="I568" s="12">
        <v>0.02</v>
      </c>
      <c r="J568" s="12">
        <v>7.0000000000000007E-2</v>
      </c>
      <c r="K568" s="12">
        <f t="shared" si="91"/>
        <v>0.14240930232558141</v>
      </c>
      <c r="L568" s="12">
        <f t="shared" si="92"/>
        <v>0.6510139534883721</v>
      </c>
      <c r="M568" s="12"/>
      <c r="N568" s="12"/>
      <c r="O568" s="12">
        <f t="shared" si="97"/>
        <v>325.50697674418603</v>
      </c>
      <c r="P568" s="12"/>
      <c r="Q568" s="12"/>
      <c r="R568" s="28">
        <f t="shared" si="98"/>
        <v>21.875</v>
      </c>
    </row>
    <row r="569" spans="1:18" hidden="1" x14ac:dyDescent="0.25">
      <c r="A569" s="16">
        <v>45604</v>
      </c>
      <c r="B569" s="2" t="s">
        <v>162</v>
      </c>
      <c r="C569" s="2">
        <v>170</v>
      </c>
      <c r="D569" s="19">
        <v>0.11</v>
      </c>
      <c r="E569" s="11">
        <v>0.39</v>
      </c>
      <c r="F569" s="10">
        <f t="shared" si="88"/>
        <v>890</v>
      </c>
      <c r="G569" s="10">
        <f t="shared" si="89"/>
        <v>0.17</v>
      </c>
      <c r="H569" s="12">
        <f t="shared" si="90"/>
        <v>0.19101123595505617</v>
      </c>
      <c r="I569" s="12">
        <v>0.02</v>
      </c>
      <c r="J569" s="12">
        <v>7.0000000000000007E-2</v>
      </c>
      <c r="K569" s="12">
        <f t="shared" si="91"/>
        <v>0.10959438202247192</v>
      </c>
      <c r="L569" s="12">
        <f t="shared" si="92"/>
        <v>0.39060561797752807</v>
      </c>
      <c r="M569" s="12"/>
      <c r="N569" s="12"/>
      <c r="O569" s="12">
        <f t="shared" si="97"/>
        <v>195.30280898876404</v>
      </c>
      <c r="P569" s="12"/>
      <c r="Q569" s="12"/>
      <c r="R569" s="28">
        <f t="shared" si="98"/>
        <v>28.057553956834536</v>
      </c>
    </row>
    <row r="570" spans="1:18" hidden="1" x14ac:dyDescent="0.25">
      <c r="A570" s="16">
        <v>45604</v>
      </c>
      <c r="B570" s="2" t="s">
        <v>111</v>
      </c>
      <c r="C570" s="2">
        <v>620</v>
      </c>
      <c r="D570" s="19">
        <v>0.31</v>
      </c>
      <c r="E570" s="11">
        <v>0.39800000000000002</v>
      </c>
      <c r="F570" s="10">
        <f t="shared" si="88"/>
        <v>690</v>
      </c>
      <c r="G570" s="10">
        <f t="shared" si="89"/>
        <v>0.62</v>
      </c>
      <c r="H570" s="12">
        <f t="shared" si="90"/>
        <v>0.89855072463768115</v>
      </c>
      <c r="I570" s="12">
        <v>0.02</v>
      </c>
      <c r="J570" s="12">
        <v>7.0000000000000007E-2</v>
      </c>
      <c r="K570" s="12">
        <f t="shared" si="91"/>
        <v>0.39344318840579717</v>
      </c>
      <c r="L570" s="12">
        <f t="shared" si="92"/>
        <v>1.3819939130434784</v>
      </c>
      <c r="M570" s="12">
        <f>L570*250</f>
        <v>345.4984782608696</v>
      </c>
      <c r="N570" s="12"/>
      <c r="O570" s="2"/>
      <c r="P570" s="12"/>
      <c r="Q570" s="2">
        <f>L570*1000</f>
        <v>1381.9939130434784</v>
      </c>
      <c r="R570" s="28">
        <v>28.057553956834536</v>
      </c>
    </row>
    <row r="571" spans="1:18" hidden="1" x14ac:dyDescent="0.25">
      <c r="A571" s="16">
        <v>45604</v>
      </c>
      <c r="B571" s="2" t="s">
        <v>160</v>
      </c>
      <c r="C571" s="2">
        <v>620</v>
      </c>
      <c r="D571" s="19">
        <v>0.31</v>
      </c>
      <c r="E571" s="11">
        <v>0.40699999999999997</v>
      </c>
      <c r="F571" s="10">
        <f t="shared" si="88"/>
        <v>690</v>
      </c>
      <c r="G571" s="10">
        <f t="shared" si="89"/>
        <v>0.62</v>
      </c>
      <c r="H571" s="12">
        <f t="shared" si="90"/>
        <v>0.89855072463768115</v>
      </c>
      <c r="I571" s="12">
        <v>0.02</v>
      </c>
      <c r="J571" s="12">
        <v>7.0000000000000007E-2</v>
      </c>
      <c r="K571" s="12">
        <f t="shared" si="91"/>
        <v>0.40234014492753623</v>
      </c>
      <c r="L571" s="12">
        <f t="shared" si="92"/>
        <v>1.3908908695652173</v>
      </c>
      <c r="M571" s="2"/>
      <c r="N571" s="2"/>
      <c r="O571" s="2">
        <f>L571*500</f>
        <v>695.44543478260869</v>
      </c>
      <c r="P571" s="2"/>
      <c r="Q571" s="2">
        <f>L571*1000</f>
        <v>1390.8908695652174</v>
      </c>
      <c r="R571" s="28">
        <v>30.651872399445214</v>
      </c>
    </row>
    <row r="572" spans="1:18" hidden="1" x14ac:dyDescent="0.25">
      <c r="A572" s="16">
        <v>45605</v>
      </c>
      <c r="B572" s="2" t="s">
        <v>152</v>
      </c>
      <c r="C572" s="2">
        <v>180</v>
      </c>
      <c r="D572" s="19">
        <v>0.03</v>
      </c>
      <c r="E572" s="11">
        <v>0.42</v>
      </c>
      <c r="F572" s="2">
        <f t="shared" si="88"/>
        <v>970</v>
      </c>
      <c r="G572" s="10">
        <f t="shared" si="89"/>
        <v>0.18</v>
      </c>
      <c r="H572" s="2">
        <f t="shared" si="90"/>
        <v>0.18556701030927836</v>
      </c>
      <c r="I572" s="12">
        <v>0.02</v>
      </c>
      <c r="J572" s="12">
        <v>7.0000000000000007E-2</v>
      </c>
      <c r="K572" s="12">
        <f t="shared" si="91"/>
        <v>0.11573814432989689</v>
      </c>
      <c r="L572" s="12">
        <f t="shared" si="92"/>
        <v>0.3913051546391752</v>
      </c>
      <c r="M572" s="2"/>
      <c r="N572" s="2"/>
      <c r="O572" s="2">
        <f>L572*500</f>
        <v>195.65257731958761</v>
      </c>
      <c r="P572" s="2"/>
      <c r="Q572" s="2"/>
      <c r="R572" s="28">
        <f t="shared" ref="R572:R582" si="99">K572/L572%</f>
        <v>29.577464788732392</v>
      </c>
    </row>
    <row r="573" spans="1:18" hidden="1" x14ac:dyDescent="0.25">
      <c r="A573" s="16">
        <v>45605</v>
      </c>
      <c r="B573" s="2" t="s">
        <v>137</v>
      </c>
      <c r="C573" s="2">
        <v>180</v>
      </c>
      <c r="D573" s="19">
        <v>0.03</v>
      </c>
      <c r="E573" s="11">
        <v>0.42</v>
      </c>
      <c r="F573" s="2">
        <f t="shared" si="88"/>
        <v>970</v>
      </c>
      <c r="G573" s="10">
        <f t="shared" si="89"/>
        <v>0.18</v>
      </c>
      <c r="H573" s="2">
        <f t="shared" si="90"/>
        <v>0.18556701030927836</v>
      </c>
      <c r="I573" s="12">
        <v>0.02</v>
      </c>
      <c r="J573" s="12">
        <v>7.0000000000000007E-2</v>
      </c>
      <c r="K573" s="12">
        <f t="shared" si="91"/>
        <v>0.11573814432989689</v>
      </c>
      <c r="L573" s="12">
        <f t="shared" si="92"/>
        <v>0.3913051546391752</v>
      </c>
      <c r="M573" s="2"/>
      <c r="N573" s="2"/>
      <c r="O573" s="2">
        <f>L573*500</f>
        <v>195.65257731958761</v>
      </c>
      <c r="P573" s="2"/>
      <c r="Q573" s="2">
        <f>L573*1000</f>
        <v>391.30515463917521</v>
      </c>
      <c r="R573" s="28">
        <f t="shared" si="99"/>
        <v>29.577464788732392</v>
      </c>
    </row>
    <row r="574" spans="1:18" hidden="1" x14ac:dyDescent="0.25">
      <c r="A574" s="16">
        <v>45605</v>
      </c>
      <c r="B574" s="2" t="s">
        <v>143</v>
      </c>
      <c r="C574" s="2">
        <v>380</v>
      </c>
      <c r="D574" s="19">
        <v>0.55000000000000004</v>
      </c>
      <c r="E574" s="11">
        <v>0.44500000000000001</v>
      </c>
      <c r="F574" s="2">
        <f t="shared" si="88"/>
        <v>450</v>
      </c>
      <c r="G574" s="10">
        <f t="shared" si="89"/>
        <v>0.38</v>
      </c>
      <c r="H574" s="12">
        <f t="shared" si="90"/>
        <v>0.84444444444444444</v>
      </c>
      <c r="I574" s="12">
        <v>0.02</v>
      </c>
      <c r="J574" s="12">
        <v>7.0000000000000007E-2</v>
      </c>
      <c r="K574" s="12">
        <f t="shared" si="91"/>
        <v>0.4158277777777778</v>
      </c>
      <c r="L574" s="12">
        <f t="shared" si="92"/>
        <v>1.3502722222222223</v>
      </c>
      <c r="M574" s="2"/>
      <c r="N574" s="2"/>
      <c r="O574" s="2">
        <f>L574*500</f>
        <v>675.13611111111118</v>
      </c>
      <c r="P574" s="2"/>
      <c r="Q574" s="2"/>
      <c r="R574" s="28">
        <f t="shared" si="99"/>
        <v>30.79584775086505</v>
      </c>
    </row>
    <row r="575" spans="1:18" hidden="1" x14ac:dyDescent="0.25">
      <c r="A575" s="16">
        <v>45605</v>
      </c>
      <c r="B575" s="2" t="s">
        <v>138</v>
      </c>
      <c r="C575" s="2">
        <v>380</v>
      </c>
      <c r="D575" s="19">
        <v>0.55000000000000004</v>
      </c>
      <c r="E575" s="11">
        <v>0.48</v>
      </c>
      <c r="F575" s="2">
        <f t="shared" si="88"/>
        <v>450</v>
      </c>
      <c r="G575" s="10">
        <f t="shared" si="89"/>
        <v>0.38</v>
      </c>
      <c r="H575" s="12">
        <f t="shared" si="90"/>
        <v>0.84444444444444444</v>
      </c>
      <c r="I575" s="12">
        <v>0.02</v>
      </c>
      <c r="J575" s="12">
        <v>7.0000000000000007E-2</v>
      </c>
      <c r="K575" s="12">
        <f t="shared" si="91"/>
        <v>0.44853333333333328</v>
      </c>
      <c r="L575" s="12">
        <f t="shared" si="92"/>
        <v>1.3829777777777776</v>
      </c>
      <c r="M575" s="2">
        <f>L575*250</f>
        <v>345.74444444444441</v>
      </c>
      <c r="N575" s="2"/>
      <c r="O575" s="2"/>
      <c r="P575" s="2"/>
      <c r="Q575" s="2"/>
      <c r="R575" s="28">
        <f t="shared" si="99"/>
        <v>32.432432432432435</v>
      </c>
    </row>
    <row r="576" spans="1:18" hidden="1" x14ac:dyDescent="0.25">
      <c r="A576" s="16">
        <v>45605</v>
      </c>
      <c r="B576" s="2" t="s">
        <v>205</v>
      </c>
      <c r="C576" s="2">
        <v>650</v>
      </c>
      <c r="D576" s="19">
        <v>0.41</v>
      </c>
      <c r="E576" s="11">
        <v>0.26</v>
      </c>
      <c r="F576" s="2">
        <f t="shared" si="88"/>
        <v>590</v>
      </c>
      <c r="G576" s="2">
        <f t="shared" si="89"/>
        <v>0.65</v>
      </c>
      <c r="H576" s="2">
        <f t="shared" si="90"/>
        <v>1.1016949152542372</v>
      </c>
      <c r="I576" s="12">
        <v>0.02</v>
      </c>
      <c r="J576" s="12">
        <v>7.0000000000000007E-2</v>
      </c>
      <c r="K576" s="12">
        <f t="shared" si="91"/>
        <v>0.30984067796610171</v>
      </c>
      <c r="L576" s="12">
        <f t="shared" si="92"/>
        <v>1.5015355932203391</v>
      </c>
      <c r="M576" s="2">
        <f>L576*250</f>
        <v>375.38389830508481</v>
      </c>
      <c r="N576" s="2"/>
      <c r="O576" s="2"/>
      <c r="P576" s="2"/>
      <c r="Q576" s="2">
        <f>L576*1000</f>
        <v>1501.5355932203393</v>
      </c>
      <c r="R576" s="28">
        <f t="shared" si="99"/>
        <v>20.634920634920633</v>
      </c>
    </row>
    <row r="577" spans="1:18" hidden="1" x14ac:dyDescent="0.25">
      <c r="A577" s="16">
        <v>45605</v>
      </c>
      <c r="B577" s="10" t="s">
        <v>114</v>
      </c>
      <c r="C577" s="2">
        <v>580</v>
      </c>
      <c r="D577" s="19">
        <v>0.6</v>
      </c>
      <c r="E577" s="11">
        <v>0.28599999999999998</v>
      </c>
      <c r="F577" s="2">
        <f t="shared" si="88"/>
        <v>400</v>
      </c>
      <c r="G577" s="2">
        <f t="shared" si="89"/>
        <v>0.57999999999999996</v>
      </c>
      <c r="H577" s="2">
        <f t="shared" si="90"/>
        <v>1.45</v>
      </c>
      <c r="I577" s="12">
        <v>0.02</v>
      </c>
      <c r="J577" s="12">
        <v>7.0000000000000007E-2</v>
      </c>
      <c r="K577" s="12">
        <f t="shared" si="91"/>
        <v>0.44044</v>
      </c>
      <c r="L577" s="12">
        <f t="shared" si="92"/>
        <v>1.98044</v>
      </c>
      <c r="M577" s="2">
        <f>L577*250</f>
        <v>495.11</v>
      </c>
      <c r="N577" s="2"/>
      <c r="O577" s="2"/>
      <c r="P577" s="2"/>
      <c r="Q577" s="2"/>
      <c r="R577" s="28">
        <f t="shared" si="99"/>
        <v>22.239502332814929</v>
      </c>
    </row>
    <row r="578" spans="1:18" hidden="1" x14ac:dyDescent="0.25">
      <c r="A578" s="16">
        <v>45605</v>
      </c>
      <c r="B578" s="10" t="s">
        <v>93</v>
      </c>
      <c r="C578" s="2">
        <v>530</v>
      </c>
      <c r="D578" s="19">
        <v>0.02</v>
      </c>
      <c r="E578" s="11">
        <v>0.254</v>
      </c>
      <c r="F578" s="2">
        <f t="shared" si="88"/>
        <v>980</v>
      </c>
      <c r="G578" s="2">
        <f t="shared" si="89"/>
        <v>0.53</v>
      </c>
      <c r="H578" s="2">
        <f t="shared" si="90"/>
        <v>0.54081632653061229</v>
      </c>
      <c r="I578" s="12">
        <v>0.02</v>
      </c>
      <c r="J578" s="12">
        <v>7.0000000000000007E-2</v>
      </c>
      <c r="K578" s="12">
        <f t="shared" si="91"/>
        <v>0.16022734693877555</v>
      </c>
      <c r="L578" s="12">
        <f t="shared" si="92"/>
        <v>0.79104367346938798</v>
      </c>
      <c r="M578" s="2"/>
      <c r="N578" s="2"/>
      <c r="O578" s="2">
        <f>L578*500</f>
        <v>395.52183673469398</v>
      </c>
      <c r="P578" s="2"/>
      <c r="Q578" s="2"/>
      <c r="R578" s="28">
        <f t="shared" si="99"/>
        <v>20.255183413078147</v>
      </c>
    </row>
    <row r="579" spans="1:18" hidden="1" x14ac:dyDescent="0.25">
      <c r="A579" s="16">
        <v>45605</v>
      </c>
      <c r="B579" s="10" t="s">
        <v>197</v>
      </c>
      <c r="C579" s="2">
        <v>530</v>
      </c>
      <c r="D579" s="19">
        <v>0.02</v>
      </c>
      <c r="E579" s="11">
        <v>9.5000000000000001E-2</v>
      </c>
      <c r="F579" s="2">
        <f t="shared" si="88"/>
        <v>980</v>
      </c>
      <c r="G579" s="2">
        <f t="shared" si="89"/>
        <v>0.53</v>
      </c>
      <c r="H579" s="2">
        <f t="shared" si="90"/>
        <v>0.54081632653061229</v>
      </c>
      <c r="I579" s="12">
        <v>0.02</v>
      </c>
      <c r="J579" s="12">
        <v>7.0000000000000007E-2</v>
      </c>
      <c r="K579" s="12">
        <f t="shared" si="91"/>
        <v>5.9927551020408178E-2</v>
      </c>
      <c r="L579" s="12">
        <f t="shared" si="92"/>
        <v>0.69074387755102051</v>
      </c>
      <c r="M579" s="2"/>
      <c r="N579" s="2"/>
      <c r="O579" s="2">
        <f>L579*500</f>
        <v>345.37193877551027</v>
      </c>
      <c r="P579" s="2"/>
      <c r="Q579" s="2"/>
      <c r="R579" s="28">
        <f t="shared" si="99"/>
        <v>8.6757990867579924</v>
      </c>
    </row>
    <row r="580" spans="1:18" hidden="1" x14ac:dyDescent="0.25">
      <c r="A580" s="16">
        <v>45605</v>
      </c>
      <c r="B580" s="2" t="s">
        <v>116</v>
      </c>
      <c r="C580" s="2">
        <v>500</v>
      </c>
      <c r="D580" s="19">
        <v>0.06</v>
      </c>
      <c r="E580" s="11">
        <v>0.27200000000000002</v>
      </c>
      <c r="F580" s="2">
        <f t="shared" si="88"/>
        <v>940</v>
      </c>
      <c r="G580" s="2">
        <f t="shared" si="89"/>
        <v>0.5</v>
      </c>
      <c r="H580" s="2">
        <f t="shared" si="90"/>
        <v>0.53191489361702127</v>
      </c>
      <c r="I580" s="12">
        <v>0.02</v>
      </c>
      <c r="J580" s="12">
        <v>7.0000000000000007E-2</v>
      </c>
      <c r="K580" s="12">
        <f t="shared" si="91"/>
        <v>0.16916085106382983</v>
      </c>
      <c r="L580" s="12">
        <f t="shared" si="92"/>
        <v>0.79107574468085118</v>
      </c>
      <c r="M580" s="2"/>
      <c r="N580" s="2"/>
      <c r="O580" s="2">
        <f>L580*500</f>
        <v>395.53787234042557</v>
      </c>
      <c r="P580" s="2"/>
      <c r="Q580" s="2"/>
      <c r="R580" s="28">
        <f t="shared" si="99"/>
        <v>21.383647798742142</v>
      </c>
    </row>
    <row r="581" spans="1:18" hidden="1" x14ac:dyDescent="0.25">
      <c r="A581" s="16">
        <v>45605</v>
      </c>
      <c r="B581" s="2" t="s">
        <v>90</v>
      </c>
      <c r="C581" s="2">
        <v>360</v>
      </c>
      <c r="D581" s="19">
        <v>0</v>
      </c>
      <c r="E581" s="11">
        <v>0.28000000000000003</v>
      </c>
      <c r="F581" s="10">
        <f t="shared" si="88"/>
        <v>1000</v>
      </c>
      <c r="G581" s="10">
        <f t="shared" si="89"/>
        <v>0.36</v>
      </c>
      <c r="H581" s="12">
        <f t="shared" si="90"/>
        <v>0.36</v>
      </c>
      <c r="I581" s="12">
        <v>0.02</v>
      </c>
      <c r="J581" s="12">
        <v>7.0000000000000007E-2</v>
      </c>
      <c r="K581" s="12">
        <f t="shared" si="91"/>
        <v>0.12600000000000003</v>
      </c>
      <c r="L581" s="12">
        <f t="shared" si="92"/>
        <v>0.57600000000000007</v>
      </c>
      <c r="M581" s="12"/>
      <c r="N581" s="12"/>
      <c r="O581" s="12">
        <f>L581*500</f>
        <v>288.00000000000006</v>
      </c>
      <c r="P581" s="12"/>
      <c r="Q581" s="12"/>
      <c r="R581" s="28">
        <f t="shared" si="99"/>
        <v>21.875000000000004</v>
      </c>
    </row>
    <row r="582" spans="1:18" ht="14.25" hidden="1" customHeight="1" x14ac:dyDescent="0.25">
      <c r="A582" s="16">
        <v>45605</v>
      </c>
      <c r="B582" s="2" t="s">
        <v>91</v>
      </c>
      <c r="C582" s="2">
        <v>360</v>
      </c>
      <c r="D582" s="19">
        <v>0</v>
      </c>
      <c r="E582" s="11">
        <v>0.28000000000000003</v>
      </c>
      <c r="F582" s="10">
        <f t="shared" si="88"/>
        <v>1000</v>
      </c>
      <c r="G582" s="10">
        <f t="shared" si="89"/>
        <v>0.36</v>
      </c>
      <c r="H582" s="12">
        <f t="shared" si="90"/>
        <v>0.36</v>
      </c>
      <c r="I582" s="12">
        <v>0.02</v>
      </c>
      <c r="J582" s="12">
        <v>7.0000000000000007E-2</v>
      </c>
      <c r="K582" s="12">
        <f t="shared" si="91"/>
        <v>0.12600000000000003</v>
      </c>
      <c r="L582" s="12">
        <f t="shared" si="92"/>
        <v>0.57600000000000007</v>
      </c>
      <c r="M582" s="12"/>
      <c r="N582" s="12"/>
      <c r="O582" s="12">
        <f>L582*500</f>
        <v>288.00000000000006</v>
      </c>
      <c r="P582" s="12"/>
      <c r="Q582" s="12"/>
      <c r="R582" s="28">
        <f t="shared" si="99"/>
        <v>21.875000000000004</v>
      </c>
    </row>
    <row r="583" spans="1:18" hidden="1" x14ac:dyDescent="0.25">
      <c r="A583" s="16">
        <v>45606</v>
      </c>
      <c r="B583" s="2" t="s">
        <v>111</v>
      </c>
      <c r="C583" s="2">
        <v>600</v>
      </c>
      <c r="D583" s="19">
        <v>0.4</v>
      </c>
      <c r="E583" s="11">
        <v>0.26700000000000002</v>
      </c>
      <c r="F583" s="10">
        <f t="shared" ref="F583:F646" si="100">1000-1000*D583</f>
        <v>600</v>
      </c>
      <c r="G583" s="10">
        <f t="shared" ref="G583:G646" si="101">C583/1000</f>
        <v>0.6</v>
      </c>
      <c r="H583" s="12">
        <f t="shared" ref="H583:H646" si="102">C583/F583</f>
        <v>1</v>
      </c>
      <c r="I583" s="12">
        <v>0.02</v>
      </c>
      <c r="J583" s="12">
        <v>7.0000000000000007E-2</v>
      </c>
      <c r="K583" s="12">
        <f t="shared" ref="K583:K646" si="103">SUM(H583:J583)*E583</f>
        <v>0.29103000000000001</v>
      </c>
      <c r="L583" s="12">
        <f t="shared" ref="L583:L646" si="104">SUM(H583:K583)</f>
        <v>1.38103</v>
      </c>
      <c r="M583" s="12">
        <f>L583*250</f>
        <v>345.25749999999999</v>
      </c>
      <c r="N583" s="12"/>
      <c r="O583" s="12" t="s">
        <v>72</v>
      </c>
      <c r="P583" s="12"/>
      <c r="Q583" s="2">
        <f>L583*1000</f>
        <v>1381.03</v>
      </c>
      <c r="R583" s="28">
        <v>28.057553956834536</v>
      </c>
    </row>
    <row r="584" spans="1:18" hidden="1" x14ac:dyDescent="0.25">
      <c r="A584" s="16">
        <v>45606</v>
      </c>
      <c r="B584" s="2" t="s">
        <v>112</v>
      </c>
      <c r="C584" s="2">
        <v>600</v>
      </c>
      <c r="D584" s="19">
        <v>0.4</v>
      </c>
      <c r="E584" s="11">
        <v>0.24</v>
      </c>
      <c r="F584" s="10">
        <f t="shared" si="100"/>
        <v>600</v>
      </c>
      <c r="G584" s="10">
        <f t="shared" si="101"/>
        <v>0.6</v>
      </c>
      <c r="H584" s="12">
        <f t="shared" si="102"/>
        <v>1</v>
      </c>
      <c r="I584" s="12">
        <v>0.02</v>
      </c>
      <c r="J584" s="12">
        <v>7.0000000000000007E-2</v>
      </c>
      <c r="K584" s="12">
        <f t="shared" si="103"/>
        <v>0.2616</v>
      </c>
      <c r="L584" s="12">
        <f t="shared" si="104"/>
        <v>1.3516000000000001</v>
      </c>
      <c r="M584" s="12" t="s">
        <v>72</v>
      </c>
      <c r="N584" s="12"/>
      <c r="O584" s="12">
        <f>L584*500</f>
        <v>675.80000000000007</v>
      </c>
      <c r="P584" s="12"/>
      <c r="Q584" s="2">
        <f>L584*1000</f>
        <v>1351.6000000000001</v>
      </c>
      <c r="R584" s="28"/>
    </row>
    <row r="585" spans="1:18" hidden="1" x14ac:dyDescent="0.25">
      <c r="A585" s="16">
        <v>45606</v>
      </c>
      <c r="B585" s="2" t="s">
        <v>113</v>
      </c>
      <c r="C585" s="2">
        <v>600</v>
      </c>
      <c r="D585" s="19">
        <v>0.4</v>
      </c>
      <c r="E585" s="11">
        <v>0.45</v>
      </c>
      <c r="F585" s="2">
        <f t="shared" si="100"/>
        <v>600</v>
      </c>
      <c r="G585" s="10">
        <f t="shared" si="101"/>
        <v>0.6</v>
      </c>
      <c r="H585" s="12">
        <f t="shared" si="102"/>
        <v>1</v>
      </c>
      <c r="I585" s="12">
        <v>0.02</v>
      </c>
      <c r="J585" s="12">
        <v>7.0000000000000007E-2</v>
      </c>
      <c r="K585" s="12">
        <f t="shared" si="103"/>
        <v>0.49050000000000005</v>
      </c>
      <c r="L585" s="12">
        <f t="shared" si="104"/>
        <v>1.5805000000000002</v>
      </c>
      <c r="M585" s="2">
        <f>L585*250</f>
        <v>395.12500000000006</v>
      </c>
      <c r="N585" s="2"/>
      <c r="O585" s="2"/>
      <c r="P585" s="2"/>
      <c r="Q585" s="2">
        <f>L585*1000</f>
        <v>1580.5000000000002</v>
      </c>
      <c r="R585" s="28">
        <f t="shared" ref="R585:R596" si="105">K585/L585%</f>
        <v>31.034482758620687</v>
      </c>
    </row>
    <row r="586" spans="1:18" hidden="1" x14ac:dyDescent="0.25">
      <c r="A586" s="16">
        <v>45606</v>
      </c>
      <c r="B586" s="2" t="s">
        <v>179</v>
      </c>
      <c r="C586" s="2">
        <v>600</v>
      </c>
      <c r="D586" s="19">
        <v>0.4</v>
      </c>
      <c r="E586" s="11">
        <v>0.19400000000000001</v>
      </c>
      <c r="F586" s="10">
        <f t="shared" si="100"/>
        <v>600</v>
      </c>
      <c r="G586" s="10">
        <f t="shared" si="101"/>
        <v>0.6</v>
      </c>
      <c r="H586" s="12">
        <f t="shared" si="102"/>
        <v>1</v>
      </c>
      <c r="I586" s="12">
        <v>0.02</v>
      </c>
      <c r="J586" s="12">
        <v>7.0000000000000007E-2</v>
      </c>
      <c r="K586" s="12">
        <f t="shared" si="103"/>
        <v>0.21146000000000001</v>
      </c>
      <c r="L586" s="12">
        <f t="shared" si="104"/>
        <v>1.3014600000000001</v>
      </c>
      <c r="M586" s="2">
        <f>L586*250</f>
        <v>325.36500000000001</v>
      </c>
      <c r="N586" s="2"/>
      <c r="O586" s="2"/>
      <c r="P586" s="2"/>
      <c r="Q586" s="2"/>
      <c r="R586" s="28">
        <f t="shared" si="105"/>
        <v>16.247906197654942</v>
      </c>
    </row>
    <row r="587" spans="1:18" hidden="1" x14ac:dyDescent="0.25">
      <c r="A587" s="16">
        <v>45608</v>
      </c>
      <c r="B587" s="2" t="s">
        <v>90</v>
      </c>
      <c r="C587" s="2">
        <v>360</v>
      </c>
      <c r="D587" s="19">
        <v>0.12</v>
      </c>
      <c r="E587" s="11">
        <v>0.30399999999999999</v>
      </c>
      <c r="F587" s="10">
        <f t="shared" si="100"/>
        <v>880</v>
      </c>
      <c r="G587" s="10">
        <f t="shared" si="101"/>
        <v>0.36</v>
      </c>
      <c r="H587" s="12">
        <f t="shared" si="102"/>
        <v>0.40909090909090912</v>
      </c>
      <c r="I587" s="12">
        <v>0.02</v>
      </c>
      <c r="J587" s="12">
        <v>7.0000000000000007E-2</v>
      </c>
      <c r="K587" s="12">
        <f t="shared" si="103"/>
        <v>0.15172363636363637</v>
      </c>
      <c r="L587" s="12">
        <f t="shared" si="104"/>
        <v>0.65081454545454553</v>
      </c>
      <c r="M587" s="12"/>
      <c r="N587" s="12"/>
      <c r="O587" s="12">
        <f t="shared" ref="O587:O594" si="106">L587*500</f>
        <v>325.40727272727275</v>
      </c>
      <c r="P587" s="12"/>
      <c r="Q587" s="12"/>
      <c r="R587" s="28">
        <f t="shared" si="105"/>
        <v>23.312883435582823</v>
      </c>
    </row>
    <row r="588" spans="1:18" ht="14.25" hidden="1" customHeight="1" x14ac:dyDescent="0.25">
      <c r="A588" s="16">
        <v>45608</v>
      </c>
      <c r="B588" s="2" t="s">
        <v>91</v>
      </c>
      <c r="C588" s="2">
        <v>360</v>
      </c>
      <c r="D588" s="19">
        <v>0.12</v>
      </c>
      <c r="E588" s="11">
        <v>0.30399999999999999</v>
      </c>
      <c r="F588" s="10">
        <f t="shared" si="100"/>
        <v>880</v>
      </c>
      <c r="G588" s="10">
        <f t="shared" si="101"/>
        <v>0.36</v>
      </c>
      <c r="H588" s="12">
        <f t="shared" si="102"/>
        <v>0.40909090909090912</v>
      </c>
      <c r="I588" s="12">
        <v>0.02</v>
      </c>
      <c r="J588" s="12">
        <v>7.0000000000000007E-2</v>
      </c>
      <c r="K588" s="12">
        <f t="shared" si="103"/>
        <v>0.15172363636363637</v>
      </c>
      <c r="L588" s="12">
        <f t="shared" si="104"/>
        <v>0.65081454545454553</v>
      </c>
      <c r="M588" s="12"/>
      <c r="N588" s="12"/>
      <c r="O588" s="12">
        <f t="shared" si="106"/>
        <v>325.40727272727275</v>
      </c>
      <c r="P588" s="12"/>
      <c r="Q588" s="12"/>
      <c r="R588" s="28">
        <f t="shared" si="105"/>
        <v>23.312883435582823</v>
      </c>
    </row>
    <row r="589" spans="1:18" hidden="1" x14ac:dyDescent="0.25">
      <c r="A589" s="16">
        <v>45608</v>
      </c>
      <c r="B589" s="2" t="s">
        <v>95</v>
      </c>
      <c r="C589" s="2">
        <v>170</v>
      </c>
      <c r="D589" s="19">
        <v>0.14000000000000001</v>
      </c>
      <c r="E589" s="11">
        <v>0.01</v>
      </c>
      <c r="F589" s="2">
        <f t="shared" si="100"/>
        <v>860</v>
      </c>
      <c r="G589" s="10">
        <f t="shared" si="101"/>
        <v>0.17</v>
      </c>
      <c r="H589" s="12">
        <f t="shared" si="102"/>
        <v>0.19767441860465115</v>
      </c>
      <c r="I589" s="12">
        <v>0.02</v>
      </c>
      <c r="J589" s="12">
        <v>7.0000000000000007E-2</v>
      </c>
      <c r="K589" s="12">
        <f t="shared" si="103"/>
        <v>2.8767441860465116E-3</v>
      </c>
      <c r="L589" s="12">
        <f t="shared" si="104"/>
        <v>0.29055116279069765</v>
      </c>
      <c r="M589" s="2"/>
      <c r="N589" s="2"/>
      <c r="O589" s="2">
        <f t="shared" si="106"/>
        <v>145.27558139534884</v>
      </c>
      <c r="P589" s="2"/>
      <c r="Q589" s="2"/>
      <c r="R589" s="28">
        <f t="shared" si="105"/>
        <v>0.9900990099009902</v>
      </c>
    </row>
    <row r="590" spans="1:18" hidden="1" x14ac:dyDescent="0.25">
      <c r="A590" s="16">
        <v>45608</v>
      </c>
      <c r="B590" s="2" t="s">
        <v>94</v>
      </c>
      <c r="C590" s="2">
        <v>170</v>
      </c>
      <c r="D590" s="19">
        <v>0.14000000000000001</v>
      </c>
      <c r="E590" s="11">
        <v>0.01</v>
      </c>
      <c r="F590" s="2">
        <f t="shared" si="100"/>
        <v>860</v>
      </c>
      <c r="G590" s="10">
        <f t="shared" si="101"/>
        <v>0.17</v>
      </c>
      <c r="H590" s="12">
        <f t="shared" si="102"/>
        <v>0.19767441860465115</v>
      </c>
      <c r="I590" s="12">
        <v>0.02</v>
      </c>
      <c r="J590" s="12">
        <v>7.0000000000000007E-2</v>
      </c>
      <c r="K590" s="12">
        <f t="shared" si="103"/>
        <v>2.8767441860465116E-3</v>
      </c>
      <c r="L590" s="12">
        <f t="shared" si="104"/>
        <v>0.29055116279069765</v>
      </c>
      <c r="M590" s="2"/>
      <c r="N590" s="2"/>
      <c r="O590" s="2">
        <f t="shared" si="106"/>
        <v>145.27558139534884</v>
      </c>
      <c r="P590" s="2"/>
      <c r="Q590" s="2"/>
      <c r="R590" s="28">
        <f t="shared" si="105"/>
        <v>0.9900990099009902</v>
      </c>
    </row>
    <row r="591" spans="1:18" hidden="1" x14ac:dyDescent="0.25">
      <c r="A591" s="16">
        <v>45608</v>
      </c>
      <c r="B591" s="2" t="s">
        <v>137</v>
      </c>
      <c r="C591" s="2">
        <v>160</v>
      </c>
      <c r="D591" s="19">
        <v>0</v>
      </c>
      <c r="E591" s="11">
        <v>0.56000000000000005</v>
      </c>
      <c r="F591" s="2">
        <f t="shared" si="100"/>
        <v>1000</v>
      </c>
      <c r="G591" s="10">
        <f t="shared" si="101"/>
        <v>0.16</v>
      </c>
      <c r="H591" s="2">
        <f t="shared" si="102"/>
        <v>0.16</v>
      </c>
      <c r="I591" s="12">
        <v>0.02</v>
      </c>
      <c r="J591" s="12">
        <v>7.0000000000000007E-2</v>
      </c>
      <c r="K591" s="12">
        <f t="shared" si="103"/>
        <v>0.14000000000000001</v>
      </c>
      <c r="L591" s="12">
        <f t="shared" si="104"/>
        <v>0.39</v>
      </c>
      <c r="M591" s="2"/>
      <c r="N591" s="2"/>
      <c r="O591" s="2">
        <f t="shared" si="106"/>
        <v>195</v>
      </c>
      <c r="P591" s="2"/>
      <c r="Q591" s="2">
        <f>L591*1000</f>
        <v>390</v>
      </c>
      <c r="R591" s="28">
        <f t="shared" si="105"/>
        <v>35.897435897435898</v>
      </c>
    </row>
    <row r="592" spans="1:18" hidden="1" x14ac:dyDescent="0.25">
      <c r="A592" s="16">
        <v>45608</v>
      </c>
      <c r="B592" s="2" t="s">
        <v>116</v>
      </c>
      <c r="C592" s="2">
        <v>480</v>
      </c>
      <c r="D592" s="19">
        <v>0.17</v>
      </c>
      <c r="E592" s="11">
        <v>0.185</v>
      </c>
      <c r="F592" s="2">
        <f t="shared" si="100"/>
        <v>830</v>
      </c>
      <c r="G592" s="2">
        <f t="shared" si="101"/>
        <v>0.48</v>
      </c>
      <c r="H592" s="2">
        <f t="shared" si="102"/>
        <v>0.57831325301204817</v>
      </c>
      <c r="I592" s="12">
        <v>0.02</v>
      </c>
      <c r="J592" s="12">
        <v>7.0000000000000007E-2</v>
      </c>
      <c r="K592" s="12">
        <f t="shared" si="103"/>
        <v>0.1236379518072289</v>
      </c>
      <c r="L592" s="12">
        <f t="shared" si="104"/>
        <v>0.79195120481927705</v>
      </c>
      <c r="M592" s="2"/>
      <c r="N592" s="2"/>
      <c r="O592" s="2">
        <f t="shared" si="106"/>
        <v>395.97560240963855</v>
      </c>
      <c r="P592" s="2"/>
      <c r="Q592" s="2"/>
      <c r="R592" s="28">
        <f t="shared" si="105"/>
        <v>15.61181434599156</v>
      </c>
    </row>
    <row r="593" spans="1:18" ht="16.5" hidden="1" customHeight="1" x14ac:dyDescent="0.25">
      <c r="A593" s="16">
        <v>45608</v>
      </c>
      <c r="B593" s="2" t="s">
        <v>110</v>
      </c>
      <c r="C593" s="2">
        <v>100</v>
      </c>
      <c r="D593" s="19">
        <v>0</v>
      </c>
      <c r="E593" s="11">
        <v>0.32</v>
      </c>
      <c r="F593" s="2">
        <f t="shared" si="100"/>
        <v>1000</v>
      </c>
      <c r="G593" s="10">
        <f t="shared" si="101"/>
        <v>0.1</v>
      </c>
      <c r="H593" s="12">
        <f t="shared" si="102"/>
        <v>0.1</v>
      </c>
      <c r="I593" s="12">
        <v>0.02</v>
      </c>
      <c r="J593" s="12">
        <v>7.0000000000000007E-2</v>
      </c>
      <c r="K593" s="12">
        <f t="shared" si="103"/>
        <v>6.08E-2</v>
      </c>
      <c r="L593" s="12">
        <f t="shared" si="104"/>
        <v>0.25080000000000002</v>
      </c>
      <c r="M593" s="2"/>
      <c r="N593" s="2"/>
      <c r="O593" s="2">
        <f t="shared" si="106"/>
        <v>125.4</v>
      </c>
      <c r="P593" s="2"/>
      <c r="Q593" s="2"/>
      <c r="R593" s="28">
        <f t="shared" si="105"/>
        <v>24.242424242424239</v>
      </c>
    </row>
    <row r="594" spans="1:18" hidden="1" x14ac:dyDescent="0.25">
      <c r="A594" s="16">
        <v>45608</v>
      </c>
      <c r="B594" s="40" t="s">
        <v>107</v>
      </c>
      <c r="C594" s="40">
        <v>430</v>
      </c>
      <c r="D594" s="44">
        <v>0</v>
      </c>
      <c r="E594" s="39">
        <v>0.24</v>
      </c>
      <c r="F594" s="40">
        <f t="shared" si="100"/>
        <v>1000</v>
      </c>
      <c r="G594" s="41">
        <f t="shared" si="101"/>
        <v>0.43</v>
      </c>
      <c r="H594" s="40">
        <f t="shared" si="102"/>
        <v>0.43</v>
      </c>
      <c r="I594" s="42">
        <v>0.02</v>
      </c>
      <c r="J594" s="42">
        <v>7.0000000000000007E-2</v>
      </c>
      <c r="K594" s="42">
        <f t="shared" si="103"/>
        <v>0.12479999999999999</v>
      </c>
      <c r="L594" s="42">
        <f t="shared" si="104"/>
        <v>0.64480000000000004</v>
      </c>
      <c r="M594" s="40"/>
      <c r="N594" s="40"/>
      <c r="O594" s="40">
        <f t="shared" si="106"/>
        <v>322.40000000000003</v>
      </c>
      <c r="P594" s="40"/>
      <c r="Q594" s="40"/>
      <c r="R594" s="43">
        <f t="shared" si="105"/>
        <v>19.354838709677416</v>
      </c>
    </row>
    <row r="595" spans="1:18" hidden="1" x14ac:dyDescent="0.25">
      <c r="A595" s="16">
        <v>45609</v>
      </c>
      <c r="B595" s="2" t="s">
        <v>118</v>
      </c>
      <c r="C595" s="2">
        <v>280</v>
      </c>
      <c r="D595" s="19">
        <v>0.4</v>
      </c>
      <c r="E595" s="11">
        <v>0.26</v>
      </c>
      <c r="F595" s="2">
        <f t="shared" si="100"/>
        <v>600</v>
      </c>
      <c r="G595" s="10">
        <f t="shared" si="101"/>
        <v>0.28000000000000003</v>
      </c>
      <c r="H595" s="12">
        <f t="shared" si="102"/>
        <v>0.46666666666666667</v>
      </c>
      <c r="I595" s="12">
        <v>0.02</v>
      </c>
      <c r="J595" s="12">
        <v>7.0000000000000007E-2</v>
      </c>
      <c r="K595" s="12">
        <f t="shared" si="103"/>
        <v>0.14473333333333332</v>
      </c>
      <c r="L595" s="12">
        <f t="shared" si="104"/>
        <v>0.70140000000000002</v>
      </c>
      <c r="M595" s="2">
        <f>L595*250</f>
        <v>175.35</v>
      </c>
      <c r="N595" s="2"/>
      <c r="O595" s="2"/>
      <c r="P595" s="2"/>
      <c r="Q595" s="2"/>
      <c r="R595" s="28">
        <f t="shared" si="105"/>
        <v>20.634920634920633</v>
      </c>
    </row>
    <row r="596" spans="1:18" hidden="1" x14ac:dyDescent="0.25">
      <c r="A596" s="16">
        <v>45609</v>
      </c>
      <c r="B596" s="2" t="s">
        <v>40</v>
      </c>
      <c r="C596" s="2">
        <v>100</v>
      </c>
      <c r="D596" s="19">
        <v>0</v>
      </c>
      <c r="E596" s="11">
        <v>0.53</v>
      </c>
      <c r="F596" s="2">
        <f t="shared" si="100"/>
        <v>1000</v>
      </c>
      <c r="G596" s="10">
        <f t="shared" si="101"/>
        <v>0.1</v>
      </c>
      <c r="H596" s="2">
        <f t="shared" si="102"/>
        <v>0.1</v>
      </c>
      <c r="I596" s="12">
        <v>0.02</v>
      </c>
      <c r="J596" s="12">
        <v>7.0000000000000007E-2</v>
      </c>
      <c r="K596" s="12">
        <f t="shared" si="103"/>
        <v>0.10070000000000001</v>
      </c>
      <c r="L596" s="12">
        <f t="shared" si="104"/>
        <v>0.29070000000000001</v>
      </c>
      <c r="M596" s="2"/>
      <c r="N596" s="2"/>
      <c r="O596" s="2">
        <f t="shared" ref="O596:O601" si="107">L596*500</f>
        <v>145.35</v>
      </c>
      <c r="P596" s="2"/>
      <c r="Q596" s="2"/>
      <c r="R596" s="28">
        <f t="shared" si="105"/>
        <v>34.640522875816991</v>
      </c>
    </row>
    <row r="597" spans="1:18" hidden="1" x14ac:dyDescent="0.25">
      <c r="A597" s="17">
        <v>45609</v>
      </c>
      <c r="B597" s="10" t="s">
        <v>130</v>
      </c>
      <c r="C597" s="10">
        <v>320</v>
      </c>
      <c r="D597" s="19">
        <v>0.02</v>
      </c>
      <c r="E597" s="11">
        <v>0.18</v>
      </c>
      <c r="F597" s="10">
        <f t="shared" si="100"/>
        <v>980</v>
      </c>
      <c r="G597" s="10">
        <f t="shared" si="101"/>
        <v>0.32</v>
      </c>
      <c r="H597" s="12">
        <f t="shared" si="102"/>
        <v>0.32653061224489793</v>
      </c>
      <c r="I597" s="12">
        <v>0.02</v>
      </c>
      <c r="J597" s="12">
        <v>7.0000000000000007E-2</v>
      </c>
      <c r="K597" s="12">
        <f t="shared" si="103"/>
        <v>7.4975510204081636E-2</v>
      </c>
      <c r="L597" s="12">
        <f t="shared" si="104"/>
        <v>0.49150612244897962</v>
      </c>
      <c r="M597" s="12"/>
      <c r="N597" s="12"/>
      <c r="O597" s="12">
        <f t="shared" si="107"/>
        <v>245.75306122448981</v>
      </c>
      <c r="P597" s="12"/>
      <c r="Q597" s="12"/>
      <c r="R597" s="28">
        <v>16.666666666666668</v>
      </c>
    </row>
    <row r="598" spans="1:18" hidden="1" x14ac:dyDescent="0.25">
      <c r="A598" s="17">
        <v>45609</v>
      </c>
      <c r="B598" s="2" t="s">
        <v>116</v>
      </c>
      <c r="C598" s="2">
        <v>500</v>
      </c>
      <c r="D598" s="19">
        <v>0</v>
      </c>
      <c r="E598" s="11">
        <v>0.34</v>
      </c>
      <c r="F598" s="10">
        <f t="shared" si="100"/>
        <v>1000</v>
      </c>
      <c r="G598" s="10">
        <f t="shared" si="101"/>
        <v>0.5</v>
      </c>
      <c r="H598" s="12">
        <f t="shared" si="102"/>
        <v>0.5</v>
      </c>
      <c r="I598" s="12">
        <v>0.02</v>
      </c>
      <c r="J598" s="12">
        <v>7.0000000000000007E-2</v>
      </c>
      <c r="K598" s="12">
        <f t="shared" si="103"/>
        <v>0.20060000000000003</v>
      </c>
      <c r="L598" s="12">
        <f t="shared" si="104"/>
        <v>0.79060000000000008</v>
      </c>
      <c r="M598" s="2"/>
      <c r="N598" s="2"/>
      <c r="O598" s="12">
        <f t="shared" si="107"/>
        <v>395.30000000000007</v>
      </c>
      <c r="P598" s="2"/>
      <c r="Q598" s="2"/>
      <c r="R598" s="28">
        <v>16.666666666666668</v>
      </c>
    </row>
    <row r="599" spans="1:18" hidden="1" x14ac:dyDescent="0.25">
      <c r="A599" s="17">
        <v>45609</v>
      </c>
      <c r="B599" s="2" t="s">
        <v>90</v>
      </c>
      <c r="C599" s="2">
        <v>330</v>
      </c>
      <c r="D599" s="19">
        <v>0.16</v>
      </c>
      <c r="E599" s="11">
        <v>0.35</v>
      </c>
      <c r="F599" s="10">
        <f t="shared" si="100"/>
        <v>840</v>
      </c>
      <c r="G599" s="10">
        <f t="shared" si="101"/>
        <v>0.33</v>
      </c>
      <c r="H599" s="12">
        <f t="shared" si="102"/>
        <v>0.39285714285714285</v>
      </c>
      <c r="I599" s="12">
        <v>0.02</v>
      </c>
      <c r="J599" s="12">
        <v>7.0000000000000007E-2</v>
      </c>
      <c r="K599" s="12">
        <f t="shared" si="103"/>
        <v>0.16899999999999998</v>
      </c>
      <c r="L599" s="12">
        <f t="shared" si="104"/>
        <v>0.65185714285714291</v>
      </c>
      <c r="M599" s="2"/>
      <c r="N599" s="2"/>
      <c r="O599" s="12">
        <f t="shared" si="107"/>
        <v>325.92857142857144</v>
      </c>
      <c r="P599" s="2"/>
      <c r="Q599" s="2"/>
      <c r="R599" s="28">
        <v>16.666666666666668</v>
      </c>
    </row>
    <row r="600" spans="1:18" hidden="1" x14ac:dyDescent="0.25">
      <c r="A600" s="17">
        <v>45609</v>
      </c>
      <c r="B600" s="2" t="s">
        <v>91</v>
      </c>
      <c r="C600" s="2">
        <v>330</v>
      </c>
      <c r="D600" s="19">
        <v>0.16</v>
      </c>
      <c r="E600" s="11">
        <v>0.35</v>
      </c>
      <c r="F600" s="10">
        <f t="shared" si="100"/>
        <v>840</v>
      </c>
      <c r="G600" s="10">
        <f t="shared" si="101"/>
        <v>0.33</v>
      </c>
      <c r="H600" s="12">
        <f t="shared" si="102"/>
        <v>0.39285714285714285</v>
      </c>
      <c r="I600" s="12">
        <v>0.02</v>
      </c>
      <c r="J600" s="12">
        <v>7.0000000000000007E-2</v>
      </c>
      <c r="K600" s="12">
        <f t="shared" si="103"/>
        <v>0.16899999999999998</v>
      </c>
      <c r="L600" s="12">
        <f t="shared" si="104"/>
        <v>0.65185714285714291</v>
      </c>
      <c r="M600" s="2"/>
      <c r="N600" s="2"/>
      <c r="O600" s="12">
        <f t="shared" si="107"/>
        <v>325.92857142857144</v>
      </c>
      <c r="P600" s="2"/>
      <c r="Q600" s="2"/>
      <c r="R600" s="28">
        <v>16.666666666666668</v>
      </c>
    </row>
    <row r="601" spans="1:18" hidden="1" x14ac:dyDescent="0.25">
      <c r="A601" s="16">
        <v>45610</v>
      </c>
      <c r="B601" s="2" t="s">
        <v>137</v>
      </c>
      <c r="C601" s="2">
        <v>220</v>
      </c>
      <c r="D601" s="19">
        <v>0.13</v>
      </c>
      <c r="E601" s="11">
        <v>0.2</v>
      </c>
      <c r="F601" s="10">
        <f t="shared" si="100"/>
        <v>870</v>
      </c>
      <c r="G601" s="10">
        <f t="shared" si="101"/>
        <v>0.22</v>
      </c>
      <c r="H601" s="12">
        <f t="shared" si="102"/>
        <v>0.25287356321839083</v>
      </c>
      <c r="I601" s="12">
        <v>0.02</v>
      </c>
      <c r="J601" s="12">
        <v>7.0000000000000007E-2</v>
      </c>
      <c r="K601" s="12">
        <f t="shared" si="103"/>
        <v>6.8574712643678176E-2</v>
      </c>
      <c r="L601" s="12">
        <f t="shared" si="104"/>
        <v>0.411448275862069</v>
      </c>
      <c r="M601" s="2"/>
      <c r="N601" s="2"/>
      <c r="O601" s="12">
        <f t="shared" si="107"/>
        <v>205.72413793103451</v>
      </c>
      <c r="P601" s="2"/>
      <c r="Q601" s="2"/>
      <c r="R601" s="28">
        <v>16.666666666666668</v>
      </c>
    </row>
    <row r="602" spans="1:18" hidden="1" x14ac:dyDescent="0.25">
      <c r="A602" s="16">
        <v>45610</v>
      </c>
      <c r="B602" s="2" t="s">
        <v>138</v>
      </c>
      <c r="C602" s="2">
        <v>370</v>
      </c>
      <c r="D602" s="19">
        <v>0.57999999999999996</v>
      </c>
      <c r="E602" s="11">
        <v>0.42399999999999999</v>
      </c>
      <c r="F602" s="10">
        <f t="shared" si="100"/>
        <v>420</v>
      </c>
      <c r="G602" s="10">
        <f t="shared" si="101"/>
        <v>0.37</v>
      </c>
      <c r="H602" s="12">
        <f t="shared" si="102"/>
        <v>0.88095238095238093</v>
      </c>
      <c r="I602" s="12">
        <v>0.02</v>
      </c>
      <c r="J602" s="12">
        <v>7.0000000000000007E-2</v>
      </c>
      <c r="K602" s="12">
        <f t="shared" si="103"/>
        <v>0.41168380952380956</v>
      </c>
      <c r="L602" s="12">
        <f t="shared" si="104"/>
        <v>1.3826361904761906</v>
      </c>
      <c r="M602" s="2">
        <f>L602*250</f>
        <v>345.65904761904767</v>
      </c>
      <c r="N602" s="2"/>
      <c r="O602" s="12"/>
      <c r="P602" s="2"/>
      <c r="Q602" s="2"/>
      <c r="R602" s="28">
        <v>16.666666666666668</v>
      </c>
    </row>
    <row r="603" spans="1:18" hidden="1" x14ac:dyDescent="0.25">
      <c r="A603" s="16">
        <v>45610</v>
      </c>
      <c r="B603" s="2" t="s">
        <v>143</v>
      </c>
      <c r="C603" s="2">
        <v>370</v>
      </c>
      <c r="D603" s="19">
        <v>0.57999999999999996</v>
      </c>
      <c r="E603" s="11">
        <v>0.39200000000000002</v>
      </c>
      <c r="F603" s="10">
        <f t="shared" si="100"/>
        <v>420</v>
      </c>
      <c r="G603" s="10">
        <f t="shared" si="101"/>
        <v>0.37</v>
      </c>
      <c r="H603" s="12">
        <f t="shared" si="102"/>
        <v>0.88095238095238093</v>
      </c>
      <c r="I603" s="12">
        <v>0.02</v>
      </c>
      <c r="J603" s="12">
        <v>7.0000000000000007E-2</v>
      </c>
      <c r="K603" s="12">
        <f t="shared" si="103"/>
        <v>0.38061333333333336</v>
      </c>
      <c r="L603" s="12">
        <f t="shared" si="104"/>
        <v>1.3515657142857145</v>
      </c>
      <c r="M603" s="2"/>
      <c r="N603" s="2"/>
      <c r="O603" s="12">
        <f>L603*500</f>
        <v>675.78285714285721</v>
      </c>
      <c r="P603" s="2"/>
      <c r="Q603" s="2">
        <f>L603*1000</f>
        <v>1351.5657142857144</v>
      </c>
      <c r="R603" s="28">
        <v>16.666666666666668</v>
      </c>
    </row>
    <row r="604" spans="1:18" hidden="1" x14ac:dyDescent="0.25">
      <c r="A604" s="16">
        <v>45610</v>
      </c>
      <c r="B604" s="2" t="s">
        <v>142</v>
      </c>
      <c r="C604" s="2">
        <v>250</v>
      </c>
      <c r="D604" s="19">
        <v>0.64</v>
      </c>
      <c r="E604" s="11">
        <v>0.25</v>
      </c>
      <c r="F604" s="10">
        <f t="shared" si="100"/>
        <v>360</v>
      </c>
      <c r="G604" s="10">
        <f t="shared" si="101"/>
        <v>0.25</v>
      </c>
      <c r="H604" s="12">
        <f t="shared" si="102"/>
        <v>0.69444444444444442</v>
      </c>
      <c r="I604" s="12">
        <v>0.02</v>
      </c>
      <c r="J604" s="12">
        <v>7.0000000000000007E-2</v>
      </c>
      <c r="K604" s="12">
        <f t="shared" si="103"/>
        <v>0.19611111111111112</v>
      </c>
      <c r="L604" s="12">
        <f t="shared" si="104"/>
        <v>0.98055555555555562</v>
      </c>
      <c r="M604" s="2">
        <f>L604*250</f>
        <v>245.13888888888891</v>
      </c>
      <c r="N604" s="2"/>
      <c r="O604" s="12">
        <f>L604*500</f>
        <v>490.27777777777783</v>
      </c>
      <c r="P604" s="2"/>
      <c r="Q604" s="2"/>
      <c r="R604" s="28">
        <v>16.666666666666668</v>
      </c>
    </row>
    <row r="605" spans="1:18" hidden="1" x14ac:dyDescent="0.25">
      <c r="A605" s="16">
        <v>45610</v>
      </c>
      <c r="B605" s="2" t="s">
        <v>94</v>
      </c>
      <c r="C605" s="2">
        <v>170</v>
      </c>
      <c r="D605" s="19">
        <v>0.14000000000000001</v>
      </c>
      <c r="E605" s="11">
        <v>0.01</v>
      </c>
      <c r="F605" s="10">
        <f t="shared" si="100"/>
        <v>860</v>
      </c>
      <c r="G605" s="10">
        <f t="shared" si="101"/>
        <v>0.17</v>
      </c>
      <c r="H605" s="12">
        <f t="shared" si="102"/>
        <v>0.19767441860465115</v>
      </c>
      <c r="I605" s="12">
        <v>0.02</v>
      </c>
      <c r="J605" s="12">
        <v>7.0000000000000007E-2</v>
      </c>
      <c r="K605" s="12">
        <f t="shared" si="103"/>
        <v>2.8767441860465116E-3</v>
      </c>
      <c r="L605" s="12">
        <f t="shared" si="104"/>
        <v>0.29055116279069765</v>
      </c>
      <c r="M605" s="2"/>
      <c r="N605" s="2"/>
      <c r="O605" s="12">
        <f>L605*500</f>
        <v>145.27558139534884</v>
      </c>
      <c r="P605" s="2"/>
      <c r="Q605" s="2"/>
      <c r="R605" s="28">
        <v>16.666666666666668</v>
      </c>
    </row>
    <row r="606" spans="1:18" hidden="1" x14ac:dyDescent="0.25">
      <c r="A606" s="16">
        <v>45610</v>
      </c>
      <c r="B606" s="2" t="s">
        <v>95</v>
      </c>
      <c r="C606" s="2">
        <v>170</v>
      </c>
      <c r="D606" s="19">
        <v>0.14000000000000001</v>
      </c>
      <c r="E606" s="11">
        <v>0.01</v>
      </c>
      <c r="F606" s="10">
        <f t="shared" si="100"/>
        <v>860</v>
      </c>
      <c r="G606" s="10">
        <f t="shared" si="101"/>
        <v>0.17</v>
      </c>
      <c r="H606" s="12">
        <f t="shared" si="102"/>
        <v>0.19767441860465115</v>
      </c>
      <c r="I606" s="12">
        <v>0.02</v>
      </c>
      <c r="J606" s="12">
        <v>7.0000000000000007E-2</v>
      </c>
      <c r="K606" s="12">
        <f t="shared" si="103"/>
        <v>2.8767441860465116E-3</v>
      </c>
      <c r="L606" s="12">
        <f t="shared" si="104"/>
        <v>0.29055116279069765</v>
      </c>
      <c r="M606" s="2"/>
      <c r="N606" s="2"/>
      <c r="O606" s="12">
        <f>L606*500</f>
        <v>145.27558139534884</v>
      </c>
      <c r="P606" s="2"/>
      <c r="Q606" s="2"/>
      <c r="R606" s="28">
        <v>16.666666666666668</v>
      </c>
    </row>
    <row r="607" spans="1:18" hidden="1" x14ac:dyDescent="0.25">
      <c r="A607" s="16">
        <v>45611</v>
      </c>
      <c r="B607" s="2" t="s">
        <v>111</v>
      </c>
      <c r="C607" s="2">
        <v>680</v>
      </c>
      <c r="D607" s="19">
        <v>0</v>
      </c>
      <c r="E607" s="11">
        <v>0.3</v>
      </c>
      <c r="F607" s="10">
        <f t="shared" si="100"/>
        <v>1000</v>
      </c>
      <c r="G607" s="10">
        <f t="shared" si="101"/>
        <v>0.68</v>
      </c>
      <c r="H607" s="12">
        <f t="shared" si="102"/>
        <v>0.68</v>
      </c>
      <c r="I607" s="12">
        <v>0.02</v>
      </c>
      <c r="J607" s="12">
        <v>7.0000000000000007E-2</v>
      </c>
      <c r="K607" s="12">
        <f t="shared" si="103"/>
        <v>0.23099999999999998</v>
      </c>
      <c r="L607" s="12">
        <f t="shared" si="104"/>
        <v>1.0009999999999999</v>
      </c>
      <c r="M607" s="2">
        <f>L607*250</f>
        <v>250.24999999999997</v>
      </c>
      <c r="N607" s="2"/>
      <c r="O607" s="12"/>
      <c r="P607" s="2"/>
      <c r="Q607" s="2"/>
      <c r="R607" s="28">
        <v>16.666666666666668</v>
      </c>
    </row>
    <row r="608" spans="1:18" hidden="1" x14ac:dyDescent="0.25">
      <c r="A608" s="16">
        <v>45611</v>
      </c>
      <c r="B608" s="2" t="s">
        <v>160</v>
      </c>
      <c r="C608" s="2">
        <v>680</v>
      </c>
      <c r="D608" s="19">
        <v>0</v>
      </c>
      <c r="E608" s="11">
        <v>0.3</v>
      </c>
      <c r="F608" s="10">
        <f t="shared" si="100"/>
        <v>1000</v>
      </c>
      <c r="G608" s="10">
        <f t="shared" si="101"/>
        <v>0.68</v>
      </c>
      <c r="H608" s="12">
        <f t="shared" si="102"/>
        <v>0.68</v>
      </c>
      <c r="I608" s="12">
        <v>0.02</v>
      </c>
      <c r="J608" s="12">
        <v>7.0000000000000007E-2</v>
      </c>
      <c r="K608" s="12">
        <f t="shared" si="103"/>
        <v>0.23099999999999998</v>
      </c>
      <c r="L608" s="12">
        <f t="shared" si="104"/>
        <v>1.0009999999999999</v>
      </c>
      <c r="M608" s="2"/>
      <c r="N608" s="2"/>
      <c r="O608" s="12">
        <f>L608*500</f>
        <v>500.49999999999994</v>
      </c>
      <c r="P608" s="2"/>
      <c r="Q608" s="2"/>
      <c r="R608" s="28">
        <v>16.666666666666668</v>
      </c>
    </row>
    <row r="609" spans="1:18" hidden="1" x14ac:dyDescent="0.25">
      <c r="A609" s="16">
        <v>45611</v>
      </c>
      <c r="B609" s="2" t="s">
        <v>173</v>
      </c>
      <c r="C609" s="2">
        <v>680</v>
      </c>
      <c r="D609" s="19">
        <v>0</v>
      </c>
      <c r="E609" s="11">
        <v>0.3</v>
      </c>
      <c r="F609" s="10">
        <f t="shared" si="100"/>
        <v>1000</v>
      </c>
      <c r="G609" s="10">
        <f t="shared" si="101"/>
        <v>0.68</v>
      </c>
      <c r="H609" s="12">
        <f t="shared" si="102"/>
        <v>0.68</v>
      </c>
      <c r="I609" s="12">
        <v>0.02</v>
      </c>
      <c r="J609" s="12">
        <v>7.0000000000000007E-2</v>
      </c>
      <c r="K609" s="12">
        <f t="shared" si="103"/>
        <v>0.23099999999999998</v>
      </c>
      <c r="L609" s="12">
        <f t="shared" si="104"/>
        <v>1.0009999999999999</v>
      </c>
      <c r="M609" s="2"/>
      <c r="N609" s="2">
        <f>L609*300</f>
        <v>300.29999999999995</v>
      </c>
      <c r="O609" s="12"/>
      <c r="P609" s="2"/>
      <c r="Q609" s="2"/>
      <c r="R609" s="28">
        <v>16.666666666666668</v>
      </c>
    </row>
    <row r="610" spans="1:18" hidden="1" x14ac:dyDescent="0.25">
      <c r="A610" s="16">
        <v>45611</v>
      </c>
      <c r="B610" s="2" t="s">
        <v>110</v>
      </c>
      <c r="C610" s="2">
        <v>100</v>
      </c>
      <c r="D610" s="19">
        <v>0.1</v>
      </c>
      <c r="E610" s="11">
        <v>0.25</v>
      </c>
      <c r="F610" s="10">
        <f t="shared" si="100"/>
        <v>900</v>
      </c>
      <c r="G610" s="10">
        <f t="shared" si="101"/>
        <v>0.1</v>
      </c>
      <c r="H610" s="12">
        <f t="shared" si="102"/>
        <v>0.1111111111111111</v>
      </c>
      <c r="I610" s="12">
        <v>0.02</v>
      </c>
      <c r="J610" s="12">
        <v>7.0000000000000007E-2</v>
      </c>
      <c r="K610" s="12">
        <f t="shared" si="103"/>
        <v>5.0277777777777775E-2</v>
      </c>
      <c r="L610" s="12">
        <f t="shared" si="104"/>
        <v>0.25138888888888888</v>
      </c>
      <c r="M610" s="2"/>
      <c r="N610" s="2"/>
      <c r="O610" s="12">
        <f>L610*500</f>
        <v>125.69444444444444</v>
      </c>
      <c r="P610" s="2"/>
      <c r="Q610" s="2"/>
      <c r="R610" s="28">
        <v>16.666666666666668</v>
      </c>
    </row>
    <row r="611" spans="1:18" hidden="1" x14ac:dyDescent="0.25">
      <c r="A611" s="16">
        <v>45611</v>
      </c>
      <c r="B611" s="2" t="s">
        <v>118</v>
      </c>
      <c r="C611" s="2">
        <v>270</v>
      </c>
      <c r="D611" s="19">
        <v>0.33</v>
      </c>
      <c r="E611" s="11">
        <v>0.42</v>
      </c>
      <c r="F611" s="10">
        <f t="shared" si="100"/>
        <v>670</v>
      </c>
      <c r="G611" s="10">
        <f t="shared" si="101"/>
        <v>0.27</v>
      </c>
      <c r="H611" s="12">
        <f t="shared" si="102"/>
        <v>0.40298507462686567</v>
      </c>
      <c r="I611" s="12">
        <v>0.02</v>
      </c>
      <c r="J611" s="12">
        <v>7.0000000000000007E-2</v>
      </c>
      <c r="K611" s="12">
        <f t="shared" si="103"/>
        <v>0.20705373134328359</v>
      </c>
      <c r="L611" s="12">
        <f t="shared" si="104"/>
        <v>0.70003880597014922</v>
      </c>
      <c r="M611" s="2">
        <f>L611*250</f>
        <v>175.00970149253732</v>
      </c>
      <c r="N611" s="2"/>
      <c r="O611" s="12"/>
      <c r="P611" s="2"/>
      <c r="Q611" s="2"/>
      <c r="R611" s="28">
        <v>16.666666666666668</v>
      </c>
    </row>
    <row r="612" spans="1:18" hidden="1" x14ac:dyDescent="0.25">
      <c r="A612" s="16">
        <v>45611</v>
      </c>
      <c r="B612" s="2" t="s">
        <v>130</v>
      </c>
      <c r="C612" s="2">
        <v>320</v>
      </c>
      <c r="D612" s="19">
        <v>0.06</v>
      </c>
      <c r="E612" s="11">
        <v>0.14000000000000001</v>
      </c>
      <c r="F612" s="10">
        <f t="shared" si="100"/>
        <v>940</v>
      </c>
      <c r="G612" s="10">
        <f t="shared" si="101"/>
        <v>0.32</v>
      </c>
      <c r="H612" s="12">
        <f t="shared" si="102"/>
        <v>0.34042553191489361</v>
      </c>
      <c r="I612" s="12">
        <v>0.02</v>
      </c>
      <c r="J612" s="12">
        <v>7.0000000000000007E-2</v>
      </c>
      <c r="K612" s="12">
        <f t="shared" si="103"/>
        <v>6.0259574468085116E-2</v>
      </c>
      <c r="L612" s="12">
        <f t="shared" si="104"/>
        <v>0.49068510638297874</v>
      </c>
      <c r="M612" s="2"/>
      <c r="N612" s="2"/>
      <c r="O612" s="12">
        <f t="shared" ref="O612:O628" si="108">L612*500</f>
        <v>245.34255319148937</v>
      </c>
      <c r="P612" s="2"/>
      <c r="Q612" s="2"/>
      <c r="R612" s="28">
        <v>16.666666666666668</v>
      </c>
    </row>
    <row r="613" spans="1:18" hidden="1" x14ac:dyDescent="0.25">
      <c r="A613" s="16">
        <v>45611</v>
      </c>
      <c r="B613" s="2" t="s">
        <v>92</v>
      </c>
      <c r="C613" s="2">
        <v>400</v>
      </c>
      <c r="D613" s="19">
        <v>0.06</v>
      </c>
      <c r="E613" s="11">
        <v>0.26400000000000001</v>
      </c>
      <c r="F613" s="10">
        <f t="shared" si="100"/>
        <v>940</v>
      </c>
      <c r="G613" s="10">
        <f t="shared" si="101"/>
        <v>0.4</v>
      </c>
      <c r="H613" s="12">
        <f t="shared" si="102"/>
        <v>0.42553191489361702</v>
      </c>
      <c r="I613" s="12">
        <v>0.02</v>
      </c>
      <c r="J613" s="12">
        <v>7.0000000000000007E-2</v>
      </c>
      <c r="K613" s="12">
        <f t="shared" si="103"/>
        <v>0.1361004255319149</v>
      </c>
      <c r="L613" s="12">
        <f t="shared" si="104"/>
        <v>0.65163234042553198</v>
      </c>
      <c r="M613" s="2"/>
      <c r="N613" s="2"/>
      <c r="O613" s="12">
        <f t="shared" si="108"/>
        <v>325.816170212766</v>
      </c>
      <c r="P613" s="2"/>
      <c r="Q613" s="2"/>
      <c r="R613" s="28">
        <v>16.666666666666668</v>
      </c>
    </row>
    <row r="614" spans="1:18" hidden="1" x14ac:dyDescent="0.25">
      <c r="A614" s="16">
        <v>45611</v>
      </c>
      <c r="B614" s="2" t="s">
        <v>40</v>
      </c>
      <c r="C614" s="2">
        <v>200</v>
      </c>
      <c r="D614" s="19">
        <v>0.08</v>
      </c>
      <c r="E614" s="11">
        <v>0.14000000000000001</v>
      </c>
      <c r="F614" s="10">
        <f t="shared" si="100"/>
        <v>920</v>
      </c>
      <c r="G614" s="10">
        <f t="shared" si="101"/>
        <v>0.2</v>
      </c>
      <c r="H614" s="12">
        <f t="shared" si="102"/>
        <v>0.21739130434782608</v>
      </c>
      <c r="I614" s="12">
        <v>0.02</v>
      </c>
      <c r="J614" s="12">
        <v>7.0000000000000007E-2</v>
      </c>
      <c r="K614" s="12">
        <f t="shared" si="103"/>
        <v>4.3034782608695657E-2</v>
      </c>
      <c r="L614" s="12">
        <f t="shared" si="104"/>
        <v>0.35042608695652172</v>
      </c>
      <c r="M614" s="2"/>
      <c r="N614" s="2"/>
      <c r="O614" s="12">
        <f t="shared" si="108"/>
        <v>175.21304347826086</v>
      </c>
      <c r="P614" s="2"/>
      <c r="Q614" s="2"/>
      <c r="R614" s="28">
        <v>16.666666666666668</v>
      </c>
    </row>
    <row r="615" spans="1:18" hidden="1" x14ac:dyDescent="0.25">
      <c r="A615" s="16">
        <v>45612</v>
      </c>
      <c r="B615" s="2" t="s">
        <v>111</v>
      </c>
      <c r="C615" s="2">
        <v>750</v>
      </c>
      <c r="D615" s="19">
        <v>0.38</v>
      </c>
      <c r="E615" s="11">
        <v>0.216</v>
      </c>
      <c r="F615" s="10">
        <f t="shared" si="100"/>
        <v>620</v>
      </c>
      <c r="G615" s="10">
        <f t="shared" si="101"/>
        <v>0.75</v>
      </c>
      <c r="H615" s="12">
        <f t="shared" si="102"/>
        <v>1.2096774193548387</v>
      </c>
      <c r="I615" s="12">
        <v>0.02</v>
      </c>
      <c r="J615" s="12">
        <v>7.0000000000000007E-2</v>
      </c>
      <c r="K615" s="12">
        <f t="shared" si="103"/>
        <v>0.28073032258064518</v>
      </c>
      <c r="L615" s="12">
        <f t="shared" si="104"/>
        <v>1.5804077419354841</v>
      </c>
      <c r="M615" s="2">
        <f>L615*250</f>
        <v>395.10193548387099</v>
      </c>
      <c r="N615" s="2"/>
      <c r="O615" s="12">
        <f t="shared" si="108"/>
        <v>790.20387096774198</v>
      </c>
      <c r="P615" s="2"/>
      <c r="Q615" s="2"/>
      <c r="R615" s="28">
        <v>16.666666666666668</v>
      </c>
    </row>
    <row r="616" spans="1:18" hidden="1" x14ac:dyDescent="0.25">
      <c r="A616" s="16">
        <v>45612</v>
      </c>
      <c r="B616" s="2" t="s">
        <v>112</v>
      </c>
      <c r="C616" s="2">
        <v>750</v>
      </c>
      <c r="D616" s="19">
        <v>0.38</v>
      </c>
      <c r="E616" s="11">
        <v>0.224</v>
      </c>
      <c r="F616" s="10">
        <f t="shared" si="100"/>
        <v>620</v>
      </c>
      <c r="G616" s="10">
        <f t="shared" si="101"/>
        <v>0.75</v>
      </c>
      <c r="H616" s="12">
        <f t="shared" si="102"/>
        <v>1.2096774193548387</v>
      </c>
      <c r="I616" s="12">
        <v>0.02</v>
      </c>
      <c r="J616" s="12">
        <v>7.0000000000000007E-2</v>
      </c>
      <c r="K616" s="12">
        <f t="shared" si="103"/>
        <v>0.29112774193548391</v>
      </c>
      <c r="L616" s="12">
        <f t="shared" si="104"/>
        <v>1.5908051612903227</v>
      </c>
      <c r="M616" s="2"/>
      <c r="N616" s="2"/>
      <c r="O616" s="12">
        <f t="shared" si="108"/>
        <v>795.40258064516138</v>
      </c>
      <c r="P616" s="2"/>
      <c r="Q616" s="2">
        <f>L616*1000</f>
        <v>1590.8051612903228</v>
      </c>
      <c r="R616" s="28">
        <v>16.666666666666668</v>
      </c>
    </row>
    <row r="617" spans="1:18" hidden="1" x14ac:dyDescent="0.25">
      <c r="A617" s="16">
        <v>45612</v>
      </c>
      <c r="B617" s="2" t="s">
        <v>114</v>
      </c>
      <c r="C617" s="2">
        <v>570</v>
      </c>
      <c r="D617" s="19">
        <v>0.57999999999999996</v>
      </c>
      <c r="E617" s="11">
        <v>0.37</v>
      </c>
      <c r="F617" s="10">
        <f t="shared" si="100"/>
        <v>420</v>
      </c>
      <c r="G617" s="10">
        <f t="shared" si="101"/>
        <v>0.56999999999999995</v>
      </c>
      <c r="H617" s="12">
        <f t="shared" si="102"/>
        <v>1.3571428571428572</v>
      </c>
      <c r="I617" s="12">
        <v>0.02</v>
      </c>
      <c r="J617" s="12">
        <v>7.0000000000000007E-2</v>
      </c>
      <c r="K617" s="12">
        <f t="shared" si="103"/>
        <v>0.53544285714285722</v>
      </c>
      <c r="L617" s="12">
        <f t="shared" si="104"/>
        <v>1.9825857142857144</v>
      </c>
      <c r="M617" s="2">
        <f>L617*250</f>
        <v>495.6464285714286</v>
      </c>
      <c r="N617" s="2"/>
      <c r="O617" s="12">
        <f t="shared" si="108"/>
        <v>991.2928571428572</v>
      </c>
      <c r="P617" s="2"/>
      <c r="Q617" s="2">
        <f>L617*1000</f>
        <v>1982.5857142857144</v>
      </c>
      <c r="R617" s="28">
        <v>16.666666666666668</v>
      </c>
    </row>
    <row r="618" spans="1:18" hidden="1" x14ac:dyDescent="0.25">
      <c r="A618" s="16">
        <v>45612</v>
      </c>
      <c r="B618" s="2" t="s">
        <v>162</v>
      </c>
      <c r="C618" s="2">
        <v>180</v>
      </c>
      <c r="D618" s="19">
        <v>0.14000000000000001</v>
      </c>
      <c r="E618" s="11">
        <v>0.30499999999999999</v>
      </c>
      <c r="F618" s="10">
        <f t="shared" si="100"/>
        <v>860</v>
      </c>
      <c r="G618" s="10">
        <f t="shared" si="101"/>
        <v>0.18</v>
      </c>
      <c r="H618" s="12">
        <f t="shared" si="102"/>
        <v>0.20930232558139536</v>
      </c>
      <c r="I618" s="12">
        <v>0.02</v>
      </c>
      <c r="J618" s="12">
        <v>7.0000000000000007E-2</v>
      </c>
      <c r="K618" s="12">
        <f t="shared" si="103"/>
        <v>9.1287209302325575E-2</v>
      </c>
      <c r="L618" s="12">
        <f t="shared" si="104"/>
        <v>0.39058953488372095</v>
      </c>
      <c r="M618" s="2"/>
      <c r="N618" s="2"/>
      <c r="O618" s="12">
        <f t="shared" si="108"/>
        <v>195.29476744186047</v>
      </c>
      <c r="P618" s="2"/>
      <c r="Q618" s="2"/>
      <c r="R618" s="28">
        <v>16.666666666666668</v>
      </c>
    </row>
    <row r="619" spans="1:18" hidden="1" x14ac:dyDescent="0.25">
      <c r="A619" s="16">
        <v>45612</v>
      </c>
      <c r="B619" s="2" t="s">
        <v>40</v>
      </c>
      <c r="C619" s="2">
        <v>200</v>
      </c>
      <c r="D619" s="19">
        <v>0.26</v>
      </c>
      <c r="E619" s="11">
        <v>0</v>
      </c>
      <c r="F619" s="10">
        <f t="shared" si="100"/>
        <v>740</v>
      </c>
      <c r="G619" s="10">
        <f t="shared" si="101"/>
        <v>0.2</v>
      </c>
      <c r="H619" s="12">
        <f t="shared" si="102"/>
        <v>0.27027027027027029</v>
      </c>
      <c r="I619" s="12">
        <v>0.02</v>
      </c>
      <c r="J619" s="12">
        <v>7.0000000000000007E-2</v>
      </c>
      <c r="K619" s="12">
        <f t="shared" si="103"/>
        <v>0</v>
      </c>
      <c r="L619" s="12">
        <f t="shared" si="104"/>
        <v>0.36027027027027031</v>
      </c>
      <c r="M619" s="2"/>
      <c r="N619" s="2"/>
      <c r="O619" s="12">
        <f t="shared" si="108"/>
        <v>180.13513513513516</v>
      </c>
      <c r="P619" s="2"/>
      <c r="Q619" s="2"/>
      <c r="R619" s="28">
        <v>16.666666666666668</v>
      </c>
    </row>
    <row r="620" spans="1:18" hidden="1" x14ac:dyDescent="0.25">
      <c r="A620" s="16">
        <v>45612</v>
      </c>
      <c r="B620" s="2" t="s">
        <v>90</v>
      </c>
      <c r="C620" s="2">
        <v>400</v>
      </c>
      <c r="D620" s="19">
        <v>0.2</v>
      </c>
      <c r="E620" s="11">
        <v>0.105</v>
      </c>
      <c r="F620" s="10">
        <f t="shared" si="100"/>
        <v>800</v>
      </c>
      <c r="G620" s="10">
        <f t="shared" si="101"/>
        <v>0.4</v>
      </c>
      <c r="H620" s="12">
        <f t="shared" si="102"/>
        <v>0.5</v>
      </c>
      <c r="I620" s="12">
        <v>0.02</v>
      </c>
      <c r="J620" s="12">
        <v>7.0000000000000007E-2</v>
      </c>
      <c r="K620" s="12">
        <f t="shared" si="103"/>
        <v>6.1950000000000005E-2</v>
      </c>
      <c r="L620" s="12">
        <f t="shared" si="104"/>
        <v>0.65195000000000003</v>
      </c>
      <c r="M620" s="2"/>
      <c r="N620" s="2"/>
      <c r="O620" s="12">
        <f t="shared" si="108"/>
        <v>325.97500000000002</v>
      </c>
      <c r="P620" s="2"/>
      <c r="Q620" s="2"/>
      <c r="R620" s="28">
        <v>16.666666666666668</v>
      </c>
    </row>
    <row r="621" spans="1:18" hidden="1" x14ac:dyDescent="0.25">
      <c r="A621" s="16">
        <v>45612</v>
      </c>
      <c r="B621" s="2" t="s">
        <v>91</v>
      </c>
      <c r="C621" s="2">
        <v>400</v>
      </c>
      <c r="D621" s="19">
        <v>0.2</v>
      </c>
      <c r="E621" s="11">
        <v>0.105</v>
      </c>
      <c r="F621" s="10">
        <f t="shared" si="100"/>
        <v>800</v>
      </c>
      <c r="G621" s="10">
        <f t="shared" si="101"/>
        <v>0.4</v>
      </c>
      <c r="H621" s="12">
        <f t="shared" si="102"/>
        <v>0.5</v>
      </c>
      <c r="I621" s="12">
        <v>0.02</v>
      </c>
      <c r="J621" s="12">
        <v>7.0000000000000007E-2</v>
      </c>
      <c r="K621" s="12">
        <f t="shared" si="103"/>
        <v>6.1950000000000005E-2</v>
      </c>
      <c r="L621" s="12">
        <f t="shared" si="104"/>
        <v>0.65195000000000003</v>
      </c>
      <c r="M621" s="2"/>
      <c r="N621" s="2"/>
      <c r="O621" s="12">
        <f t="shared" si="108"/>
        <v>325.97500000000002</v>
      </c>
      <c r="P621" s="2"/>
      <c r="Q621" s="2"/>
      <c r="R621" s="28">
        <v>16.666666666666668</v>
      </c>
    </row>
    <row r="622" spans="1:18" hidden="1" x14ac:dyDescent="0.25">
      <c r="A622" s="16">
        <v>45612</v>
      </c>
      <c r="B622" s="2" t="s">
        <v>116</v>
      </c>
      <c r="C622" s="2">
        <v>500</v>
      </c>
      <c r="D622" s="19">
        <v>0.1</v>
      </c>
      <c r="E622" s="11">
        <v>0.22500000000000001</v>
      </c>
      <c r="F622" s="10">
        <f t="shared" si="100"/>
        <v>900</v>
      </c>
      <c r="G622" s="10">
        <f t="shared" si="101"/>
        <v>0.5</v>
      </c>
      <c r="H622" s="12">
        <f t="shared" si="102"/>
        <v>0.55555555555555558</v>
      </c>
      <c r="I622" s="12">
        <v>0.02</v>
      </c>
      <c r="J622" s="12">
        <v>7.0000000000000007E-2</v>
      </c>
      <c r="K622" s="12">
        <f t="shared" si="103"/>
        <v>0.14525000000000002</v>
      </c>
      <c r="L622" s="12">
        <f t="shared" si="104"/>
        <v>0.79080555555555565</v>
      </c>
      <c r="M622" s="2"/>
      <c r="N622" s="2"/>
      <c r="O622" s="12">
        <f t="shared" si="108"/>
        <v>395.40277777777783</v>
      </c>
      <c r="P622" s="2"/>
      <c r="Q622" s="2"/>
      <c r="R622" s="28">
        <v>16.666666666666668</v>
      </c>
    </row>
    <row r="623" spans="1:18" hidden="1" x14ac:dyDescent="0.25">
      <c r="A623" s="16">
        <v>45612</v>
      </c>
      <c r="B623" s="2" t="s">
        <v>94</v>
      </c>
      <c r="C623" s="2">
        <v>250</v>
      </c>
      <c r="D623" s="19">
        <v>0.23</v>
      </c>
      <c r="E623" s="11">
        <v>0</v>
      </c>
      <c r="F623" s="10">
        <f t="shared" si="100"/>
        <v>770</v>
      </c>
      <c r="G623" s="10">
        <f t="shared" si="101"/>
        <v>0.25</v>
      </c>
      <c r="H623" s="12">
        <f t="shared" si="102"/>
        <v>0.32467532467532467</v>
      </c>
      <c r="I623" s="12">
        <v>0.02</v>
      </c>
      <c r="J623" s="12">
        <v>7.0000000000000007E-2</v>
      </c>
      <c r="K623" s="12">
        <f t="shared" si="103"/>
        <v>0</v>
      </c>
      <c r="L623" s="12">
        <f t="shared" si="104"/>
        <v>0.4146753246753247</v>
      </c>
      <c r="M623" s="2"/>
      <c r="N623" s="2"/>
      <c r="O623" s="12">
        <f t="shared" si="108"/>
        <v>207.33766233766235</v>
      </c>
      <c r="P623" s="2"/>
      <c r="Q623" s="2"/>
      <c r="R623" s="28">
        <v>16.666666666666668</v>
      </c>
    </row>
    <row r="624" spans="1:18" hidden="1" x14ac:dyDescent="0.25">
      <c r="A624" s="16">
        <v>45612</v>
      </c>
      <c r="B624" s="2" t="s">
        <v>154</v>
      </c>
      <c r="C624" s="2">
        <v>250</v>
      </c>
      <c r="D624" s="19">
        <v>0.23</v>
      </c>
      <c r="E624" s="11">
        <v>0</v>
      </c>
      <c r="F624" s="10">
        <f t="shared" si="100"/>
        <v>770</v>
      </c>
      <c r="G624" s="10">
        <f t="shared" si="101"/>
        <v>0.25</v>
      </c>
      <c r="H624" s="12">
        <f t="shared" si="102"/>
        <v>0.32467532467532467</v>
      </c>
      <c r="I624" s="12">
        <v>0.02</v>
      </c>
      <c r="J624" s="12">
        <v>7.0000000000000007E-2</v>
      </c>
      <c r="K624" s="12">
        <f t="shared" si="103"/>
        <v>0</v>
      </c>
      <c r="L624" s="12">
        <f t="shared" si="104"/>
        <v>0.4146753246753247</v>
      </c>
      <c r="M624" s="2"/>
      <c r="N624" s="2"/>
      <c r="O624" s="12">
        <f t="shared" si="108"/>
        <v>207.33766233766235</v>
      </c>
      <c r="P624" s="2"/>
      <c r="Q624" s="2"/>
      <c r="R624" s="28">
        <v>16.666666666666668</v>
      </c>
    </row>
    <row r="625" spans="1:18" hidden="1" x14ac:dyDescent="0.25">
      <c r="A625" s="16">
        <v>45612</v>
      </c>
      <c r="B625" s="2" t="s">
        <v>93</v>
      </c>
      <c r="C625" s="2">
        <v>430</v>
      </c>
      <c r="D625" s="19">
        <v>0.11</v>
      </c>
      <c r="E625" s="11">
        <v>0.13500000000000001</v>
      </c>
      <c r="F625" s="10">
        <f t="shared" si="100"/>
        <v>890</v>
      </c>
      <c r="G625" s="10">
        <f t="shared" si="101"/>
        <v>0.43</v>
      </c>
      <c r="H625" s="12">
        <f t="shared" si="102"/>
        <v>0.48314606741573035</v>
      </c>
      <c r="I625" s="12">
        <v>0.02</v>
      </c>
      <c r="J625" s="12">
        <v>7.0000000000000007E-2</v>
      </c>
      <c r="K625" s="12">
        <f t="shared" si="103"/>
        <v>7.737471910112359E-2</v>
      </c>
      <c r="L625" s="12">
        <f t="shared" si="104"/>
        <v>0.65052078651685386</v>
      </c>
      <c r="M625" s="2"/>
      <c r="N625" s="2"/>
      <c r="O625" s="12">
        <f t="shared" si="108"/>
        <v>325.26039325842692</v>
      </c>
      <c r="P625" s="2"/>
      <c r="Q625" s="2"/>
      <c r="R625" s="28">
        <v>16.666666666666668</v>
      </c>
    </row>
    <row r="626" spans="1:18" hidden="1" x14ac:dyDescent="0.25">
      <c r="A626" s="16">
        <v>45612</v>
      </c>
      <c r="B626" s="10" t="s">
        <v>197</v>
      </c>
      <c r="C626" s="2">
        <v>430</v>
      </c>
      <c r="D626" s="19">
        <v>0.11</v>
      </c>
      <c r="E626" s="11">
        <v>0.20499999999999999</v>
      </c>
      <c r="F626" s="10">
        <f t="shared" si="100"/>
        <v>890</v>
      </c>
      <c r="G626" s="10">
        <f t="shared" si="101"/>
        <v>0.43</v>
      </c>
      <c r="H626" s="12">
        <f t="shared" si="102"/>
        <v>0.48314606741573035</v>
      </c>
      <c r="I626" s="12">
        <v>0.02</v>
      </c>
      <c r="J626" s="12">
        <v>7.0000000000000007E-2</v>
      </c>
      <c r="K626" s="12">
        <f t="shared" si="103"/>
        <v>0.1174949438202247</v>
      </c>
      <c r="L626" s="12">
        <f t="shared" si="104"/>
        <v>0.690641011235955</v>
      </c>
      <c r="M626" s="2"/>
      <c r="N626" s="2"/>
      <c r="O626" s="12">
        <f t="shared" si="108"/>
        <v>345.32050561797752</v>
      </c>
      <c r="P626" s="2"/>
      <c r="Q626" s="2"/>
      <c r="R626" s="28">
        <v>16.666666666666668</v>
      </c>
    </row>
    <row r="627" spans="1:18" hidden="1" x14ac:dyDescent="0.25">
      <c r="A627" s="16">
        <v>45612</v>
      </c>
      <c r="B627" s="2" t="s">
        <v>196</v>
      </c>
      <c r="C627" s="2">
        <v>430</v>
      </c>
      <c r="D627" s="19">
        <v>0.11</v>
      </c>
      <c r="E627" s="11">
        <v>0.31</v>
      </c>
      <c r="F627" s="10">
        <f t="shared" si="100"/>
        <v>890</v>
      </c>
      <c r="G627" s="10">
        <f t="shared" si="101"/>
        <v>0.43</v>
      </c>
      <c r="H627" s="12">
        <f t="shared" si="102"/>
        <v>0.48314606741573035</v>
      </c>
      <c r="I627" s="12">
        <v>0.02</v>
      </c>
      <c r="J627" s="12">
        <v>7.0000000000000007E-2</v>
      </c>
      <c r="K627" s="12">
        <f t="shared" si="103"/>
        <v>0.17767528089887638</v>
      </c>
      <c r="L627" s="12">
        <f t="shared" si="104"/>
        <v>0.75082134831460667</v>
      </c>
      <c r="M627" s="2"/>
      <c r="N627" s="2"/>
      <c r="O627" s="12">
        <f t="shared" si="108"/>
        <v>375.41067415730333</v>
      </c>
      <c r="P627" s="2"/>
      <c r="Q627" s="2"/>
      <c r="R627" s="28">
        <v>16.666666666666668</v>
      </c>
    </row>
    <row r="628" spans="1:18" hidden="1" x14ac:dyDescent="0.25">
      <c r="A628" s="16">
        <v>45613</v>
      </c>
      <c r="B628" s="2" t="s">
        <v>108</v>
      </c>
      <c r="C628" s="2">
        <v>380</v>
      </c>
      <c r="D628" s="19">
        <v>0.13</v>
      </c>
      <c r="E628" s="11">
        <v>0.23499999999999999</v>
      </c>
      <c r="F628" s="2">
        <f t="shared" si="100"/>
        <v>870</v>
      </c>
      <c r="G628" s="10">
        <f t="shared" si="101"/>
        <v>0.38</v>
      </c>
      <c r="H628" s="12">
        <f t="shared" si="102"/>
        <v>0.43678160919540232</v>
      </c>
      <c r="I628" s="12">
        <v>0.02</v>
      </c>
      <c r="J628" s="12">
        <v>7.0000000000000007E-2</v>
      </c>
      <c r="K628" s="12">
        <f t="shared" si="103"/>
        <v>0.12379367816091953</v>
      </c>
      <c r="L628" s="12">
        <f t="shared" si="104"/>
        <v>0.65057528735632186</v>
      </c>
      <c r="M628" s="2"/>
      <c r="N628" s="2"/>
      <c r="O628" s="12">
        <f t="shared" si="108"/>
        <v>325.28764367816092</v>
      </c>
      <c r="P628" s="2"/>
      <c r="Q628" s="2"/>
      <c r="R628" s="28">
        <v>16.666666666666668</v>
      </c>
    </row>
    <row r="629" spans="1:18" hidden="1" x14ac:dyDescent="0.25">
      <c r="A629" s="16">
        <v>45613</v>
      </c>
      <c r="B629" s="2" t="s">
        <v>111</v>
      </c>
      <c r="C629" s="2">
        <v>700</v>
      </c>
      <c r="D629" s="19">
        <v>0.37</v>
      </c>
      <c r="E629" s="11">
        <v>0.25</v>
      </c>
      <c r="F629" s="2">
        <f t="shared" si="100"/>
        <v>630</v>
      </c>
      <c r="G629" s="10">
        <f t="shared" si="101"/>
        <v>0.7</v>
      </c>
      <c r="H629" s="12">
        <f t="shared" si="102"/>
        <v>1.1111111111111112</v>
      </c>
      <c r="I629" s="12">
        <v>0.02</v>
      </c>
      <c r="J629" s="12">
        <v>7.0000000000000007E-2</v>
      </c>
      <c r="K629" s="12">
        <f t="shared" si="103"/>
        <v>0.30027777777777781</v>
      </c>
      <c r="L629" s="12">
        <f t="shared" si="104"/>
        <v>1.5013888888888891</v>
      </c>
      <c r="M629" s="2">
        <f>L629*250</f>
        <v>375.34722222222229</v>
      </c>
      <c r="N629" s="2"/>
      <c r="O629" s="12"/>
      <c r="P629" s="2"/>
      <c r="Q629" s="2">
        <f>L629*1000</f>
        <v>1501.3888888888891</v>
      </c>
      <c r="R629" s="28">
        <v>16.666666666666668</v>
      </c>
    </row>
    <row r="630" spans="1:18" hidden="1" x14ac:dyDescent="0.25">
      <c r="A630" s="16">
        <v>45613</v>
      </c>
      <c r="B630" s="2" t="s">
        <v>112</v>
      </c>
      <c r="C630" s="2">
        <v>700</v>
      </c>
      <c r="D630" s="19">
        <v>0.37</v>
      </c>
      <c r="E630" s="11">
        <v>0.24199999999999999</v>
      </c>
      <c r="F630" s="2">
        <f t="shared" si="100"/>
        <v>630</v>
      </c>
      <c r="G630" s="10">
        <f t="shared" si="101"/>
        <v>0.7</v>
      </c>
      <c r="H630" s="12">
        <f t="shared" si="102"/>
        <v>1.1111111111111112</v>
      </c>
      <c r="I630" s="12">
        <v>0.02</v>
      </c>
      <c r="J630" s="12">
        <v>7.0000000000000007E-2</v>
      </c>
      <c r="K630" s="12">
        <f t="shared" si="103"/>
        <v>0.29066888888888892</v>
      </c>
      <c r="L630" s="12">
        <f t="shared" si="104"/>
        <v>1.4917800000000001</v>
      </c>
      <c r="M630" s="2"/>
      <c r="N630" s="2"/>
      <c r="O630" s="12">
        <f t="shared" ref="O630:O635" si="109">L630*500</f>
        <v>745.8900000000001</v>
      </c>
      <c r="P630" s="2"/>
      <c r="Q630" s="2">
        <f>L630*1000</f>
        <v>1491.7800000000002</v>
      </c>
      <c r="R630" s="28">
        <v>16.666666666666668</v>
      </c>
    </row>
    <row r="631" spans="1:18" hidden="1" x14ac:dyDescent="0.25">
      <c r="A631" s="16">
        <v>45613</v>
      </c>
      <c r="B631" s="2" t="s">
        <v>40</v>
      </c>
      <c r="C631" s="2">
        <v>200</v>
      </c>
      <c r="D631" s="19">
        <v>0.2</v>
      </c>
      <c r="E631" s="11">
        <v>0.03</v>
      </c>
      <c r="F631" s="2">
        <f t="shared" si="100"/>
        <v>800</v>
      </c>
      <c r="G631" s="10">
        <f t="shared" si="101"/>
        <v>0.2</v>
      </c>
      <c r="H631" s="12">
        <f t="shared" si="102"/>
        <v>0.25</v>
      </c>
      <c r="I631" s="12">
        <v>0.02</v>
      </c>
      <c r="J631" s="12">
        <v>7.0000000000000007E-2</v>
      </c>
      <c r="K631" s="12">
        <f t="shared" si="103"/>
        <v>1.0200000000000001E-2</v>
      </c>
      <c r="L631" s="12">
        <f t="shared" si="104"/>
        <v>0.35020000000000001</v>
      </c>
      <c r="M631" s="2"/>
      <c r="N631" s="2"/>
      <c r="O631" s="12">
        <f t="shared" si="109"/>
        <v>175.1</v>
      </c>
      <c r="P631" s="2"/>
      <c r="Q631" s="2"/>
      <c r="R631" s="28">
        <v>16.666666666666668</v>
      </c>
    </row>
    <row r="632" spans="1:18" hidden="1" x14ac:dyDescent="0.25">
      <c r="A632" s="16">
        <v>45613</v>
      </c>
      <c r="B632" s="2" t="s">
        <v>93</v>
      </c>
      <c r="C632" s="2">
        <v>520</v>
      </c>
      <c r="D632" s="19">
        <v>0</v>
      </c>
      <c r="E632" s="11">
        <v>0.23</v>
      </c>
      <c r="F632" s="2">
        <f t="shared" si="100"/>
        <v>1000</v>
      </c>
      <c r="G632" s="2">
        <f t="shared" si="101"/>
        <v>0.52</v>
      </c>
      <c r="H632" s="12">
        <f t="shared" si="102"/>
        <v>0.52</v>
      </c>
      <c r="I632" s="12">
        <v>0.02</v>
      </c>
      <c r="J632" s="12">
        <v>7.0000000000000007E-2</v>
      </c>
      <c r="K632" s="12">
        <f t="shared" si="103"/>
        <v>0.14030000000000004</v>
      </c>
      <c r="L632" s="12">
        <f t="shared" si="104"/>
        <v>0.75030000000000019</v>
      </c>
      <c r="M632" s="2"/>
      <c r="N632" s="2"/>
      <c r="O632" s="12">
        <f t="shared" si="109"/>
        <v>375.15000000000009</v>
      </c>
      <c r="P632" s="2"/>
      <c r="Q632" s="2"/>
      <c r="R632" s="28">
        <v>16.666666666666668</v>
      </c>
    </row>
    <row r="633" spans="1:18" hidden="1" x14ac:dyDescent="0.25">
      <c r="A633" s="16">
        <v>45613</v>
      </c>
      <c r="B633" s="2" t="s">
        <v>137</v>
      </c>
      <c r="C633" s="2">
        <v>220</v>
      </c>
      <c r="D633" s="19">
        <v>0</v>
      </c>
      <c r="E633" s="11">
        <v>0.32400000000000001</v>
      </c>
      <c r="F633" s="2">
        <f t="shared" si="100"/>
        <v>1000</v>
      </c>
      <c r="G633" s="2">
        <f t="shared" si="101"/>
        <v>0.22</v>
      </c>
      <c r="H633" s="12">
        <f t="shared" si="102"/>
        <v>0.22</v>
      </c>
      <c r="I633" s="12">
        <v>0.02</v>
      </c>
      <c r="J633" s="12">
        <v>7.0000000000000007E-2</v>
      </c>
      <c r="K633" s="12">
        <f t="shared" si="103"/>
        <v>0.10044</v>
      </c>
      <c r="L633" s="12">
        <f t="shared" si="104"/>
        <v>0.41044000000000003</v>
      </c>
      <c r="M633" s="2"/>
      <c r="N633" s="2"/>
      <c r="O633" s="12">
        <f t="shared" si="109"/>
        <v>205.22000000000003</v>
      </c>
      <c r="P633" s="2"/>
      <c r="Q633" s="2"/>
      <c r="R633" s="28">
        <v>16.666666666666668</v>
      </c>
    </row>
    <row r="634" spans="1:18" hidden="1" x14ac:dyDescent="0.25">
      <c r="A634" s="16">
        <v>45613</v>
      </c>
      <c r="B634" s="2" t="s">
        <v>94</v>
      </c>
      <c r="C634" s="2">
        <v>240</v>
      </c>
      <c r="D634" s="19">
        <v>0.21</v>
      </c>
      <c r="E634" s="11">
        <v>0</v>
      </c>
      <c r="F634" s="2">
        <f t="shared" si="100"/>
        <v>790</v>
      </c>
      <c r="G634" s="2">
        <f t="shared" si="101"/>
        <v>0.24</v>
      </c>
      <c r="H634" s="12">
        <f t="shared" si="102"/>
        <v>0.30379746835443039</v>
      </c>
      <c r="I634" s="12">
        <v>0.02</v>
      </c>
      <c r="J634" s="12">
        <v>7.0000000000000007E-2</v>
      </c>
      <c r="K634" s="12">
        <f t="shared" si="103"/>
        <v>0</v>
      </c>
      <c r="L634" s="12">
        <f t="shared" si="104"/>
        <v>0.39379746835443041</v>
      </c>
      <c r="M634" s="2"/>
      <c r="N634" s="2"/>
      <c r="O634" s="12">
        <f t="shared" si="109"/>
        <v>196.8987341772152</v>
      </c>
      <c r="P634" s="2"/>
      <c r="Q634" s="2"/>
      <c r="R634" s="28">
        <v>16.666666666666668</v>
      </c>
    </row>
    <row r="635" spans="1:18" hidden="1" x14ac:dyDescent="0.25">
      <c r="A635" s="16">
        <v>45613</v>
      </c>
      <c r="B635" s="2" t="s">
        <v>95</v>
      </c>
      <c r="C635" s="2">
        <v>240</v>
      </c>
      <c r="D635" s="19">
        <v>0.21</v>
      </c>
      <c r="E635" s="11">
        <v>0</v>
      </c>
      <c r="F635" s="2">
        <f t="shared" si="100"/>
        <v>790</v>
      </c>
      <c r="G635" s="2">
        <f t="shared" si="101"/>
        <v>0.24</v>
      </c>
      <c r="H635" s="12">
        <f t="shared" si="102"/>
        <v>0.30379746835443039</v>
      </c>
      <c r="I635" s="12">
        <v>0.02</v>
      </c>
      <c r="J635" s="12">
        <v>7.0000000000000007E-2</v>
      </c>
      <c r="K635" s="12">
        <f t="shared" si="103"/>
        <v>0</v>
      </c>
      <c r="L635" s="12">
        <f t="shared" si="104"/>
        <v>0.39379746835443041</v>
      </c>
      <c r="M635" s="2"/>
      <c r="N635" s="2"/>
      <c r="O635" s="12">
        <f t="shared" si="109"/>
        <v>196.8987341772152</v>
      </c>
      <c r="P635" s="2"/>
      <c r="Q635" s="2"/>
      <c r="R635" s="28">
        <v>16.666666666666668</v>
      </c>
    </row>
    <row r="636" spans="1:18" hidden="1" x14ac:dyDescent="0.25">
      <c r="A636" s="16">
        <v>45615</v>
      </c>
      <c r="B636" s="2" t="s">
        <v>138</v>
      </c>
      <c r="C636" s="2">
        <v>380</v>
      </c>
      <c r="D636" s="19">
        <v>0.59</v>
      </c>
      <c r="E636" s="11">
        <v>0.47599999999999998</v>
      </c>
      <c r="F636" s="10">
        <f t="shared" si="100"/>
        <v>410</v>
      </c>
      <c r="G636" s="10">
        <f t="shared" si="101"/>
        <v>0.38</v>
      </c>
      <c r="H636" s="12">
        <f t="shared" si="102"/>
        <v>0.92682926829268297</v>
      </c>
      <c r="I636" s="12">
        <v>0.02</v>
      </c>
      <c r="J636" s="12">
        <v>7.0000000000000007E-2</v>
      </c>
      <c r="K636" s="12">
        <f t="shared" si="103"/>
        <v>0.48401073170731707</v>
      </c>
      <c r="L636" s="12">
        <f t="shared" si="104"/>
        <v>1.50084</v>
      </c>
      <c r="M636" s="2">
        <f>L636*250</f>
        <v>375.21</v>
      </c>
      <c r="N636" s="2"/>
      <c r="O636" s="12"/>
      <c r="P636" s="2"/>
      <c r="Q636" s="2"/>
      <c r="R636" s="28">
        <v>16.666666666666668</v>
      </c>
    </row>
    <row r="637" spans="1:18" hidden="1" x14ac:dyDescent="0.25">
      <c r="A637" s="16">
        <v>45615</v>
      </c>
      <c r="B637" s="2" t="s">
        <v>143</v>
      </c>
      <c r="C637" s="2">
        <v>380</v>
      </c>
      <c r="D637" s="19">
        <v>0.59</v>
      </c>
      <c r="E637" s="11">
        <v>0.42599999999999999</v>
      </c>
      <c r="F637" s="10">
        <f t="shared" si="100"/>
        <v>410</v>
      </c>
      <c r="G637" s="10">
        <f t="shared" si="101"/>
        <v>0.38</v>
      </c>
      <c r="H637" s="12">
        <f t="shared" si="102"/>
        <v>0.92682926829268297</v>
      </c>
      <c r="I637" s="12">
        <v>0.02</v>
      </c>
      <c r="J637" s="12">
        <v>7.0000000000000007E-2</v>
      </c>
      <c r="K637" s="12">
        <f t="shared" si="103"/>
        <v>0.43316926829268293</v>
      </c>
      <c r="L637" s="12">
        <f t="shared" si="104"/>
        <v>1.4499985365853658</v>
      </c>
      <c r="M637" s="2"/>
      <c r="N637" s="2"/>
      <c r="O637" s="12">
        <f>L637*500</f>
        <v>724.99926829268293</v>
      </c>
      <c r="P637" s="2"/>
      <c r="Q637" s="2">
        <f>L637*1000</f>
        <v>1449.9985365853659</v>
      </c>
      <c r="R637" s="28">
        <v>16.666666666666668</v>
      </c>
    </row>
    <row r="638" spans="1:18" hidden="1" x14ac:dyDescent="0.25">
      <c r="A638" s="16">
        <v>45615</v>
      </c>
      <c r="B638" s="2" t="s">
        <v>111</v>
      </c>
      <c r="C638" s="2">
        <v>700</v>
      </c>
      <c r="D638" s="19">
        <v>0.35</v>
      </c>
      <c r="E638" s="11">
        <v>0.185</v>
      </c>
      <c r="F638" s="2">
        <f t="shared" si="100"/>
        <v>650</v>
      </c>
      <c r="G638" s="10">
        <f t="shared" si="101"/>
        <v>0.7</v>
      </c>
      <c r="H638" s="12">
        <f t="shared" si="102"/>
        <v>1.0769230769230769</v>
      </c>
      <c r="I638" s="12">
        <v>0.02</v>
      </c>
      <c r="J638" s="12">
        <v>7.0000000000000007E-2</v>
      </c>
      <c r="K638" s="12">
        <f t="shared" si="103"/>
        <v>0.21588076923076924</v>
      </c>
      <c r="L638" s="12">
        <f t="shared" si="104"/>
        <v>1.3828038461538461</v>
      </c>
      <c r="M638" s="2">
        <f>L638*250</f>
        <v>345.70096153846151</v>
      </c>
      <c r="N638" s="2"/>
      <c r="O638" s="12"/>
      <c r="P638" s="2"/>
      <c r="Q638" s="2">
        <f>L638*1000</f>
        <v>1382.8038461538461</v>
      </c>
      <c r="R638" s="28">
        <v>16.666666666666668</v>
      </c>
    </row>
    <row r="639" spans="1:18" hidden="1" x14ac:dyDescent="0.25">
      <c r="A639" s="16">
        <v>45615</v>
      </c>
      <c r="B639" s="2" t="s">
        <v>159</v>
      </c>
      <c r="C639" s="2">
        <v>420</v>
      </c>
      <c r="D639" s="19">
        <v>0</v>
      </c>
      <c r="E639" s="11">
        <v>0.35499999999999998</v>
      </c>
      <c r="F639" s="10">
        <f t="shared" si="100"/>
        <v>1000</v>
      </c>
      <c r="G639" s="10">
        <f t="shared" si="101"/>
        <v>0.42</v>
      </c>
      <c r="H639" s="12">
        <f t="shared" si="102"/>
        <v>0.42</v>
      </c>
      <c r="I639" s="12">
        <v>0.02</v>
      </c>
      <c r="J639" s="12">
        <v>7.0000000000000007E-2</v>
      </c>
      <c r="K639" s="12">
        <f t="shared" si="103"/>
        <v>0.18104999999999999</v>
      </c>
      <c r="L639" s="12">
        <f t="shared" si="104"/>
        <v>0.69104999999999994</v>
      </c>
      <c r="M639" s="12"/>
      <c r="N639" s="12"/>
      <c r="O639" s="12">
        <f t="shared" ref="O639:O653" si="110">L639*500</f>
        <v>345.52499999999998</v>
      </c>
      <c r="P639" s="12"/>
      <c r="Q639" s="12"/>
      <c r="R639" s="28">
        <f>K639/L639%</f>
        <v>26.199261992619927</v>
      </c>
    </row>
    <row r="640" spans="1:18" hidden="1" x14ac:dyDescent="0.25">
      <c r="A640" s="16">
        <v>45615</v>
      </c>
      <c r="B640" s="2" t="s">
        <v>93</v>
      </c>
      <c r="C640" s="2">
        <v>650</v>
      </c>
      <c r="D640" s="19">
        <v>7.0000000000000007E-2</v>
      </c>
      <c r="E640" s="11">
        <v>2E-3</v>
      </c>
      <c r="F640" s="2">
        <f t="shared" si="100"/>
        <v>930</v>
      </c>
      <c r="G640" s="2">
        <f t="shared" si="101"/>
        <v>0.65</v>
      </c>
      <c r="H640" s="12">
        <f t="shared" si="102"/>
        <v>0.69892473118279574</v>
      </c>
      <c r="I640" s="12">
        <v>0.02</v>
      </c>
      <c r="J640" s="12">
        <v>7.0000000000000007E-2</v>
      </c>
      <c r="K640" s="12">
        <f t="shared" si="103"/>
        <v>1.5778494623655917E-3</v>
      </c>
      <c r="L640" s="12">
        <f t="shared" si="104"/>
        <v>0.79050258064516143</v>
      </c>
      <c r="M640" s="2"/>
      <c r="N640" s="2"/>
      <c r="O640" s="12">
        <f t="shared" si="110"/>
        <v>395.2512903225807</v>
      </c>
      <c r="P640" s="2"/>
      <c r="Q640" s="2"/>
      <c r="R640" s="28">
        <v>16.666666666666668</v>
      </c>
    </row>
    <row r="641" spans="1:18" hidden="1" x14ac:dyDescent="0.25">
      <c r="A641" s="16">
        <v>45615</v>
      </c>
      <c r="B641" s="2" t="s">
        <v>90</v>
      </c>
      <c r="C641" s="2">
        <v>370</v>
      </c>
      <c r="D641" s="19">
        <v>0.23</v>
      </c>
      <c r="E641" s="11">
        <v>0.14000000000000001</v>
      </c>
      <c r="F641" s="10">
        <f t="shared" si="100"/>
        <v>770</v>
      </c>
      <c r="G641" s="10">
        <f t="shared" si="101"/>
        <v>0.37</v>
      </c>
      <c r="H641" s="12">
        <f t="shared" si="102"/>
        <v>0.48051948051948051</v>
      </c>
      <c r="I641" s="12">
        <v>0.02</v>
      </c>
      <c r="J641" s="12">
        <v>7.0000000000000007E-2</v>
      </c>
      <c r="K641" s="12">
        <f t="shared" si="103"/>
        <v>7.9872727272727262E-2</v>
      </c>
      <c r="L641" s="12">
        <f t="shared" si="104"/>
        <v>0.65039220779220774</v>
      </c>
      <c r="M641" s="2"/>
      <c r="N641" s="2"/>
      <c r="O641" s="12">
        <f t="shared" si="110"/>
        <v>325.19610389610386</v>
      </c>
      <c r="P641" s="2"/>
      <c r="Q641" s="2"/>
      <c r="R641" s="28">
        <v>16.666666666666668</v>
      </c>
    </row>
    <row r="642" spans="1:18" hidden="1" x14ac:dyDescent="0.25">
      <c r="A642" s="16">
        <v>45615</v>
      </c>
      <c r="B642" s="2" t="s">
        <v>91</v>
      </c>
      <c r="C642" s="2">
        <v>370</v>
      </c>
      <c r="D642" s="19">
        <v>0.23</v>
      </c>
      <c r="E642" s="11">
        <v>0.14000000000000001</v>
      </c>
      <c r="F642" s="10">
        <f t="shared" si="100"/>
        <v>770</v>
      </c>
      <c r="G642" s="10">
        <f t="shared" si="101"/>
        <v>0.37</v>
      </c>
      <c r="H642" s="12">
        <f t="shared" si="102"/>
        <v>0.48051948051948051</v>
      </c>
      <c r="I642" s="12">
        <v>0.02</v>
      </c>
      <c r="J642" s="12">
        <v>7.0000000000000007E-2</v>
      </c>
      <c r="K642" s="12">
        <f t="shared" si="103"/>
        <v>7.9872727272727262E-2</v>
      </c>
      <c r="L642" s="12">
        <f t="shared" si="104"/>
        <v>0.65039220779220774</v>
      </c>
      <c r="M642" s="2"/>
      <c r="N642" s="2"/>
      <c r="O642" s="12">
        <f t="shared" si="110"/>
        <v>325.19610389610386</v>
      </c>
      <c r="P642" s="2"/>
      <c r="Q642" s="2"/>
      <c r="R642" s="28">
        <v>16.666666666666668</v>
      </c>
    </row>
    <row r="643" spans="1:18" hidden="1" x14ac:dyDescent="0.25">
      <c r="A643" s="16">
        <v>45615</v>
      </c>
      <c r="B643" s="2" t="s">
        <v>137</v>
      </c>
      <c r="C643" s="2">
        <v>110</v>
      </c>
      <c r="D643" s="19">
        <v>0</v>
      </c>
      <c r="E643" s="11">
        <v>0.45</v>
      </c>
      <c r="F643" s="10">
        <f t="shared" si="100"/>
        <v>1000</v>
      </c>
      <c r="G643" s="2">
        <f t="shared" si="101"/>
        <v>0.11</v>
      </c>
      <c r="H643" s="12">
        <f t="shared" si="102"/>
        <v>0.11</v>
      </c>
      <c r="I643" s="12">
        <v>0.02</v>
      </c>
      <c r="J643" s="12">
        <v>7.0000000000000007E-2</v>
      </c>
      <c r="K643" s="12">
        <f t="shared" si="103"/>
        <v>9.0000000000000011E-2</v>
      </c>
      <c r="L643" s="12">
        <f t="shared" si="104"/>
        <v>0.29000000000000004</v>
      </c>
      <c r="M643" s="2"/>
      <c r="N643" s="2"/>
      <c r="O643" s="12">
        <f t="shared" si="110"/>
        <v>145.00000000000003</v>
      </c>
      <c r="P643" s="2"/>
      <c r="Q643" s="2"/>
      <c r="R643" s="28">
        <v>16.666666666666668</v>
      </c>
    </row>
    <row r="644" spans="1:18" hidden="1" x14ac:dyDescent="0.25">
      <c r="A644" s="16">
        <v>45617</v>
      </c>
      <c r="B644" s="2" t="s">
        <v>196</v>
      </c>
      <c r="C644" s="2">
        <v>430</v>
      </c>
      <c r="D644" s="19">
        <v>0</v>
      </c>
      <c r="E644" s="11">
        <v>0.25</v>
      </c>
      <c r="F644" s="10">
        <f t="shared" si="100"/>
        <v>1000</v>
      </c>
      <c r="G644" s="2">
        <f t="shared" si="101"/>
        <v>0.43</v>
      </c>
      <c r="H644" s="12">
        <f t="shared" si="102"/>
        <v>0.43</v>
      </c>
      <c r="I644" s="12">
        <v>0.02</v>
      </c>
      <c r="J644" s="12">
        <v>7.0000000000000007E-2</v>
      </c>
      <c r="K644" s="12">
        <f t="shared" si="103"/>
        <v>0.13</v>
      </c>
      <c r="L644" s="12">
        <f t="shared" si="104"/>
        <v>0.65</v>
      </c>
      <c r="M644" s="2"/>
      <c r="N644" s="2"/>
      <c r="O644" s="12">
        <f t="shared" si="110"/>
        <v>325</v>
      </c>
      <c r="P644" s="2"/>
      <c r="Q644" s="2"/>
      <c r="R644" s="28">
        <v>16.666666666666668</v>
      </c>
    </row>
    <row r="645" spans="1:18" hidden="1" x14ac:dyDescent="0.25">
      <c r="A645" s="16">
        <v>45617</v>
      </c>
      <c r="B645" s="10" t="s">
        <v>197</v>
      </c>
      <c r="C645" s="2">
        <v>430</v>
      </c>
      <c r="D645" s="19">
        <v>0</v>
      </c>
      <c r="E645" s="11">
        <v>0.25</v>
      </c>
      <c r="F645" s="10">
        <f t="shared" si="100"/>
        <v>1000</v>
      </c>
      <c r="G645" s="2">
        <f t="shared" si="101"/>
        <v>0.43</v>
      </c>
      <c r="H645" s="12">
        <f t="shared" si="102"/>
        <v>0.43</v>
      </c>
      <c r="I645" s="12">
        <v>0.02</v>
      </c>
      <c r="J645" s="12">
        <v>7.0000000000000007E-2</v>
      </c>
      <c r="K645" s="12">
        <f t="shared" si="103"/>
        <v>0.13</v>
      </c>
      <c r="L645" s="12">
        <f t="shared" si="104"/>
        <v>0.65</v>
      </c>
      <c r="M645" s="2"/>
      <c r="N645" s="2"/>
      <c r="O645" s="12">
        <f t="shared" si="110"/>
        <v>325</v>
      </c>
      <c r="P645" s="2"/>
      <c r="Q645" s="2"/>
      <c r="R645" s="28">
        <v>16.666666666666668</v>
      </c>
    </row>
    <row r="646" spans="1:18" hidden="1" x14ac:dyDescent="0.25">
      <c r="A646" s="16">
        <v>45617</v>
      </c>
      <c r="B646" s="2" t="s">
        <v>93</v>
      </c>
      <c r="C646" s="2">
        <v>430</v>
      </c>
      <c r="D646" s="19">
        <v>0</v>
      </c>
      <c r="E646" s="11">
        <v>0.44500000000000001</v>
      </c>
      <c r="F646" s="2">
        <f t="shared" si="100"/>
        <v>1000</v>
      </c>
      <c r="G646" s="2">
        <f t="shared" si="101"/>
        <v>0.43</v>
      </c>
      <c r="H646" s="12">
        <f t="shared" si="102"/>
        <v>0.43</v>
      </c>
      <c r="I646" s="12">
        <v>0.02</v>
      </c>
      <c r="J646" s="12">
        <v>7.0000000000000007E-2</v>
      </c>
      <c r="K646" s="12">
        <f t="shared" si="103"/>
        <v>0.23140000000000002</v>
      </c>
      <c r="L646" s="12">
        <f t="shared" si="104"/>
        <v>0.75140000000000007</v>
      </c>
      <c r="M646" s="2"/>
      <c r="N646" s="2"/>
      <c r="O646" s="12">
        <f t="shared" si="110"/>
        <v>375.70000000000005</v>
      </c>
      <c r="P646" s="2"/>
      <c r="Q646" s="2"/>
      <c r="R646" s="28">
        <v>16.666666666666668</v>
      </c>
    </row>
    <row r="647" spans="1:18" hidden="1" x14ac:dyDescent="0.25">
      <c r="A647" s="16">
        <v>45617</v>
      </c>
      <c r="B647" s="2" t="s">
        <v>94</v>
      </c>
      <c r="C647" s="2">
        <v>190</v>
      </c>
      <c r="D647" s="19">
        <v>0.18</v>
      </c>
      <c r="E647" s="11">
        <v>0.09</v>
      </c>
      <c r="F647" s="2">
        <f t="shared" ref="F647:F710" si="111">1000-1000*D647</f>
        <v>820</v>
      </c>
      <c r="G647" s="2">
        <f t="shared" ref="G647:G710" si="112">C647/1000</f>
        <v>0.19</v>
      </c>
      <c r="H647" s="12">
        <f t="shared" ref="H647:H710" si="113">C647/F647</f>
        <v>0.23170731707317074</v>
      </c>
      <c r="I647" s="12">
        <v>0.02</v>
      </c>
      <c r="J647" s="12">
        <v>7.0000000000000007E-2</v>
      </c>
      <c r="K647" s="12">
        <f t="shared" ref="K647:K710" si="114">SUM(H647:J647)*E647</f>
        <v>2.8953658536585367E-2</v>
      </c>
      <c r="L647" s="12">
        <f t="shared" ref="L647:L710" si="115">SUM(H647:K647)</f>
        <v>0.35066097560975612</v>
      </c>
      <c r="M647" s="2"/>
      <c r="N647" s="2"/>
      <c r="O647" s="12">
        <f t="shared" si="110"/>
        <v>175.33048780487806</v>
      </c>
      <c r="P647" s="2"/>
      <c r="Q647" s="2"/>
      <c r="R647" s="28">
        <v>16.666666666666668</v>
      </c>
    </row>
    <row r="648" spans="1:18" hidden="1" x14ac:dyDescent="0.25">
      <c r="A648" s="16">
        <v>45617</v>
      </c>
      <c r="B648" s="2" t="s">
        <v>95</v>
      </c>
      <c r="C648" s="2">
        <v>190</v>
      </c>
      <c r="D648" s="19">
        <v>0.18</v>
      </c>
      <c r="E648" s="11">
        <v>0.09</v>
      </c>
      <c r="F648" s="2">
        <f t="shared" si="111"/>
        <v>820</v>
      </c>
      <c r="G648" s="2">
        <f t="shared" si="112"/>
        <v>0.19</v>
      </c>
      <c r="H648" s="12">
        <f t="shared" si="113"/>
        <v>0.23170731707317074</v>
      </c>
      <c r="I648" s="12">
        <v>0.02</v>
      </c>
      <c r="J648" s="12">
        <v>7.0000000000000007E-2</v>
      </c>
      <c r="K648" s="12">
        <f t="shared" si="114"/>
        <v>2.8953658536585367E-2</v>
      </c>
      <c r="L648" s="12">
        <f t="shared" si="115"/>
        <v>0.35066097560975612</v>
      </c>
      <c r="M648" s="2"/>
      <c r="N648" s="2"/>
      <c r="O648" s="12">
        <f t="shared" si="110"/>
        <v>175.33048780487806</v>
      </c>
      <c r="P648" s="2"/>
      <c r="Q648" s="2"/>
      <c r="R648" s="28">
        <v>16.666666666666668</v>
      </c>
    </row>
    <row r="649" spans="1:18" hidden="1" x14ac:dyDescent="0.25">
      <c r="A649" s="16">
        <v>45617</v>
      </c>
      <c r="B649" s="2" t="s">
        <v>137</v>
      </c>
      <c r="C649" s="2">
        <v>180</v>
      </c>
      <c r="D649" s="19">
        <v>0</v>
      </c>
      <c r="E649" s="11">
        <v>0.45</v>
      </c>
      <c r="F649" s="2">
        <f t="shared" si="111"/>
        <v>1000</v>
      </c>
      <c r="G649" s="2">
        <f t="shared" si="112"/>
        <v>0.18</v>
      </c>
      <c r="H649" s="12">
        <f t="shared" si="113"/>
        <v>0.18</v>
      </c>
      <c r="I649" s="12">
        <v>0.02</v>
      </c>
      <c r="J649" s="12">
        <v>7.0000000000000007E-2</v>
      </c>
      <c r="K649" s="12">
        <f t="shared" si="114"/>
        <v>0.12150000000000001</v>
      </c>
      <c r="L649" s="12">
        <f t="shared" si="115"/>
        <v>0.39150000000000001</v>
      </c>
      <c r="M649" s="2"/>
      <c r="N649" s="2"/>
      <c r="O649" s="12">
        <f t="shared" si="110"/>
        <v>195.75</v>
      </c>
      <c r="P649" s="2"/>
      <c r="Q649" s="2"/>
      <c r="R649" s="28">
        <v>16.666666666666668</v>
      </c>
    </row>
    <row r="650" spans="1:18" hidden="1" x14ac:dyDescent="0.25">
      <c r="A650" s="16">
        <v>45617</v>
      </c>
      <c r="B650" s="2" t="s">
        <v>152</v>
      </c>
      <c r="C650" s="2">
        <v>180</v>
      </c>
      <c r="D650" s="19">
        <v>0</v>
      </c>
      <c r="E650" s="11">
        <v>0.45</v>
      </c>
      <c r="F650" s="2">
        <f t="shared" si="111"/>
        <v>1000</v>
      </c>
      <c r="G650" s="2">
        <f t="shared" si="112"/>
        <v>0.18</v>
      </c>
      <c r="H650" s="12">
        <f t="shared" si="113"/>
        <v>0.18</v>
      </c>
      <c r="I650" s="12">
        <v>0.02</v>
      </c>
      <c r="J650" s="12">
        <v>7.0000000000000007E-2</v>
      </c>
      <c r="K650" s="12">
        <f t="shared" si="114"/>
        <v>0.12150000000000001</v>
      </c>
      <c r="L650" s="12">
        <f t="shared" si="115"/>
        <v>0.39150000000000001</v>
      </c>
      <c r="M650" s="2"/>
      <c r="N650" s="2"/>
      <c r="O650" s="12">
        <f t="shared" si="110"/>
        <v>195.75</v>
      </c>
      <c r="P650" s="2"/>
      <c r="Q650" s="2"/>
      <c r="R650" s="28">
        <v>16.666666666666668</v>
      </c>
    </row>
    <row r="651" spans="1:18" hidden="1" x14ac:dyDescent="0.25">
      <c r="A651" s="16">
        <v>45617</v>
      </c>
      <c r="B651" s="2" t="s">
        <v>90</v>
      </c>
      <c r="C651" s="2">
        <v>360</v>
      </c>
      <c r="D651" s="19">
        <v>0.25</v>
      </c>
      <c r="E651" s="11">
        <v>0.14199999999999999</v>
      </c>
      <c r="F651" s="2">
        <f t="shared" si="111"/>
        <v>750</v>
      </c>
      <c r="G651" s="2">
        <f t="shared" si="112"/>
        <v>0.36</v>
      </c>
      <c r="H651" s="12">
        <f t="shared" si="113"/>
        <v>0.48</v>
      </c>
      <c r="I651" s="12">
        <v>0.02</v>
      </c>
      <c r="J651" s="12">
        <v>7.0000000000000007E-2</v>
      </c>
      <c r="K651" s="12">
        <f t="shared" si="114"/>
        <v>8.0939999999999998E-2</v>
      </c>
      <c r="L651" s="12">
        <f t="shared" si="115"/>
        <v>0.65094000000000007</v>
      </c>
      <c r="M651" s="2"/>
      <c r="N651" s="2"/>
      <c r="O651" s="12">
        <f t="shared" si="110"/>
        <v>325.47000000000003</v>
      </c>
      <c r="P651" s="2"/>
      <c r="Q651" s="2"/>
      <c r="R651" s="28">
        <v>16.666666666666668</v>
      </c>
    </row>
    <row r="652" spans="1:18" hidden="1" x14ac:dyDescent="0.25">
      <c r="A652" s="16">
        <v>45617</v>
      </c>
      <c r="B652" s="2" t="s">
        <v>91</v>
      </c>
      <c r="C652" s="2">
        <v>360</v>
      </c>
      <c r="D652" s="19">
        <v>0.25</v>
      </c>
      <c r="E652" s="11">
        <v>0.14199999999999999</v>
      </c>
      <c r="F652" s="2">
        <f t="shared" si="111"/>
        <v>750</v>
      </c>
      <c r="G652" s="2">
        <f t="shared" si="112"/>
        <v>0.36</v>
      </c>
      <c r="H652" s="12">
        <f t="shared" si="113"/>
        <v>0.48</v>
      </c>
      <c r="I652" s="12">
        <v>0.02</v>
      </c>
      <c r="J652" s="12">
        <v>7.0000000000000007E-2</v>
      </c>
      <c r="K652" s="12">
        <f t="shared" si="114"/>
        <v>8.0939999999999998E-2</v>
      </c>
      <c r="L652" s="12">
        <f t="shared" si="115"/>
        <v>0.65094000000000007</v>
      </c>
      <c r="M652" s="2"/>
      <c r="N652" s="2"/>
      <c r="O652" s="12">
        <f t="shared" si="110"/>
        <v>325.47000000000003</v>
      </c>
      <c r="P652" s="2"/>
      <c r="Q652" s="2"/>
      <c r="R652" s="28">
        <v>16.666666666666668</v>
      </c>
    </row>
    <row r="653" spans="1:18" hidden="1" x14ac:dyDescent="0.25">
      <c r="A653" s="16">
        <v>45618</v>
      </c>
      <c r="B653" s="2" t="s">
        <v>204</v>
      </c>
      <c r="C653" s="2">
        <v>620</v>
      </c>
      <c r="D653" s="19">
        <v>0.43</v>
      </c>
      <c r="E653" s="11">
        <v>0.23200000000000001</v>
      </c>
      <c r="F653" s="2">
        <f t="shared" si="111"/>
        <v>570</v>
      </c>
      <c r="G653" s="2">
        <f t="shared" si="112"/>
        <v>0.62</v>
      </c>
      <c r="H653" s="2">
        <f t="shared" si="113"/>
        <v>1.0877192982456141</v>
      </c>
      <c r="I653" s="12">
        <v>0.02</v>
      </c>
      <c r="J653" s="12">
        <v>7.0000000000000007E-2</v>
      </c>
      <c r="K653" s="12">
        <f t="shared" si="114"/>
        <v>0.2732308771929825</v>
      </c>
      <c r="L653" s="12">
        <f t="shared" si="115"/>
        <v>1.4509501754385967</v>
      </c>
      <c r="M653" s="2" t="s">
        <v>72</v>
      </c>
      <c r="N653" s="2"/>
      <c r="O653" s="2">
        <f t="shared" si="110"/>
        <v>725.47508771929836</v>
      </c>
      <c r="P653" s="2"/>
      <c r="Q653" s="2">
        <f>L653*1000</f>
        <v>1450.9501754385967</v>
      </c>
      <c r="R653" s="28">
        <f>K653/L653%</f>
        <v>18.831168831168831</v>
      </c>
    </row>
    <row r="654" spans="1:18" hidden="1" x14ac:dyDescent="0.25">
      <c r="A654" s="16">
        <v>45618</v>
      </c>
      <c r="B654" s="2" t="s">
        <v>205</v>
      </c>
      <c r="C654" s="2">
        <v>620</v>
      </c>
      <c r="D654" s="19">
        <v>0.43</v>
      </c>
      <c r="E654" s="11">
        <v>0.27500000000000002</v>
      </c>
      <c r="F654" s="2">
        <f t="shared" si="111"/>
        <v>570</v>
      </c>
      <c r="G654" s="2">
        <f t="shared" si="112"/>
        <v>0.62</v>
      </c>
      <c r="H654" s="2">
        <f t="shared" si="113"/>
        <v>1.0877192982456141</v>
      </c>
      <c r="I654" s="12">
        <v>0.02</v>
      </c>
      <c r="J654" s="12">
        <v>7.0000000000000007E-2</v>
      </c>
      <c r="K654" s="12">
        <f t="shared" si="114"/>
        <v>0.3238728070175439</v>
      </c>
      <c r="L654" s="12">
        <f t="shared" si="115"/>
        <v>1.501592105263158</v>
      </c>
      <c r="M654" s="2">
        <f>L654*250</f>
        <v>375.39802631578948</v>
      </c>
      <c r="N654" s="2"/>
      <c r="O654" s="2"/>
      <c r="P654" s="2"/>
      <c r="Q654" s="2">
        <f>L654*1000</f>
        <v>1501.5921052631579</v>
      </c>
      <c r="R654" s="28">
        <f>K654/L654%</f>
        <v>21.568627450980394</v>
      </c>
    </row>
    <row r="655" spans="1:18" hidden="1" x14ac:dyDescent="0.25">
      <c r="A655" s="16">
        <v>45618</v>
      </c>
      <c r="B655" s="2" t="s">
        <v>110</v>
      </c>
      <c r="C655" s="2">
        <v>100</v>
      </c>
      <c r="D655" s="19">
        <v>0</v>
      </c>
      <c r="E655" s="11">
        <v>0.32</v>
      </c>
      <c r="F655" s="10">
        <f t="shared" si="111"/>
        <v>1000</v>
      </c>
      <c r="G655" s="10">
        <f t="shared" si="112"/>
        <v>0.1</v>
      </c>
      <c r="H655" s="12">
        <f t="shared" si="113"/>
        <v>0.1</v>
      </c>
      <c r="I655" s="12">
        <v>0.02</v>
      </c>
      <c r="J655" s="12">
        <v>7.0000000000000007E-2</v>
      </c>
      <c r="K655" s="12">
        <f t="shared" si="114"/>
        <v>6.08E-2</v>
      </c>
      <c r="L655" s="12">
        <f t="shared" si="115"/>
        <v>0.25080000000000002</v>
      </c>
      <c r="M655" s="2"/>
      <c r="N655" s="2"/>
      <c r="O655" s="12">
        <f>L655*500</f>
        <v>125.4</v>
      </c>
      <c r="P655" s="2"/>
      <c r="Q655" s="2"/>
      <c r="R655" s="28">
        <v>16.666666666666668</v>
      </c>
    </row>
    <row r="656" spans="1:18" hidden="1" x14ac:dyDescent="0.25">
      <c r="A656" s="16">
        <v>45618</v>
      </c>
      <c r="B656" s="2" t="s">
        <v>130</v>
      </c>
      <c r="C656" s="2" t="s">
        <v>72</v>
      </c>
      <c r="D656" s="19">
        <v>0.06</v>
      </c>
      <c r="E656" s="11">
        <v>0.14000000000000001</v>
      </c>
      <c r="F656" s="10">
        <f t="shared" si="111"/>
        <v>940</v>
      </c>
      <c r="G656" s="10" t="e">
        <f t="shared" si="112"/>
        <v>#VALUE!</v>
      </c>
      <c r="H656" s="12" t="e">
        <f t="shared" si="113"/>
        <v>#VALUE!</v>
      </c>
      <c r="I656" s="12">
        <v>0.02</v>
      </c>
      <c r="J656" s="12">
        <v>7.0000000000000007E-2</v>
      </c>
      <c r="K656" s="12" t="e">
        <f t="shared" si="114"/>
        <v>#VALUE!</v>
      </c>
      <c r="L656" s="12" t="e">
        <f t="shared" si="115"/>
        <v>#VALUE!</v>
      </c>
      <c r="M656" s="2"/>
      <c r="N656" s="2"/>
      <c r="O656" s="12" t="e">
        <f>L656*500</f>
        <v>#VALUE!</v>
      </c>
      <c r="P656" s="2"/>
      <c r="Q656" s="2"/>
      <c r="R656" s="28">
        <v>16.666666666666668</v>
      </c>
    </row>
    <row r="657" spans="1:18" hidden="1" x14ac:dyDescent="0.25">
      <c r="A657" s="16">
        <v>45618</v>
      </c>
      <c r="B657" s="2" t="s">
        <v>111</v>
      </c>
      <c r="C657" s="2">
        <v>650</v>
      </c>
      <c r="D657" s="19">
        <v>0.34</v>
      </c>
      <c r="E657" s="11">
        <v>0.28499999999999998</v>
      </c>
      <c r="F657" s="2">
        <f t="shared" si="111"/>
        <v>660</v>
      </c>
      <c r="G657" s="10">
        <f t="shared" si="112"/>
        <v>0.65</v>
      </c>
      <c r="H657" s="12">
        <f t="shared" si="113"/>
        <v>0.98484848484848486</v>
      </c>
      <c r="I657" s="12">
        <v>0.02</v>
      </c>
      <c r="J657" s="12">
        <v>7.0000000000000007E-2</v>
      </c>
      <c r="K657" s="12">
        <f t="shared" si="114"/>
        <v>0.30633181818181821</v>
      </c>
      <c r="L657" s="12">
        <f t="shared" si="115"/>
        <v>1.3811803030303031</v>
      </c>
      <c r="M657" s="2">
        <f>L657*250</f>
        <v>345.29507575757577</v>
      </c>
      <c r="N657" s="2"/>
      <c r="O657" s="12"/>
      <c r="P657" s="2"/>
      <c r="Q657" s="2">
        <f>L657*1000</f>
        <v>1381.1803030303031</v>
      </c>
      <c r="R657" s="28">
        <v>16.666666666666668</v>
      </c>
    </row>
    <row r="658" spans="1:18" hidden="1" x14ac:dyDescent="0.25">
      <c r="A658" s="16">
        <v>45618</v>
      </c>
      <c r="B658" s="2" t="s">
        <v>90</v>
      </c>
      <c r="C658" s="2">
        <v>380</v>
      </c>
      <c r="D658" s="19">
        <v>0.17</v>
      </c>
      <c r="E658" s="11">
        <v>0.19</v>
      </c>
      <c r="F658" s="2">
        <f t="shared" si="111"/>
        <v>830</v>
      </c>
      <c r="G658" s="10">
        <f t="shared" si="112"/>
        <v>0.38</v>
      </c>
      <c r="H658" s="12">
        <f t="shared" si="113"/>
        <v>0.45783132530120479</v>
      </c>
      <c r="I658" s="12">
        <v>0.02</v>
      </c>
      <c r="J658" s="12">
        <v>7.0000000000000007E-2</v>
      </c>
      <c r="K658" s="12">
        <f t="shared" si="114"/>
        <v>0.10408795180722892</v>
      </c>
      <c r="L658" s="12">
        <f t="shared" si="115"/>
        <v>0.65191927710843378</v>
      </c>
      <c r="M658" s="2"/>
      <c r="N658" s="2"/>
      <c r="O658" s="12">
        <f t="shared" ref="O658:O672" si="116">L658*500</f>
        <v>325.95963855421689</v>
      </c>
      <c r="P658" s="2"/>
      <c r="Q658" s="2"/>
      <c r="R658" s="28">
        <v>16.666666666666668</v>
      </c>
    </row>
    <row r="659" spans="1:18" hidden="1" x14ac:dyDescent="0.25">
      <c r="A659" s="16">
        <v>45618</v>
      </c>
      <c r="B659" s="2" t="s">
        <v>91</v>
      </c>
      <c r="C659" s="2">
        <v>380</v>
      </c>
      <c r="D659" s="19">
        <v>0.17</v>
      </c>
      <c r="E659" s="11">
        <v>0.19</v>
      </c>
      <c r="F659" s="2">
        <f t="shared" si="111"/>
        <v>830</v>
      </c>
      <c r="G659" s="2">
        <f t="shared" si="112"/>
        <v>0.38</v>
      </c>
      <c r="H659" s="12">
        <f t="shared" si="113"/>
        <v>0.45783132530120479</v>
      </c>
      <c r="I659" s="12">
        <v>0.02</v>
      </c>
      <c r="J659" s="12">
        <v>7.0000000000000007E-2</v>
      </c>
      <c r="K659" s="12">
        <f t="shared" si="114"/>
        <v>0.10408795180722892</v>
      </c>
      <c r="L659" s="12">
        <f t="shared" si="115"/>
        <v>0.65191927710843378</v>
      </c>
      <c r="M659" s="2"/>
      <c r="N659" s="2"/>
      <c r="O659" s="12">
        <f t="shared" si="116"/>
        <v>325.95963855421689</v>
      </c>
      <c r="P659" s="2"/>
      <c r="Q659" s="2"/>
      <c r="R659" s="28">
        <v>16.666666666666668</v>
      </c>
    </row>
    <row r="660" spans="1:18" hidden="1" x14ac:dyDescent="0.25">
      <c r="A660" s="16">
        <v>45618</v>
      </c>
      <c r="B660" s="2" t="s">
        <v>137</v>
      </c>
      <c r="C660" s="2">
        <v>160</v>
      </c>
      <c r="D660" s="19">
        <v>0.05</v>
      </c>
      <c r="E660" s="11">
        <v>0.51</v>
      </c>
      <c r="F660" s="2">
        <f t="shared" si="111"/>
        <v>950</v>
      </c>
      <c r="G660" s="2">
        <f t="shared" si="112"/>
        <v>0.16</v>
      </c>
      <c r="H660" s="12">
        <f t="shared" si="113"/>
        <v>0.16842105263157894</v>
      </c>
      <c r="I660" s="12">
        <v>0.02</v>
      </c>
      <c r="J660" s="12">
        <v>7.0000000000000007E-2</v>
      </c>
      <c r="K660" s="12">
        <f t="shared" si="114"/>
        <v>0.13179473684210527</v>
      </c>
      <c r="L660" s="12">
        <f t="shared" si="115"/>
        <v>0.39021578947368418</v>
      </c>
      <c r="M660" s="2"/>
      <c r="N660" s="2"/>
      <c r="O660" s="12">
        <f t="shared" si="116"/>
        <v>195.1078947368421</v>
      </c>
      <c r="P660" s="2"/>
      <c r="Q660" s="2"/>
      <c r="R660" s="28">
        <v>16.666666666666668</v>
      </c>
    </row>
    <row r="661" spans="1:18" hidden="1" x14ac:dyDescent="0.25">
      <c r="A661" s="16">
        <v>45619</v>
      </c>
      <c r="B661" s="2" t="s">
        <v>111</v>
      </c>
      <c r="C661" s="2">
        <v>680</v>
      </c>
      <c r="D661" s="19">
        <v>0.31</v>
      </c>
      <c r="E661" s="11">
        <v>0.28499999999999998</v>
      </c>
      <c r="F661" s="2">
        <f t="shared" si="111"/>
        <v>690</v>
      </c>
      <c r="G661" s="2">
        <f t="shared" si="112"/>
        <v>0.68</v>
      </c>
      <c r="H661" s="12">
        <f t="shared" si="113"/>
        <v>0.98550724637681164</v>
      </c>
      <c r="I661" s="12">
        <v>0.02</v>
      </c>
      <c r="J661" s="12">
        <v>7.0000000000000007E-2</v>
      </c>
      <c r="K661" s="12">
        <f t="shared" si="114"/>
        <v>0.30651956521739127</v>
      </c>
      <c r="L661" s="12">
        <f t="shared" si="115"/>
        <v>1.3820268115942029</v>
      </c>
      <c r="M661" s="2">
        <f>L661*250</f>
        <v>345.50670289855071</v>
      </c>
      <c r="N661" s="2"/>
      <c r="O661" s="12">
        <f t="shared" si="116"/>
        <v>691.01340579710143</v>
      </c>
      <c r="P661" s="2"/>
      <c r="Q661" s="2"/>
      <c r="R661" s="28">
        <v>16.666666666666668</v>
      </c>
    </row>
    <row r="662" spans="1:18" hidden="1" x14ac:dyDescent="0.25">
      <c r="A662" s="16">
        <v>45619</v>
      </c>
      <c r="B662" s="2" t="s">
        <v>112</v>
      </c>
      <c r="C662" s="2">
        <v>680</v>
      </c>
      <c r="D662" s="19">
        <v>0.31</v>
      </c>
      <c r="E662" s="11">
        <v>0.29399999999999998</v>
      </c>
      <c r="F662" s="2">
        <f t="shared" si="111"/>
        <v>690</v>
      </c>
      <c r="G662" s="2">
        <f t="shared" si="112"/>
        <v>0.68</v>
      </c>
      <c r="H662" s="12">
        <f t="shared" si="113"/>
        <v>0.98550724637681164</v>
      </c>
      <c r="I662" s="12">
        <v>0.02</v>
      </c>
      <c r="J662" s="12">
        <v>7.0000000000000007E-2</v>
      </c>
      <c r="K662" s="12">
        <f t="shared" si="114"/>
        <v>0.31619913043478259</v>
      </c>
      <c r="L662" s="12">
        <f t="shared" si="115"/>
        <v>1.3917063768115943</v>
      </c>
      <c r="M662" s="2"/>
      <c r="N662" s="2"/>
      <c r="O662" s="12">
        <f t="shared" si="116"/>
        <v>695.85318840579714</v>
      </c>
      <c r="P662" s="2"/>
      <c r="Q662" s="2"/>
      <c r="R662" s="28">
        <v>16.666666666666668</v>
      </c>
    </row>
    <row r="663" spans="1:18" hidden="1" x14ac:dyDescent="0.25">
      <c r="A663" s="16">
        <v>45619</v>
      </c>
      <c r="B663" s="2" t="s">
        <v>128</v>
      </c>
      <c r="C663" s="2">
        <v>290</v>
      </c>
      <c r="D663" s="19">
        <v>0.08</v>
      </c>
      <c r="E663" s="11">
        <v>0.46</v>
      </c>
      <c r="F663" s="2">
        <f t="shared" si="111"/>
        <v>920</v>
      </c>
      <c r="G663" s="2">
        <f t="shared" si="112"/>
        <v>0.28999999999999998</v>
      </c>
      <c r="H663" s="12">
        <f t="shared" si="113"/>
        <v>0.31521739130434784</v>
      </c>
      <c r="I663" s="12">
        <v>0.02</v>
      </c>
      <c r="J663" s="12">
        <v>7.0000000000000007E-2</v>
      </c>
      <c r="K663" s="12">
        <f t="shared" si="114"/>
        <v>0.18640000000000004</v>
      </c>
      <c r="L663" s="12">
        <f t="shared" si="115"/>
        <v>0.59161739130434787</v>
      </c>
      <c r="M663" s="2"/>
      <c r="N663" s="2"/>
      <c r="O663" s="12">
        <f t="shared" si="116"/>
        <v>295.80869565217392</v>
      </c>
      <c r="P663" s="2"/>
      <c r="Q663" s="2"/>
      <c r="R663" s="28">
        <v>16.666666666666668</v>
      </c>
    </row>
    <row r="664" spans="1:18" hidden="1" x14ac:dyDescent="0.25">
      <c r="A664" s="16">
        <v>45619</v>
      </c>
      <c r="B664" s="2" t="s">
        <v>40</v>
      </c>
      <c r="C664" s="2">
        <v>200</v>
      </c>
      <c r="D664" s="19">
        <v>0.04</v>
      </c>
      <c r="E664" s="11">
        <v>0.17499999999999999</v>
      </c>
      <c r="F664" s="2">
        <f t="shared" si="111"/>
        <v>960</v>
      </c>
      <c r="G664" s="2">
        <f t="shared" si="112"/>
        <v>0.2</v>
      </c>
      <c r="H664" s="12">
        <f t="shared" si="113"/>
        <v>0.20833333333333334</v>
      </c>
      <c r="I664" s="12">
        <v>0.02</v>
      </c>
      <c r="J664" s="12">
        <v>7.0000000000000007E-2</v>
      </c>
      <c r="K664" s="12">
        <f t="shared" si="114"/>
        <v>5.2208333333333329E-2</v>
      </c>
      <c r="L664" s="12">
        <f t="shared" si="115"/>
        <v>0.35054166666666664</v>
      </c>
      <c r="M664" s="2"/>
      <c r="N664" s="2"/>
      <c r="O664" s="12">
        <f t="shared" si="116"/>
        <v>175.27083333333331</v>
      </c>
      <c r="P664" s="2"/>
      <c r="Q664" s="2"/>
      <c r="R664" s="28">
        <v>16.666666666666668</v>
      </c>
    </row>
    <row r="665" spans="1:18" hidden="1" x14ac:dyDescent="0.25">
      <c r="A665" s="16">
        <v>45619</v>
      </c>
      <c r="B665" s="2" t="s">
        <v>108</v>
      </c>
      <c r="C665" s="2">
        <v>380</v>
      </c>
      <c r="D665" s="19">
        <v>0.05</v>
      </c>
      <c r="E665" s="11">
        <v>0.33</v>
      </c>
      <c r="F665" s="2">
        <f t="shared" si="111"/>
        <v>950</v>
      </c>
      <c r="G665" s="2">
        <f t="shared" si="112"/>
        <v>0.38</v>
      </c>
      <c r="H665" s="12">
        <f t="shared" si="113"/>
        <v>0.4</v>
      </c>
      <c r="I665" s="12">
        <v>0.02</v>
      </c>
      <c r="J665" s="12">
        <v>7.0000000000000007E-2</v>
      </c>
      <c r="K665" s="12">
        <f t="shared" si="114"/>
        <v>0.16170000000000001</v>
      </c>
      <c r="L665" s="12">
        <f t="shared" si="115"/>
        <v>0.65170000000000006</v>
      </c>
      <c r="M665" s="2"/>
      <c r="N665" s="2"/>
      <c r="O665" s="12">
        <f t="shared" si="116"/>
        <v>325.85000000000002</v>
      </c>
      <c r="P665" s="2"/>
      <c r="Q665" s="2"/>
      <c r="R665" s="28">
        <v>16.666666666666668</v>
      </c>
    </row>
    <row r="666" spans="1:18" hidden="1" x14ac:dyDescent="0.25">
      <c r="A666" s="16">
        <v>45619</v>
      </c>
      <c r="B666" s="2" t="s">
        <v>92</v>
      </c>
      <c r="C666" s="2">
        <v>380</v>
      </c>
      <c r="D666" s="19">
        <v>0.05</v>
      </c>
      <c r="E666" s="11">
        <v>0.33</v>
      </c>
      <c r="F666" s="2">
        <f t="shared" si="111"/>
        <v>950</v>
      </c>
      <c r="G666" s="2">
        <f t="shared" si="112"/>
        <v>0.38</v>
      </c>
      <c r="H666" s="12">
        <f t="shared" si="113"/>
        <v>0.4</v>
      </c>
      <c r="I666" s="12">
        <v>0.02</v>
      </c>
      <c r="J666" s="12">
        <v>7.0000000000000007E-2</v>
      </c>
      <c r="K666" s="12">
        <f t="shared" si="114"/>
        <v>0.16170000000000001</v>
      </c>
      <c r="L666" s="12">
        <f t="shared" si="115"/>
        <v>0.65170000000000006</v>
      </c>
      <c r="M666" s="2"/>
      <c r="N666" s="2"/>
      <c r="O666" s="12">
        <f t="shared" si="116"/>
        <v>325.85000000000002</v>
      </c>
      <c r="P666" s="2"/>
      <c r="Q666" s="2"/>
      <c r="R666" s="28">
        <v>16.666666666666668</v>
      </c>
    </row>
    <row r="667" spans="1:18" hidden="1" x14ac:dyDescent="0.25">
      <c r="A667" s="16">
        <v>45619</v>
      </c>
      <c r="B667" s="2" t="s">
        <v>94</v>
      </c>
      <c r="C667" s="2">
        <v>200</v>
      </c>
      <c r="D667" s="19">
        <v>0</v>
      </c>
      <c r="E667" s="11">
        <v>0</v>
      </c>
      <c r="F667" s="2">
        <f t="shared" si="111"/>
        <v>1000</v>
      </c>
      <c r="G667" s="2">
        <f t="shared" si="112"/>
        <v>0.2</v>
      </c>
      <c r="H667" s="12">
        <f t="shared" si="113"/>
        <v>0.2</v>
      </c>
      <c r="I667" s="12">
        <v>0.02</v>
      </c>
      <c r="J667" s="12">
        <v>7.0000000000000007E-2</v>
      </c>
      <c r="K667" s="12">
        <f t="shared" si="114"/>
        <v>0</v>
      </c>
      <c r="L667" s="12">
        <f t="shared" si="115"/>
        <v>0.29000000000000004</v>
      </c>
      <c r="M667" s="2"/>
      <c r="N667" s="2"/>
      <c r="O667" s="12">
        <f t="shared" si="116"/>
        <v>145.00000000000003</v>
      </c>
      <c r="P667" s="2"/>
      <c r="Q667" s="2"/>
      <c r="R667" s="28">
        <v>16.666666666666668</v>
      </c>
    </row>
    <row r="668" spans="1:18" hidden="1" x14ac:dyDescent="0.25">
      <c r="A668" s="16">
        <v>45619</v>
      </c>
      <c r="B668" s="2" t="s">
        <v>95</v>
      </c>
      <c r="C668" s="2">
        <v>200</v>
      </c>
      <c r="D668" s="19">
        <v>0</v>
      </c>
      <c r="E668" s="11">
        <v>0</v>
      </c>
      <c r="F668" s="2">
        <f t="shared" si="111"/>
        <v>1000</v>
      </c>
      <c r="G668" s="2">
        <f t="shared" si="112"/>
        <v>0.2</v>
      </c>
      <c r="H668" s="12">
        <f t="shared" si="113"/>
        <v>0.2</v>
      </c>
      <c r="I668" s="12">
        <v>0.02</v>
      </c>
      <c r="J668" s="12">
        <v>7.0000000000000007E-2</v>
      </c>
      <c r="K668" s="12">
        <f t="shared" si="114"/>
        <v>0</v>
      </c>
      <c r="L668" s="12">
        <f t="shared" si="115"/>
        <v>0.29000000000000004</v>
      </c>
      <c r="M668" s="2"/>
      <c r="N668" s="2"/>
      <c r="O668" s="12">
        <f t="shared" si="116"/>
        <v>145.00000000000003</v>
      </c>
      <c r="P668" s="2"/>
      <c r="Q668" s="2"/>
      <c r="R668" s="28">
        <v>16.666666666666668</v>
      </c>
    </row>
    <row r="669" spans="1:18" hidden="1" x14ac:dyDescent="0.25">
      <c r="A669" s="16">
        <v>45620</v>
      </c>
      <c r="B669" s="2" t="s">
        <v>40</v>
      </c>
      <c r="C669" s="2">
        <v>200</v>
      </c>
      <c r="D669" s="19">
        <v>0.35</v>
      </c>
      <c r="E669" s="11">
        <v>-0.12</v>
      </c>
      <c r="F669" s="2">
        <f t="shared" si="111"/>
        <v>650</v>
      </c>
      <c r="G669" s="2">
        <f t="shared" si="112"/>
        <v>0.2</v>
      </c>
      <c r="H669" s="12">
        <f t="shared" si="113"/>
        <v>0.30769230769230771</v>
      </c>
      <c r="I669" s="12">
        <v>0.02</v>
      </c>
      <c r="J669" s="12">
        <v>7.0000000000000007E-2</v>
      </c>
      <c r="K669" s="12">
        <f t="shared" si="114"/>
        <v>-4.7723076923076924E-2</v>
      </c>
      <c r="L669" s="12">
        <f t="shared" si="115"/>
        <v>0.34996923076923081</v>
      </c>
      <c r="M669" s="2"/>
      <c r="N669" s="2"/>
      <c r="O669" s="12">
        <f t="shared" si="116"/>
        <v>174.98461538461541</v>
      </c>
      <c r="P669" s="2"/>
      <c r="Q669" s="2"/>
      <c r="R669" s="28">
        <v>16.666666666666668</v>
      </c>
    </row>
    <row r="670" spans="1:18" hidden="1" x14ac:dyDescent="0.25">
      <c r="A670" s="16">
        <v>45620</v>
      </c>
      <c r="B670" s="2" t="s">
        <v>152</v>
      </c>
      <c r="C670" s="2">
        <v>160</v>
      </c>
      <c r="D670" s="19">
        <v>3.8999999999999998E-3</v>
      </c>
      <c r="E670" s="11">
        <v>0.55700000000000005</v>
      </c>
      <c r="F670" s="2">
        <f t="shared" si="111"/>
        <v>996.1</v>
      </c>
      <c r="G670" s="2">
        <f t="shared" si="112"/>
        <v>0.16</v>
      </c>
      <c r="H670" s="12">
        <f t="shared" si="113"/>
        <v>0.16062644312819999</v>
      </c>
      <c r="I670" s="12">
        <v>0.02</v>
      </c>
      <c r="J670" s="12">
        <v>7.0000000000000007E-2</v>
      </c>
      <c r="K670" s="12">
        <f t="shared" si="114"/>
        <v>0.1395989288224074</v>
      </c>
      <c r="L670" s="12">
        <f t="shared" si="115"/>
        <v>0.39022537195060736</v>
      </c>
      <c r="M670" s="2"/>
      <c r="N670" s="2"/>
      <c r="O670" s="12">
        <f t="shared" si="116"/>
        <v>195.11268597530369</v>
      </c>
      <c r="P670" s="2"/>
      <c r="Q670" s="2"/>
      <c r="R670" s="28">
        <v>16.666666666666668</v>
      </c>
    </row>
    <row r="671" spans="1:18" hidden="1" x14ac:dyDescent="0.25">
      <c r="A671" s="16">
        <v>45620</v>
      </c>
      <c r="B671" s="2" t="s">
        <v>137</v>
      </c>
      <c r="C671" s="2">
        <v>160</v>
      </c>
      <c r="D671" s="19">
        <v>3.8999999999999998E-3</v>
      </c>
      <c r="E671" s="11">
        <v>0.55700000000000005</v>
      </c>
      <c r="F671" s="2">
        <f t="shared" si="111"/>
        <v>996.1</v>
      </c>
      <c r="G671" s="2">
        <f t="shared" si="112"/>
        <v>0.16</v>
      </c>
      <c r="H671" s="12">
        <f t="shared" si="113"/>
        <v>0.16062644312819999</v>
      </c>
      <c r="I671" s="12">
        <v>0.02</v>
      </c>
      <c r="J671" s="12">
        <v>7.0000000000000007E-2</v>
      </c>
      <c r="K671" s="12">
        <f t="shared" si="114"/>
        <v>0.1395989288224074</v>
      </c>
      <c r="L671" s="12">
        <f t="shared" si="115"/>
        <v>0.39022537195060736</v>
      </c>
      <c r="M671" s="2"/>
      <c r="N671" s="2"/>
      <c r="O671" s="12">
        <f t="shared" si="116"/>
        <v>195.11268597530369</v>
      </c>
      <c r="P671" s="2"/>
      <c r="Q671" s="2"/>
      <c r="R671" s="28">
        <v>16.666666666666668</v>
      </c>
    </row>
    <row r="672" spans="1:18" hidden="1" x14ac:dyDescent="0.25">
      <c r="A672" s="16">
        <v>45620</v>
      </c>
      <c r="B672" s="2" t="s">
        <v>140</v>
      </c>
      <c r="C672" s="10">
        <v>300</v>
      </c>
      <c r="D672" s="19">
        <v>0.45</v>
      </c>
      <c r="E672" s="11">
        <v>0.496</v>
      </c>
      <c r="F672" s="10">
        <f t="shared" si="111"/>
        <v>550</v>
      </c>
      <c r="G672" s="10">
        <f t="shared" si="112"/>
        <v>0.3</v>
      </c>
      <c r="H672" s="12">
        <f t="shared" si="113"/>
        <v>0.54545454545454541</v>
      </c>
      <c r="I672" s="12">
        <v>0.02</v>
      </c>
      <c r="J672" s="12">
        <v>7.0000000000000007E-2</v>
      </c>
      <c r="K672" s="12">
        <f t="shared" si="114"/>
        <v>0.31518545454545455</v>
      </c>
      <c r="L672" s="12">
        <f t="shared" si="115"/>
        <v>0.95064000000000004</v>
      </c>
      <c r="M672" s="12" t="s">
        <v>72</v>
      </c>
      <c r="N672" s="12"/>
      <c r="O672" s="12">
        <f t="shared" si="116"/>
        <v>475.32</v>
      </c>
      <c r="P672" s="12"/>
      <c r="Q672" s="12"/>
      <c r="R672" s="28">
        <f>K672/L672%</f>
        <v>33.155080213903744</v>
      </c>
    </row>
    <row r="673" spans="1:18" hidden="1" x14ac:dyDescent="0.25">
      <c r="A673" s="16">
        <v>45620</v>
      </c>
      <c r="B673" s="2" t="s">
        <v>120</v>
      </c>
      <c r="C673" s="10">
        <v>300</v>
      </c>
      <c r="D673" s="19">
        <v>0.45</v>
      </c>
      <c r="E673" s="11">
        <v>0.54</v>
      </c>
      <c r="F673" s="10">
        <f t="shared" si="111"/>
        <v>550</v>
      </c>
      <c r="G673" s="10">
        <f t="shared" si="112"/>
        <v>0.3</v>
      </c>
      <c r="H673" s="12">
        <f t="shared" si="113"/>
        <v>0.54545454545454541</v>
      </c>
      <c r="I673" s="12">
        <v>0.02</v>
      </c>
      <c r="J673" s="12">
        <v>7.0000000000000007E-2</v>
      </c>
      <c r="K673" s="12">
        <f t="shared" si="114"/>
        <v>0.34314545454545459</v>
      </c>
      <c r="L673" s="12">
        <f t="shared" si="115"/>
        <v>0.97860000000000014</v>
      </c>
      <c r="M673" s="12">
        <f>L673*250</f>
        <v>244.65000000000003</v>
      </c>
      <c r="N673" s="12"/>
      <c r="O673" s="12"/>
      <c r="P673" s="12"/>
      <c r="Q673" s="12"/>
      <c r="R673" s="28">
        <f>K673/L673%</f>
        <v>35.064935064935064</v>
      </c>
    </row>
    <row r="674" spans="1:18" hidden="1" x14ac:dyDescent="0.25">
      <c r="A674" s="16">
        <v>45620</v>
      </c>
      <c r="B674" s="2" t="s">
        <v>90</v>
      </c>
      <c r="C674" s="2">
        <v>360</v>
      </c>
      <c r="D674" s="19">
        <v>0.22</v>
      </c>
      <c r="E674" s="11">
        <v>0.18</v>
      </c>
      <c r="F674" s="2">
        <f t="shared" si="111"/>
        <v>780</v>
      </c>
      <c r="G674" s="10">
        <f t="shared" si="112"/>
        <v>0.36</v>
      </c>
      <c r="H674" s="12">
        <f t="shared" si="113"/>
        <v>0.46153846153846156</v>
      </c>
      <c r="I674" s="12">
        <v>0.02</v>
      </c>
      <c r="J674" s="12">
        <v>7.0000000000000007E-2</v>
      </c>
      <c r="K674" s="12">
        <f t="shared" si="114"/>
        <v>9.9276923076923068E-2</v>
      </c>
      <c r="L674" s="12">
        <f t="shared" si="115"/>
        <v>0.65081538461538457</v>
      </c>
      <c r="M674" s="2"/>
      <c r="N674" s="2"/>
      <c r="O674" s="12">
        <f>L674*500</f>
        <v>325.40769230769229</v>
      </c>
      <c r="P674" s="2"/>
      <c r="Q674" s="2"/>
      <c r="R674" s="28">
        <v>16.666666666666668</v>
      </c>
    </row>
    <row r="675" spans="1:18" hidden="1" x14ac:dyDescent="0.25">
      <c r="A675" s="16">
        <v>45620</v>
      </c>
      <c r="B675" s="2" t="s">
        <v>111</v>
      </c>
      <c r="C675" s="2">
        <v>750</v>
      </c>
      <c r="D675" s="19">
        <v>0.34</v>
      </c>
      <c r="E675" s="11">
        <v>0.126</v>
      </c>
      <c r="F675" s="2">
        <f t="shared" si="111"/>
        <v>660</v>
      </c>
      <c r="G675" s="2">
        <f t="shared" si="112"/>
        <v>0.75</v>
      </c>
      <c r="H675" s="12">
        <f t="shared" si="113"/>
        <v>1.1363636363636365</v>
      </c>
      <c r="I675" s="12">
        <v>0.02</v>
      </c>
      <c r="J675" s="12">
        <v>7.0000000000000007E-2</v>
      </c>
      <c r="K675" s="12">
        <f t="shared" si="114"/>
        <v>0.1545218181818182</v>
      </c>
      <c r="L675" s="12">
        <f t="shared" si="115"/>
        <v>1.3808854545454547</v>
      </c>
      <c r="M675" s="2">
        <f>L675*250</f>
        <v>345.22136363636366</v>
      </c>
      <c r="N675" s="2"/>
      <c r="O675" s="12">
        <f>L675*500</f>
        <v>690.44272727272732</v>
      </c>
      <c r="P675" s="2"/>
      <c r="Q675" s="2"/>
      <c r="R675" s="28">
        <v>16.666666666666668</v>
      </c>
    </row>
    <row r="676" spans="1:18" hidden="1" x14ac:dyDescent="0.25">
      <c r="A676" s="16">
        <v>45620</v>
      </c>
      <c r="B676" s="2" t="s">
        <v>160</v>
      </c>
      <c r="C676" s="2">
        <v>750</v>
      </c>
      <c r="D676" s="19">
        <v>0.34</v>
      </c>
      <c r="E676" s="11">
        <v>5.1999999999999998E-2</v>
      </c>
      <c r="F676" s="10">
        <f t="shared" si="111"/>
        <v>660</v>
      </c>
      <c r="G676" s="10">
        <f t="shared" si="112"/>
        <v>0.75</v>
      </c>
      <c r="H676" s="12">
        <f t="shared" si="113"/>
        <v>1.1363636363636365</v>
      </c>
      <c r="I676" s="12">
        <v>0.02</v>
      </c>
      <c r="J676" s="12">
        <v>7.0000000000000007E-2</v>
      </c>
      <c r="K676" s="12">
        <f t="shared" si="114"/>
        <v>6.37709090909091E-2</v>
      </c>
      <c r="L676" s="12">
        <f t="shared" si="115"/>
        <v>1.2901345454545456</v>
      </c>
      <c r="M676" s="2"/>
      <c r="N676" s="2"/>
      <c r="O676" s="12">
        <f>L676*500</f>
        <v>645.06727272727278</v>
      </c>
      <c r="P676" s="2"/>
      <c r="Q676" s="2"/>
      <c r="R676" s="28">
        <v>16.666666666666668</v>
      </c>
    </row>
    <row r="677" spans="1:18" hidden="1" x14ac:dyDescent="0.25">
      <c r="A677" s="16">
        <v>45620</v>
      </c>
      <c r="B677" s="2" t="s">
        <v>113</v>
      </c>
      <c r="C677" s="2">
        <v>750</v>
      </c>
      <c r="D677" s="19">
        <v>0.34</v>
      </c>
      <c r="E677" s="11">
        <v>0.28999999999999998</v>
      </c>
      <c r="F677" s="2">
        <f t="shared" si="111"/>
        <v>660</v>
      </c>
      <c r="G677" s="10">
        <f t="shared" si="112"/>
        <v>0.75</v>
      </c>
      <c r="H677" s="12">
        <f t="shared" si="113"/>
        <v>1.1363636363636365</v>
      </c>
      <c r="I677" s="12">
        <v>0.02</v>
      </c>
      <c r="J677" s="12">
        <v>7.0000000000000007E-2</v>
      </c>
      <c r="K677" s="12">
        <f t="shared" si="114"/>
        <v>0.3556454545454546</v>
      </c>
      <c r="L677" s="12">
        <f t="shared" si="115"/>
        <v>1.5820090909090911</v>
      </c>
      <c r="M677" s="2">
        <f>L677*250</f>
        <v>395.50227272727278</v>
      </c>
      <c r="N677" s="2"/>
      <c r="O677" s="2"/>
      <c r="P677" s="2"/>
      <c r="Q677" s="2">
        <f>L677*1000</f>
        <v>1582.0090909090911</v>
      </c>
      <c r="R677" s="28">
        <f>K677/L677%</f>
        <v>22.480620155038757</v>
      </c>
    </row>
    <row r="678" spans="1:18" hidden="1" x14ac:dyDescent="0.25">
      <c r="A678" s="16">
        <v>45620</v>
      </c>
      <c r="B678" s="2" t="s">
        <v>170</v>
      </c>
      <c r="C678" s="2">
        <v>750</v>
      </c>
      <c r="D678" s="19">
        <v>0.34</v>
      </c>
      <c r="E678" s="11">
        <v>0.125</v>
      </c>
      <c r="F678" s="10">
        <f t="shared" si="111"/>
        <v>660</v>
      </c>
      <c r="G678" s="10">
        <f t="shared" si="112"/>
        <v>0.75</v>
      </c>
      <c r="H678" s="12">
        <f t="shared" si="113"/>
        <v>1.1363636363636365</v>
      </c>
      <c r="I678" s="12">
        <v>0.02</v>
      </c>
      <c r="J678" s="12">
        <v>7.0000000000000007E-2</v>
      </c>
      <c r="K678" s="12">
        <f t="shared" si="114"/>
        <v>0.15329545454545457</v>
      </c>
      <c r="L678" s="12">
        <f t="shared" si="115"/>
        <v>1.3796590909090911</v>
      </c>
      <c r="M678" s="12">
        <f>L678*250</f>
        <v>344.9147727272728</v>
      </c>
      <c r="N678" s="12"/>
      <c r="O678" s="12"/>
      <c r="P678" s="12"/>
      <c r="Q678" s="12"/>
      <c r="R678" s="28">
        <f>K678/L678%</f>
        <v>11.111111111111111</v>
      </c>
    </row>
    <row r="679" spans="1:18" hidden="1" x14ac:dyDescent="0.25">
      <c r="A679" s="16">
        <v>45622</v>
      </c>
      <c r="B679" s="2" t="s">
        <v>137</v>
      </c>
      <c r="C679" s="2">
        <v>200</v>
      </c>
      <c r="D679" s="19">
        <v>0</v>
      </c>
      <c r="E679" s="11">
        <v>0.34799999999999998</v>
      </c>
      <c r="F679" s="2">
        <f t="shared" si="111"/>
        <v>1000</v>
      </c>
      <c r="G679" s="2">
        <f t="shared" si="112"/>
        <v>0.2</v>
      </c>
      <c r="H679" s="12">
        <f t="shared" si="113"/>
        <v>0.2</v>
      </c>
      <c r="I679" s="12">
        <v>0.02</v>
      </c>
      <c r="J679" s="12">
        <v>7.0000000000000007E-2</v>
      </c>
      <c r="K679" s="12">
        <f t="shared" si="114"/>
        <v>0.10092000000000001</v>
      </c>
      <c r="L679" s="12">
        <f t="shared" si="115"/>
        <v>0.39092000000000005</v>
      </c>
      <c r="M679" s="2"/>
      <c r="N679" s="2"/>
      <c r="O679" s="12">
        <f t="shared" ref="O679:O686" si="117">L679*500</f>
        <v>195.46000000000004</v>
      </c>
      <c r="P679" s="2"/>
      <c r="Q679" s="2"/>
      <c r="R679" s="28">
        <v>16.666666666666668</v>
      </c>
    </row>
    <row r="680" spans="1:18" hidden="1" x14ac:dyDescent="0.25">
      <c r="A680" s="16">
        <v>45622</v>
      </c>
      <c r="B680" s="2" t="s">
        <v>152</v>
      </c>
      <c r="C680" s="2">
        <v>200</v>
      </c>
      <c r="D680" s="19">
        <v>0</v>
      </c>
      <c r="E680" s="11">
        <v>0.34799999999999998</v>
      </c>
      <c r="F680" s="2">
        <f t="shared" si="111"/>
        <v>1000</v>
      </c>
      <c r="G680" s="2">
        <f t="shared" si="112"/>
        <v>0.2</v>
      </c>
      <c r="H680" s="12">
        <f t="shared" si="113"/>
        <v>0.2</v>
      </c>
      <c r="I680" s="12">
        <v>0.02</v>
      </c>
      <c r="J680" s="12">
        <v>7.0000000000000007E-2</v>
      </c>
      <c r="K680" s="12">
        <f t="shared" si="114"/>
        <v>0.10092000000000001</v>
      </c>
      <c r="L680" s="12">
        <f t="shared" si="115"/>
        <v>0.39092000000000005</v>
      </c>
      <c r="M680" s="2"/>
      <c r="N680" s="2"/>
      <c r="O680" s="12">
        <f t="shared" si="117"/>
        <v>195.46000000000004</v>
      </c>
      <c r="P680" s="2"/>
      <c r="Q680" s="2"/>
      <c r="R680" s="28">
        <v>16.666666666666668</v>
      </c>
    </row>
    <row r="681" spans="1:18" hidden="1" x14ac:dyDescent="0.25">
      <c r="A681" s="16">
        <v>45622</v>
      </c>
      <c r="B681" s="2" t="s">
        <v>94</v>
      </c>
      <c r="C681" s="2">
        <v>180</v>
      </c>
      <c r="D681" s="19">
        <v>8.7499999999999994E-2</v>
      </c>
      <c r="E681" s="11">
        <v>0.22</v>
      </c>
      <c r="F681" s="2">
        <f t="shared" si="111"/>
        <v>912.5</v>
      </c>
      <c r="G681" s="2">
        <f t="shared" si="112"/>
        <v>0.18</v>
      </c>
      <c r="H681" s="12">
        <f t="shared" si="113"/>
        <v>0.19726027397260273</v>
      </c>
      <c r="I681" s="12">
        <v>0.02</v>
      </c>
      <c r="J681" s="12">
        <v>7.0000000000000007E-2</v>
      </c>
      <c r="K681" s="12">
        <f t="shared" si="114"/>
        <v>6.31972602739726E-2</v>
      </c>
      <c r="L681" s="12">
        <f t="shared" si="115"/>
        <v>0.35045753424657533</v>
      </c>
      <c r="M681" s="2"/>
      <c r="N681" s="2"/>
      <c r="O681" s="12">
        <f t="shared" si="117"/>
        <v>175.22876712328767</v>
      </c>
      <c r="P681" s="2"/>
      <c r="Q681" s="2"/>
      <c r="R681" s="28">
        <v>16.666666666666668</v>
      </c>
    </row>
    <row r="682" spans="1:18" hidden="1" x14ac:dyDescent="0.25">
      <c r="A682" s="16">
        <v>45622</v>
      </c>
      <c r="B682" s="2" t="s">
        <v>95</v>
      </c>
      <c r="C682" s="2">
        <v>180</v>
      </c>
      <c r="D682" s="19">
        <v>8.7499999999999994E-2</v>
      </c>
      <c r="E682" s="11">
        <v>0.22</v>
      </c>
      <c r="F682" s="2">
        <f t="shared" si="111"/>
        <v>912.5</v>
      </c>
      <c r="G682" s="2">
        <f t="shared" si="112"/>
        <v>0.18</v>
      </c>
      <c r="H682" s="12">
        <f t="shared" si="113"/>
        <v>0.19726027397260273</v>
      </c>
      <c r="I682" s="12">
        <v>0.02</v>
      </c>
      <c r="J682" s="12">
        <v>7.0000000000000007E-2</v>
      </c>
      <c r="K682" s="12">
        <f t="shared" si="114"/>
        <v>6.31972602739726E-2</v>
      </c>
      <c r="L682" s="12">
        <f t="shared" si="115"/>
        <v>0.35045753424657533</v>
      </c>
      <c r="M682" s="2"/>
      <c r="N682" s="2"/>
      <c r="O682" s="12">
        <f t="shared" si="117"/>
        <v>175.22876712328767</v>
      </c>
      <c r="P682" s="2"/>
      <c r="Q682" s="2"/>
      <c r="R682" s="28">
        <v>16.666666666666668</v>
      </c>
    </row>
    <row r="683" spans="1:18" hidden="1" x14ac:dyDescent="0.25">
      <c r="A683" s="16">
        <v>45622</v>
      </c>
      <c r="B683" s="2" t="s">
        <v>90</v>
      </c>
      <c r="C683" s="2">
        <v>350</v>
      </c>
      <c r="D683" s="19">
        <v>0.1</v>
      </c>
      <c r="E683" s="11">
        <v>0.36</v>
      </c>
      <c r="F683" s="2">
        <f t="shared" si="111"/>
        <v>900</v>
      </c>
      <c r="G683" s="10">
        <f t="shared" si="112"/>
        <v>0.35</v>
      </c>
      <c r="H683" s="12">
        <f t="shared" si="113"/>
        <v>0.3888888888888889</v>
      </c>
      <c r="I683" s="12">
        <v>0.02</v>
      </c>
      <c r="J683" s="12">
        <v>7.0000000000000007E-2</v>
      </c>
      <c r="K683" s="12">
        <f t="shared" si="114"/>
        <v>0.1724</v>
      </c>
      <c r="L683" s="12">
        <f t="shared" si="115"/>
        <v>0.65128888888888892</v>
      </c>
      <c r="M683" s="2"/>
      <c r="N683" s="2"/>
      <c r="O683" s="12">
        <f t="shared" si="117"/>
        <v>325.64444444444445</v>
      </c>
      <c r="P683" s="2"/>
      <c r="Q683" s="2"/>
      <c r="R683" s="28">
        <v>16.666666666666668</v>
      </c>
    </row>
    <row r="684" spans="1:18" hidden="1" x14ac:dyDescent="0.25">
      <c r="A684" s="16">
        <v>45622</v>
      </c>
      <c r="B684" s="2" t="s">
        <v>114</v>
      </c>
      <c r="C684" s="2">
        <v>580</v>
      </c>
      <c r="D684" s="19">
        <v>0.55120000000000002</v>
      </c>
      <c r="E684" s="11">
        <v>0.28899999999999998</v>
      </c>
      <c r="F684" s="10">
        <f t="shared" si="111"/>
        <v>448.79999999999995</v>
      </c>
      <c r="G684" s="10">
        <f t="shared" si="112"/>
        <v>0.57999999999999996</v>
      </c>
      <c r="H684" s="12">
        <f t="shared" si="113"/>
        <v>1.2923351158645278</v>
      </c>
      <c r="I684" s="12">
        <v>0.02</v>
      </c>
      <c r="J684" s="12">
        <v>7.0000000000000007E-2</v>
      </c>
      <c r="K684" s="12">
        <f t="shared" si="114"/>
        <v>0.39949484848484851</v>
      </c>
      <c r="L684" s="12">
        <f t="shared" si="115"/>
        <v>1.7818299643493765</v>
      </c>
      <c r="M684" s="2">
        <f>L684*250</f>
        <v>445.45749108734412</v>
      </c>
      <c r="N684" s="2"/>
      <c r="O684" s="12">
        <f t="shared" si="117"/>
        <v>890.91498217468825</v>
      </c>
      <c r="P684" s="2"/>
      <c r="Q684" s="2">
        <f>L684*1000</f>
        <v>1781.8299643493765</v>
      </c>
      <c r="R684" s="28">
        <v>16.666666666666668</v>
      </c>
    </row>
    <row r="685" spans="1:18" hidden="1" x14ac:dyDescent="0.25">
      <c r="A685" s="16">
        <v>45622</v>
      </c>
      <c r="B685" s="2" t="s">
        <v>116</v>
      </c>
      <c r="C685" s="2">
        <v>470</v>
      </c>
      <c r="D685" s="19">
        <v>0.25</v>
      </c>
      <c r="E685" s="11">
        <v>0.10299999999999999</v>
      </c>
      <c r="F685" s="10">
        <f t="shared" si="111"/>
        <v>750</v>
      </c>
      <c r="G685" s="10">
        <f t="shared" si="112"/>
        <v>0.47</v>
      </c>
      <c r="H685" s="12">
        <f t="shared" si="113"/>
        <v>0.62666666666666671</v>
      </c>
      <c r="I685" s="12">
        <v>0.02</v>
      </c>
      <c r="J685" s="12">
        <v>7.0000000000000007E-2</v>
      </c>
      <c r="K685" s="12">
        <f t="shared" si="114"/>
        <v>7.3816666666666669E-2</v>
      </c>
      <c r="L685" s="12">
        <f t="shared" si="115"/>
        <v>0.79048333333333343</v>
      </c>
      <c r="M685" s="2"/>
      <c r="N685" s="2"/>
      <c r="O685" s="12">
        <f t="shared" si="117"/>
        <v>395.24166666666673</v>
      </c>
      <c r="P685" s="2"/>
      <c r="Q685" s="2" t="s">
        <v>72</v>
      </c>
      <c r="R685" s="28">
        <v>16.666666666666668</v>
      </c>
    </row>
    <row r="686" spans="1:18" hidden="1" x14ac:dyDescent="0.25">
      <c r="A686" s="16">
        <v>45623</v>
      </c>
      <c r="B686" s="2" t="s">
        <v>40</v>
      </c>
      <c r="C686" s="2">
        <v>90</v>
      </c>
      <c r="D686" s="19">
        <v>0.18</v>
      </c>
      <c r="E686" s="11">
        <v>0.25600000000000001</v>
      </c>
      <c r="F686" s="2">
        <f t="shared" si="111"/>
        <v>820</v>
      </c>
      <c r="G686" s="2">
        <f t="shared" si="112"/>
        <v>0.09</v>
      </c>
      <c r="H686" s="12">
        <f t="shared" si="113"/>
        <v>0.10975609756097561</v>
      </c>
      <c r="I686" s="12">
        <v>0.02</v>
      </c>
      <c r="J686" s="12">
        <v>7.0000000000000007E-2</v>
      </c>
      <c r="K686" s="12">
        <f t="shared" si="114"/>
        <v>5.1137560975609758E-2</v>
      </c>
      <c r="L686" s="12">
        <f t="shared" si="115"/>
        <v>0.25089365853658541</v>
      </c>
      <c r="M686" s="2"/>
      <c r="N686" s="2"/>
      <c r="O686" s="12">
        <f t="shared" si="117"/>
        <v>125.4468292682927</v>
      </c>
      <c r="P686" s="2"/>
      <c r="Q686" s="2" t="s">
        <v>72</v>
      </c>
      <c r="R686" s="28">
        <v>16.666666666666668</v>
      </c>
    </row>
    <row r="687" spans="1:18" hidden="1" x14ac:dyDescent="0.25">
      <c r="A687" s="16">
        <v>45623</v>
      </c>
      <c r="B687" s="2" t="s">
        <v>120</v>
      </c>
      <c r="C687" s="10">
        <v>240</v>
      </c>
      <c r="D687" s="19">
        <v>0.47</v>
      </c>
      <c r="E687" s="11">
        <v>0.80500000000000005</v>
      </c>
      <c r="F687" s="10">
        <f t="shared" si="111"/>
        <v>530</v>
      </c>
      <c r="G687" s="10">
        <f t="shared" si="112"/>
        <v>0.24</v>
      </c>
      <c r="H687" s="12">
        <f t="shared" si="113"/>
        <v>0.45283018867924529</v>
      </c>
      <c r="I687" s="12">
        <v>0.02</v>
      </c>
      <c r="J687" s="12">
        <v>7.0000000000000007E-2</v>
      </c>
      <c r="K687" s="12">
        <f t="shared" si="114"/>
        <v>0.43697830188679249</v>
      </c>
      <c r="L687" s="12">
        <f t="shared" si="115"/>
        <v>0.9798084905660378</v>
      </c>
      <c r="M687" s="12">
        <f>L687*250</f>
        <v>244.95212264150945</v>
      </c>
      <c r="N687" s="12"/>
      <c r="O687" s="12"/>
      <c r="P687" s="12"/>
      <c r="Q687" s="2" t="s">
        <v>72</v>
      </c>
      <c r="R687" s="28">
        <f>K687/L687%</f>
        <v>44.5983379501385</v>
      </c>
    </row>
    <row r="688" spans="1:18" hidden="1" x14ac:dyDescent="0.25">
      <c r="A688" s="16">
        <v>45623</v>
      </c>
      <c r="B688" s="2" t="s">
        <v>92</v>
      </c>
      <c r="C688" s="2">
        <v>420</v>
      </c>
      <c r="D688" s="19">
        <v>-0.04</v>
      </c>
      <c r="E688" s="11">
        <v>0.317</v>
      </c>
      <c r="F688" s="2">
        <f t="shared" si="111"/>
        <v>1040</v>
      </c>
      <c r="G688" s="2">
        <f t="shared" si="112"/>
        <v>0.42</v>
      </c>
      <c r="H688" s="12">
        <f t="shared" si="113"/>
        <v>0.40384615384615385</v>
      </c>
      <c r="I688" s="12">
        <v>0.02</v>
      </c>
      <c r="J688" s="12">
        <v>7.0000000000000007E-2</v>
      </c>
      <c r="K688" s="12">
        <f t="shared" si="114"/>
        <v>0.15654923076923077</v>
      </c>
      <c r="L688" s="12">
        <f t="shared" si="115"/>
        <v>0.65039538461538471</v>
      </c>
      <c r="M688" s="2"/>
      <c r="N688" s="2"/>
      <c r="O688" s="12">
        <f>L688*500</f>
        <v>325.19769230769236</v>
      </c>
      <c r="P688" s="2"/>
      <c r="Q688" s="2" t="s">
        <v>72</v>
      </c>
      <c r="R688" s="28">
        <v>16.666666666666668</v>
      </c>
    </row>
    <row r="689" spans="1:18" hidden="1" x14ac:dyDescent="0.25">
      <c r="A689" s="16">
        <v>45623</v>
      </c>
      <c r="B689" s="2" t="s">
        <v>118</v>
      </c>
      <c r="C689" s="2">
        <v>270</v>
      </c>
      <c r="D689" s="19">
        <v>0.38</v>
      </c>
      <c r="E689" s="11">
        <v>0.33</v>
      </c>
      <c r="F689" s="10">
        <f t="shared" si="111"/>
        <v>620</v>
      </c>
      <c r="G689" s="10">
        <f t="shared" si="112"/>
        <v>0.27</v>
      </c>
      <c r="H689" s="12">
        <f t="shared" si="113"/>
        <v>0.43548387096774194</v>
      </c>
      <c r="I689" s="12">
        <v>0.02</v>
      </c>
      <c r="J689" s="12">
        <v>7.0000000000000007E-2</v>
      </c>
      <c r="K689" s="12">
        <f t="shared" si="114"/>
        <v>0.17340967741935487</v>
      </c>
      <c r="L689" s="12">
        <f t="shared" si="115"/>
        <v>0.69889354838709683</v>
      </c>
      <c r="M689" s="2">
        <f>L689*250</f>
        <v>174.72338709677422</v>
      </c>
      <c r="N689" s="2"/>
      <c r="O689" s="12"/>
      <c r="P689" s="2"/>
      <c r="Q689" s="2" t="s">
        <v>72</v>
      </c>
      <c r="R689" s="28">
        <v>16.666666666666668</v>
      </c>
    </row>
    <row r="690" spans="1:18" hidden="1" x14ac:dyDescent="0.25">
      <c r="A690" s="16">
        <v>45624</v>
      </c>
      <c r="B690" s="2" t="s">
        <v>160</v>
      </c>
      <c r="C690" s="2">
        <v>670</v>
      </c>
      <c r="D690" s="19">
        <v>0.39</v>
      </c>
      <c r="E690" s="11">
        <v>0.221</v>
      </c>
      <c r="F690" s="10">
        <f t="shared" si="111"/>
        <v>610</v>
      </c>
      <c r="G690" s="10">
        <f t="shared" si="112"/>
        <v>0.67</v>
      </c>
      <c r="H690" s="12">
        <f t="shared" si="113"/>
        <v>1.098360655737705</v>
      </c>
      <c r="I690" s="12">
        <v>0.02</v>
      </c>
      <c r="J690" s="12">
        <v>7.0000000000000007E-2</v>
      </c>
      <c r="K690" s="12">
        <f t="shared" si="114"/>
        <v>0.26262770491803283</v>
      </c>
      <c r="L690" s="12">
        <f t="shared" si="115"/>
        <v>1.4509883606557379</v>
      </c>
      <c r="M690" s="2"/>
      <c r="N690" s="2"/>
      <c r="O690" s="12">
        <f>L690*500</f>
        <v>725.49418032786889</v>
      </c>
      <c r="P690" s="2"/>
      <c r="Q690" s="2">
        <f>L690*1000</f>
        <v>1450.9883606557378</v>
      </c>
      <c r="R690" s="28">
        <v>16.666666666666668</v>
      </c>
    </row>
    <row r="691" spans="1:18" hidden="1" x14ac:dyDescent="0.25">
      <c r="A691" s="16">
        <v>45624</v>
      </c>
      <c r="B691" s="2" t="s">
        <v>111</v>
      </c>
      <c r="C691" s="2">
        <v>670</v>
      </c>
      <c r="D691" s="19">
        <v>0.39</v>
      </c>
      <c r="E691" s="11">
        <v>0.16</v>
      </c>
      <c r="F691" s="2">
        <f t="shared" si="111"/>
        <v>610</v>
      </c>
      <c r="G691" s="2">
        <f t="shared" si="112"/>
        <v>0.67</v>
      </c>
      <c r="H691" s="12">
        <f t="shared" si="113"/>
        <v>1.098360655737705</v>
      </c>
      <c r="I691" s="12">
        <v>0.02</v>
      </c>
      <c r="J691" s="12">
        <v>7.0000000000000007E-2</v>
      </c>
      <c r="K691" s="12">
        <f t="shared" si="114"/>
        <v>0.19013770491803283</v>
      </c>
      <c r="L691" s="12">
        <f t="shared" si="115"/>
        <v>1.3784983606557379</v>
      </c>
      <c r="M691" s="2">
        <f>L691*250</f>
        <v>344.6245901639345</v>
      </c>
      <c r="N691" s="2"/>
      <c r="O691" s="12">
        <f>L691*500</f>
        <v>689.249180327869</v>
      </c>
      <c r="P691" s="2"/>
      <c r="Q691" s="2">
        <f>L691*1000</f>
        <v>1378.498360655738</v>
      </c>
      <c r="R691" s="28">
        <v>16.666666666666668</v>
      </c>
    </row>
    <row r="692" spans="1:18" hidden="1" x14ac:dyDescent="0.25">
      <c r="A692" s="16">
        <v>45624</v>
      </c>
      <c r="B692" s="2" t="s">
        <v>113</v>
      </c>
      <c r="C692" s="2">
        <v>670</v>
      </c>
      <c r="D692" s="19">
        <v>0.39</v>
      </c>
      <c r="E692" s="11">
        <v>0.43</v>
      </c>
      <c r="F692" s="2">
        <f t="shared" si="111"/>
        <v>610</v>
      </c>
      <c r="G692" s="10">
        <f t="shared" si="112"/>
        <v>0.67</v>
      </c>
      <c r="H692" s="12">
        <f t="shared" si="113"/>
        <v>1.098360655737705</v>
      </c>
      <c r="I692" s="12">
        <v>0.02</v>
      </c>
      <c r="J692" s="12">
        <v>7.0000000000000007E-2</v>
      </c>
      <c r="K692" s="12">
        <f t="shared" si="114"/>
        <v>0.51099508196721322</v>
      </c>
      <c r="L692" s="12">
        <f t="shared" si="115"/>
        <v>1.6993557377049182</v>
      </c>
      <c r="M692" s="2">
        <f>L692*250</f>
        <v>424.83893442622957</v>
      </c>
      <c r="N692" s="2"/>
      <c r="O692" s="2"/>
      <c r="P692" s="2"/>
      <c r="Q692" s="2">
        <f>L692*1000</f>
        <v>1699.3557377049183</v>
      </c>
      <c r="R692" s="28">
        <f>K692/L692%</f>
        <v>30.06993006993007</v>
      </c>
    </row>
    <row r="693" spans="1:18" hidden="1" x14ac:dyDescent="0.25">
      <c r="A693" s="16">
        <v>45624</v>
      </c>
      <c r="B693" s="2" t="s">
        <v>204</v>
      </c>
      <c r="C693" s="2">
        <v>650</v>
      </c>
      <c r="D693" s="19">
        <v>0.31</v>
      </c>
      <c r="E693" s="11">
        <v>0.34799999999999998</v>
      </c>
      <c r="F693" s="2">
        <f t="shared" si="111"/>
        <v>690</v>
      </c>
      <c r="G693" s="2">
        <f t="shared" si="112"/>
        <v>0.65</v>
      </c>
      <c r="H693" s="2">
        <f t="shared" si="113"/>
        <v>0.94202898550724634</v>
      </c>
      <c r="I693" s="12">
        <v>0.02</v>
      </c>
      <c r="J693" s="12">
        <v>7.0000000000000007E-2</v>
      </c>
      <c r="K693" s="12">
        <f t="shared" si="114"/>
        <v>0.35914608695652173</v>
      </c>
      <c r="L693" s="12">
        <f t="shared" si="115"/>
        <v>1.3911750724637681</v>
      </c>
      <c r="M693" s="2" t="s">
        <v>72</v>
      </c>
      <c r="N693" s="2"/>
      <c r="O693" s="2">
        <f>L693*500</f>
        <v>695.58753623188409</v>
      </c>
      <c r="P693" s="2"/>
      <c r="Q693" s="2">
        <f>L693*1000</f>
        <v>1391.1750724637682</v>
      </c>
      <c r="R693" s="28">
        <f>K693/L693%</f>
        <v>25.816023738872403</v>
      </c>
    </row>
    <row r="694" spans="1:18" hidden="1" x14ac:dyDescent="0.25">
      <c r="A694" s="16">
        <v>45624</v>
      </c>
      <c r="B694" s="2" t="s">
        <v>205</v>
      </c>
      <c r="C694" s="2">
        <v>650</v>
      </c>
      <c r="D694" s="19">
        <v>0.31</v>
      </c>
      <c r="E694" s="11">
        <v>0.34</v>
      </c>
      <c r="F694" s="2">
        <f t="shared" si="111"/>
        <v>690</v>
      </c>
      <c r="G694" s="2">
        <f t="shared" si="112"/>
        <v>0.65</v>
      </c>
      <c r="H694" s="2">
        <f t="shared" si="113"/>
        <v>0.94202898550724634</v>
      </c>
      <c r="I694" s="12">
        <v>0.02</v>
      </c>
      <c r="J694" s="12">
        <v>7.0000000000000007E-2</v>
      </c>
      <c r="K694" s="12">
        <f t="shared" si="114"/>
        <v>0.35088985507246379</v>
      </c>
      <c r="L694" s="12">
        <f t="shared" si="115"/>
        <v>1.3829188405797102</v>
      </c>
      <c r="M694" s="2">
        <f>L694*250</f>
        <v>345.72971014492754</v>
      </c>
      <c r="N694" s="2"/>
      <c r="O694" s="2"/>
      <c r="P694" s="2"/>
      <c r="Q694" s="2">
        <f>L694*1000</f>
        <v>1382.9188405797101</v>
      </c>
      <c r="R694" s="28">
        <f>K694/L694%</f>
        <v>25.373134328358208</v>
      </c>
    </row>
    <row r="695" spans="1:18" hidden="1" x14ac:dyDescent="0.25">
      <c r="A695" s="16">
        <v>45624</v>
      </c>
      <c r="B695" s="2" t="s">
        <v>94</v>
      </c>
      <c r="C695" s="2">
        <v>200</v>
      </c>
      <c r="D695" s="19">
        <v>0.12</v>
      </c>
      <c r="E695" s="11">
        <v>0.106</v>
      </c>
      <c r="F695" s="2">
        <f t="shared" si="111"/>
        <v>880</v>
      </c>
      <c r="G695" s="2">
        <f t="shared" si="112"/>
        <v>0.2</v>
      </c>
      <c r="H695" s="12">
        <f t="shared" si="113"/>
        <v>0.22727272727272727</v>
      </c>
      <c r="I695" s="12">
        <v>0.02</v>
      </c>
      <c r="J695" s="12">
        <v>7.0000000000000007E-2</v>
      </c>
      <c r="K695" s="12">
        <f t="shared" si="114"/>
        <v>3.3630909090909086E-2</v>
      </c>
      <c r="L695" s="12">
        <f t="shared" si="115"/>
        <v>0.35090363636363636</v>
      </c>
      <c r="M695" s="2"/>
      <c r="N695" s="2"/>
      <c r="O695" s="12">
        <f>L695*500</f>
        <v>175.45181818181817</v>
      </c>
      <c r="P695" s="2"/>
      <c r="Q695" s="2"/>
      <c r="R695" s="28">
        <v>16.666666666666668</v>
      </c>
    </row>
    <row r="696" spans="1:18" hidden="1" x14ac:dyDescent="0.25">
      <c r="A696" s="16">
        <v>45624</v>
      </c>
      <c r="B696" s="2" t="s">
        <v>95</v>
      </c>
      <c r="C696" s="2">
        <v>200</v>
      </c>
      <c r="D696" s="19">
        <v>0.12</v>
      </c>
      <c r="E696" s="11">
        <v>0.106</v>
      </c>
      <c r="F696" s="2">
        <f t="shared" si="111"/>
        <v>880</v>
      </c>
      <c r="G696" s="2">
        <f t="shared" si="112"/>
        <v>0.2</v>
      </c>
      <c r="H696" s="12">
        <f t="shared" si="113"/>
        <v>0.22727272727272727</v>
      </c>
      <c r="I696" s="12">
        <v>0.02</v>
      </c>
      <c r="J696" s="12">
        <v>7.0000000000000007E-2</v>
      </c>
      <c r="K696" s="12">
        <f t="shared" si="114"/>
        <v>3.3630909090909086E-2</v>
      </c>
      <c r="L696" s="12">
        <f t="shared" si="115"/>
        <v>0.35090363636363636</v>
      </c>
      <c r="M696" s="2"/>
      <c r="N696" s="2"/>
      <c r="O696" s="12">
        <f>L696*500</f>
        <v>175.45181818181817</v>
      </c>
      <c r="P696" s="2"/>
      <c r="Q696" s="2"/>
      <c r="R696" s="28">
        <v>16.666666666666668</v>
      </c>
    </row>
    <row r="697" spans="1:18" hidden="1" x14ac:dyDescent="0.25">
      <c r="A697" s="16">
        <v>45624</v>
      </c>
      <c r="B697" s="2" t="s">
        <v>108</v>
      </c>
      <c r="C697" s="2">
        <v>390</v>
      </c>
      <c r="D697" s="19">
        <v>0.03</v>
      </c>
      <c r="E697" s="11">
        <v>0.2</v>
      </c>
      <c r="F697" s="2">
        <f t="shared" si="111"/>
        <v>970</v>
      </c>
      <c r="G697" s="2">
        <f t="shared" si="112"/>
        <v>0.39</v>
      </c>
      <c r="H697" s="12">
        <f t="shared" si="113"/>
        <v>0.40206185567010311</v>
      </c>
      <c r="I697" s="12">
        <v>0.02</v>
      </c>
      <c r="J697" s="12">
        <v>7.0000000000000007E-2</v>
      </c>
      <c r="K697" s="12">
        <f t="shared" si="114"/>
        <v>9.8412371134020626E-2</v>
      </c>
      <c r="L697" s="12">
        <f t="shared" si="115"/>
        <v>0.59047422680412376</v>
      </c>
      <c r="M697" s="2"/>
      <c r="N697" s="2"/>
      <c r="O697" s="12">
        <f>L697*500</f>
        <v>295.23711340206188</v>
      </c>
      <c r="P697" s="2"/>
      <c r="Q697" s="2"/>
      <c r="R697" s="28">
        <v>16.666666666666668</v>
      </c>
    </row>
    <row r="698" spans="1:18" hidden="1" x14ac:dyDescent="0.25">
      <c r="A698" s="16">
        <v>45624</v>
      </c>
      <c r="B698" s="2" t="s">
        <v>92</v>
      </c>
      <c r="C698" s="2">
        <v>390</v>
      </c>
      <c r="D698" s="19">
        <v>0.03</v>
      </c>
      <c r="E698" s="11">
        <v>0.32400000000000001</v>
      </c>
      <c r="F698" s="2">
        <f t="shared" si="111"/>
        <v>970</v>
      </c>
      <c r="G698" s="2">
        <f t="shared" si="112"/>
        <v>0.39</v>
      </c>
      <c r="H698" s="12">
        <f t="shared" si="113"/>
        <v>0.40206185567010311</v>
      </c>
      <c r="I698" s="12">
        <v>0.02</v>
      </c>
      <c r="J698" s="12">
        <v>7.0000000000000007E-2</v>
      </c>
      <c r="K698" s="12">
        <f t="shared" si="114"/>
        <v>0.15942804123711343</v>
      </c>
      <c r="L698" s="12">
        <f t="shared" si="115"/>
        <v>0.65148989690721659</v>
      </c>
      <c r="M698" s="2"/>
      <c r="N698" s="2"/>
      <c r="O698" s="12">
        <f>L698*500</f>
        <v>325.74494845360829</v>
      </c>
      <c r="P698" s="2"/>
      <c r="Q698" s="2"/>
      <c r="R698" s="28">
        <v>16.666666666666668</v>
      </c>
    </row>
    <row r="699" spans="1:18" hidden="1" x14ac:dyDescent="0.25">
      <c r="A699" s="16">
        <v>45624</v>
      </c>
      <c r="B699" s="2" t="s">
        <v>118</v>
      </c>
      <c r="C699" s="2">
        <v>270</v>
      </c>
      <c r="D699" s="19">
        <v>0.33</v>
      </c>
      <c r="E699" s="11">
        <v>0.33</v>
      </c>
      <c r="F699" s="10">
        <f t="shared" si="111"/>
        <v>670</v>
      </c>
      <c r="G699" s="10">
        <f t="shared" si="112"/>
        <v>0.27</v>
      </c>
      <c r="H699" s="12">
        <f t="shared" si="113"/>
        <v>0.40298507462686567</v>
      </c>
      <c r="I699" s="12">
        <v>0.02</v>
      </c>
      <c r="J699" s="12">
        <v>7.0000000000000007E-2</v>
      </c>
      <c r="K699" s="12">
        <f t="shared" si="114"/>
        <v>0.16268507462686568</v>
      </c>
      <c r="L699" s="12">
        <f t="shared" si="115"/>
        <v>0.65567014925373135</v>
      </c>
      <c r="M699" s="2">
        <f>L699*250</f>
        <v>163.91753731343283</v>
      </c>
      <c r="N699" s="2"/>
      <c r="O699" s="12"/>
      <c r="P699" s="2"/>
      <c r="Q699" s="2" t="s">
        <v>72</v>
      </c>
      <c r="R699" s="28">
        <v>16.666666666666668</v>
      </c>
    </row>
    <row r="700" spans="1:18" hidden="1" x14ac:dyDescent="0.25">
      <c r="A700" s="16">
        <v>45625</v>
      </c>
      <c r="B700" s="2" t="s">
        <v>137</v>
      </c>
      <c r="C700" s="2">
        <v>150</v>
      </c>
      <c r="D700" s="19">
        <v>0.03</v>
      </c>
      <c r="E700" s="11">
        <v>0.43099999999999999</v>
      </c>
      <c r="F700" s="2">
        <f t="shared" si="111"/>
        <v>970</v>
      </c>
      <c r="G700" s="2">
        <f t="shared" si="112"/>
        <v>0.15</v>
      </c>
      <c r="H700" s="12">
        <f t="shared" si="113"/>
        <v>0.15463917525773196</v>
      </c>
      <c r="I700" s="12">
        <v>0.02</v>
      </c>
      <c r="J700" s="12">
        <v>7.0000000000000007E-2</v>
      </c>
      <c r="K700" s="12">
        <f t="shared" si="114"/>
        <v>0.10543948453608247</v>
      </c>
      <c r="L700" s="12">
        <f t="shared" si="115"/>
        <v>0.35007865979381442</v>
      </c>
      <c r="M700" s="2"/>
      <c r="N700" s="2"/>
      <c r="O700" s="12">
        <f t="shared" ref="O700:O705" si="118">L700*500</f>
        <v>175.03932989690722</v>
      </c>
      <c r="P700" s="2"/>
      <c r="Q700" s="2"/>
      <c r="R700" s="28">
        <v>16.666666666666668</v>
      </c>
    </row>
    <row r="701" spans="1:18" hidden="1" x14ac:dyDescent="0.25">
      <c r="A701" s="16">
        <v>45625</v>
      </c>
      <c r="B701" s="2" t="s">
        <v>152</v>
      </c>
      <c r="C701" s="2">
        <v>150</v>
      </c>
      <c r="D701" s="19">
        <v>0.03</v>
      </c>
      <c r="E701" s="11">
        <v>0.43099999999999999</v>
      </c>
      <c r="F701" s="2">
        <f t="shared" si="111"/>
        <v>970</v>
      </c>
      <c r="G701" s="2">
        <f t="shared" si="112"/>
        <v>0.15</v>
      </c>
      <c r="H701" s="12">
        <f t="shared" si="113"/>
        <v>0.15463917525773196</v>
      </c>
      <c r="I701" s="12">
        <v>0.02</v>
      </c>
      <c r="J701" s="12">
        <v>7.0000000000000007E-2</v>
      </c>
      <c r="K701" s="12">
        <f t="shared" si="114"/>
        <v>0.10543948453608247</v>
      </c>
      <c r="L701" s="12">
        <f t="shared" si="115"/>
        <v>0.35007865979381442</v>
      </c>
      <c r="M701" s="2"/>
      <c r="N701" s="2"/>
      <c r="O701" s="12">
        <f t="shared" si="118"/>
        <v>175.03932989690722</v>
      </c>
      <c r="P701" s="2"/>
      <c r="Q701" s="2"/>
      <c r="R701" s="28">
        <v>16.666666666666668</v>
      </c>
    </row>
    <row r="702" spans="1:18" hidden="1" x14ac:dyDescent="0.25">
      <c r="A702" s="16">
        <v>45625</v>
      </c>
      <c r="B702" s="2" t="s">
        <v>40</v>
      </c>
      <c r="C702" s="2">
        <v>200</v>
      </c>
      <c r="D702" s="19">
        <v>7.0000000000000007E-2</v>
      </c>
      <c r="E702" s="11">
        <v>0.15</v>
      </c>
      <c r="F702" s="2">
        <f t="shared" si="111"/>
        <v>930</v>
      </c>
      <c r="G702" s="10">
        <f t="shared" si="112"/>
        <v>0.2</v>
      </c>
      <c r="H702" s="2">
        <f t="shared" si="113"/>
        <v>0.21505376344086022</v>
      </c>
      <c r="I702" s="12">
        <v>0.02</v>
      </c>
      <c r="J702" s="12">
        <v>7.0000000000000007E-2</v>
      </c>
      <c r="K702" s="12">
        <f t="shared" si="114"/>
        <v>4.5758064516129029E-2</v>
      </c>
      <c r="L702" s="12">
        <f t="shared" si="115"/>
        <v>0.35081182795698923</v>
      </c>
      <c r="M702" s="2"/>
      <c r="N702" s="2"/>
      <c r="O702" s="2">
        <f t="shared" si="118"/>
        <v>175.40591397849462</v>
      </c>
      <c r="P702" s="2"/>
      <c r="Q702" s="2"/>
      <c r="R702" s="28">
        <f>K702/L702%</f>
        <v>13.043478260869566</v>
      </c>
    </row>
    <row r="703" spans="1:18" hidden="1" x14ac:dyDescent="0.25">
      <c r="A703" s="16">
        <v>45625</v>
      </c>
      <c r="B703" s="2" t="s">
        <v>90</v>
      </c>
      <c r="C703" s="2">
        <v>350</v>
      </c>
      <c r="D703" s="19">
        <v>0.08</v>
      </c>
      <c r="E703" s="11">
        <v>0.38200000000000001</v>
      </c>
      <c r="F703" s="2">
        <f t="shared" si="111"/>
        <v>920</v>
      </c>
      <c r="G703" s="10">
        <f t="shared" si="112"/>
        <v>0.35</v>
      </c>
      <c r="H703" s="12">
        <f t="shared" si="113"/>
        <v>0.38043478260869568</v>
      </c>
      <c r="I703" s="12">
        <v>0.02</v>
      </c>
      <c r="J703" s="12">
        <v>7.0000000000000007E-2</v>
      </c>
      <c r="K703" s="12">
        <f t="shared" si="114"/>
        <v>0.17970608695652177</v>
      </c>
      <c r="L703" s="12">
        <f t="shared" si="115"/>
        <v>0.65014086956521744</v>
      </c>
      <c r="M703" s="2"/>
      <c r="N703" s="2"/>
      <c r="O703" s="12">
        <f t="shared" si="118"/>
        <v>325.07043478260874</v>
      </c>
      <c r="P703" s="2"/>
      <c r="Q703" s="2"/>
      <c r="R703" s="28">
        <v>16.666666666666668</v>
      </c>
    </row>
    <row r="704" spans="1:18" hidden="1" x14ac:dyDescent="0.25">
      <c r="A704" s="16">
        <v>45625</v>
      </c>
      <c r="B704" s="2" t="s">
        <v>91</v>
      </c>
      <c r="C704" s="2">
        <v>350</v>
      </c>
      <c r="D704" s="19">
        <v>0.08</v>
      </c>
      <c r="E704" s="11">
        <v>0.38200000000000001</v>
      </c>
      <c r="F704" s="2">
        <f t="shared" si="111"/>
        <v>920</v>
      </c>
      <c r="G704" s="10">
        <f t="shared" si="112"/>
        <v>0.35</v>
      </c>
      <c r="H704" s="12">
        <f t="shared" si="113"/>
        <v>0.38043478260869568</v>
      </c>
      <c r="I704" s="12">
        <v>0.02</v>
      </c>
      <c r="J704" s="12">
        <v>7.0000000000000007E-2</v>
      </c>
      <c r="K704" s="12">
        <f t="shared" si="114"/>
        <v>0.17970608695652177</v>
      </c>
      <c r="L704" s="12">
        <f t="shared" si="115"/>
        <v>0.65014086956521744</v>
      </c>
      <c r="M704" s="2"/>
      <c r="N704" s="2"/>
      <c r="O704" s="12">
        <f t="shared" si="118"/>
        <v>325.07043478260874</v>
      </c>
      <c r="P704" s="2"/>
      <c r="Q704" s="2"/>
      <c r="R704" s="28">
        <v>16.666666666666668</v>
      </c>
    </row>
    <row r="705" spans="1:18" hidden="1" x14ac:dyDescent="0.25">
      <c r="A705" s="16">
        <v>45625</v>
      </c>
      <c r="B705" s="2" t="s">
        <v>116</v>
      </c>
      <c r="C705" s="2">
        <v>550</v>
      </c>
      <c r="D705" s="19">
        <v>0.26</v>
      </c>
      <c r="E705" s="11">
        <v>7.0000000000000007E-2</v>
      </c>
      <c r="F705" s="10">
        <f t="shared" si="111"/>
        <v>740</v>
      </c>
      <c r="G705" s="10">
        <f t="shared" si="112"/>
        <v>0.55000000000000004</v>
      </c>
      <c r="H705" s="12">
        <f t="shared" si="113"/>
        <v>0.7432432432432432</v>
      </c>
      <c r="I705" s="12">
        <v>0.02</v>
      </c>
      <c r="J705" s="12">
        <v>7.0000000000000007E-2</v>
      </c>
      <c r="K705" s="12">
        <f t="shared" si="114"/>
        <v>5.8327027027027037E-2</v>
      </c>
      <c r="L705" s="12">
        <f t="shared" si="115"/>
        <v>0.89157027027027036</v>
      </c>
      <c r="M705" s="2"/>
      <c r="N705" s="2"/>
      <c r="O705" s="12">
        <f t="shared" si="118"/>
        <v>445.78513513513519</v>
      </c>
      <c r="P705" s="2"/>
      <c r="Q705" s="2" t="s">
        <v>72</v>
      </c>
      <c r="R705" s="28">
        <v>16.666666666666668</v>
      </c>
    </row>
    <row r="706" spans="1:18" hidden="1" x14ac:dyDescent="0.25">
      <c r="A706" s="16">
        <v>45626</v>
      </c>
      <c r="B706" s="2" t="s">
        <v>138</v>
      </c>
      <c r="C706" s="2">
        <v>370</v>
      </c>
      <c r="D706" s="19">
        <v>0.56000000000000005</v>
      </c>
      <c r="E706" s="11">
        <v>0.48499999999999999</v>
      </c>
      <c r="F706" s="10">
        <f t="shared" si="111"/>
        <v>440</v>
      </c>
      <c r="G706" s="10">
        <f t="shared" si="112"/>
        <v>0.37</v>
      </c>
      <c r="H706" s="12">
        <f t="shared" si="113"/>
        <v>0.84090909090909094</v>
      </c>
      <c r="I706" s="12">
        <v>0.02</v>
      </c>
      <c r="J706" s="12">
        <v>7.0000000000000007E-2</v>
      </c>
      <c r="K706" s="12">
        <f t="shared" si="114"/>
        <v>0.45149090909090905</v>
      </c>
      <c r="L706" s="12">
        <f t="shared" si="115"/>
        <v>1.3824000000000001</v>
      </c>
      <c r="M706" s="2">
        <f>L706*250</f>
        <v>345.6</v>
      </c>
      <c r="N706" s="2"/>
      <c r="O706" s="2"/>
      <c r="P706" s="2"/>
      <c r="Q706" s="2"/>
      <c r="R706" s="28">
        <v>16.666666666666668</v>
      </c>
    </row>
    <row r="707" spans="1:18" hidden="1" x14ac:dyDescent="0.25">
      <c r="A707" s="16">
        <v>45626</v>
      </c>
      <c r="B707" s="2" t="s">
        <v>143</v>
      </c>
      <c r="C707" s="2">
        <v>370</v>
      </c>
      <c r="D707" s="19">
        <v>0.56000000000000005</v>
      </c>
      <c r="E707" s="11">
        <v>0.49399999999999999</v>
      </c>
      <c r="F707" s="10">
        <f t="shared" si="111"/>
        <v>440</v>
      </c>
      <c r="G707" s="10">
        <f t="shared" si="112"/>
        <v>0.37</v>
      </c>
      <c r="H707" s="12">
        <f t="shared" si="113"/>
        <v>0.84090909090909094</v>
      </c>
      <c r="I707" s="12">
        <v>0.02</v>
      </c>
      <c r="J707" s="12">
        <v>7.0000000000000007E-2</v>
      </c>
      <c r="K707" s="12">
        <f t="shared" si="114"/>
        <v>0.45986909090909089</v>
      </c>
      <c r="L707" s="12">
        <f t="shared" si="115"/>
        <v>1.3907781818181819</v>
      </c>
      <c r="M707" s="2"/>
      <c r="N707" s="2"/>
      <c r="O707" s="2">
        <f t="shared" ref="O707:O714" si="119">L707*500</f>
        <v>695.38909090909101</v>
      </c>
      <c r="P707" s="2"/>
      <c r="Q707" s="2"/>
      <c r="R707" s="28">
        <v>16.666666666666668</v>
      </c>
    </row>
    <row r="708" spans="1:18" hidden="1" x14ac:dyDescent="0.25">
      <c r="A708" s="16">
        <v>45626</v>
      </c>
      <c r="B708" s="2" t="s">
        <v>152</v>
      </c>
      <c r="C708" s="2">
        <v>150</v>
      </c>
      <c r="D708" s="19">
        <v>0</v>
      </c>
      <c r="E708" s="11">
        <v>0.46</v>
      </c>
      <c r="F708" s="10">
        <f t="shared" si="111"/>
        <v>1000</v>
      </c>
      <c r="G708" s="10">
        <f t="shared" si="112"/>
        <v>0.15</v>
      </c>
      <c r="H708" s="12">
        <f t="shared" si="113"/>
        <v>0.15</v>
      </c>
      <c r="I708" s="12">
        <v>0.02</v>
      </c>
      <c r="J708" s="12">
        <v>7.0000000000000007E-2</v>
      </c>
      <c r="K708" s="12">
        <f t="shared" si="114"/>
        <v>0.1104</v>
      </c>
      <c r="L708" s="12">
        <f t="shared" si="115"/>
        <v>0.35039999999999999</v>
      </c>
      <c r="M708" s="2"/>
      <c r="N708" s="2"/>
      <c r="O708" s="2">
        <f t="shared" si="119"/>
        <v>175.2</v>
      </c>
      <c r="P708" s="2"/>
      <c r="Q708" s="2"/>
      <c r="R708" s="28">
        <v>16.666666666666668</v>
      </c>
    </row>
    <row r="709" spans="1:18" hidden="1" x14ac:dyDescent="0.25">
      <c r="A709" s="16">
        <v>45626</v>
      </c>
      <c r="B709" s="2" t="s">
        <v>106</v>
      </c>
      <c r="C709" s="2">
        <v>150</v>
      </c>
      <c r="D709" s="19">
        <v>0</v>
      </c>
      <c r="E709" s="11">
        <v>0.46</v>
      </c>
      <c r="F709" s="10">
        <f t="shared" si="111"/>
        <v>1000</v>
      </c>
      <c r="G709" s="10">
        <f t="shared" si="112"/>
        <v>0.15</v>
      </c>
      <c r="H709" s="12">
        <f t="shared" si="113"/>
        <v>0.15</v>
      </c>
      <c r="I709" s="12">
        <v>0.02</v>
      </c>
      <c r="J709" s="12">
        <v>7.0000000000000007E-2</v>
      </c>
      <c r="K709" s="12">
        <f t="shared" si="114"/>
        <v>0.1104</v>
      </c>
      <c r="L709" s="12">
        <f t="shared" si="115"/>
        <v>0.35039999999999999</v>
      </c>
      <c r="M709" s="2"/>
      <c r="N709" s="2"/>
      <c r="O709" s="2">
        <f t="shared" si="119"/>
        <v>175.2</v>
      </c>
      <c r="P709" s="2"/>
      <c r="Q709" s="2"/>
      <c r="R709" s="28">
        <v>16.666666666666668</v>
      </c>
    </row>
    <row r="710" spans="1:18" hidden="1" x14ac:dyDescent="0.25">
      <c r="A710" s="16">
        <v>45626</v>
      </c>
      <c r="B710" s="2" t="s">
        <v>162</v>
      </c>
      <c r="C710" s="2">
        <v>170</v>
      </c>
      <c r="D710" s="19">
        <v>0.02</v>
      </c>
      <c r="E710" s="11">
        <v>0.33</v>
      </c>
      <c r="F710" s="10">
        <f t="shared" si="111"/>
        <v>980</v>
      </c>
      <c r="G710" s="10">
        <f t="shared" si="112"/>
        <v>0.17</v>
      </c>
      <c r="H710" s="12">
        <f t="shared" si="113"/>
        <v>0.17346938775510204</v>
      </c>
      <c r="I710" s="12">
        <v>0.02</v>
      </c>
      <c r="J710" s="12">
        <v>7.0000000000000007E-2</v>
      </c>
      <c r="K710" s="12">
        <f t="shared" si="114"/>
        <v>8.694489795918367E-2</v>
      </c>
      <c r="L710" s="12">
        <f t="shared" si="115"/>
        <v>0.35041428571428568</v>
      </c>
      <c r="M710" s="2"/>
      <c r="N710" s="2"/>
      <c r="O710" s="2">
        <f t="shared" si="119"/>
        <v>175.20714285714283</v>
      </c>
      <c r="P710" s="2"/>
      <c r="Q710" s="2"/>
      <c r="R710" s="28">
        <v>16.666666666666668</v>
      </c>
    </row>
    <row r="711" spans="1:18" ht="14.25" hidden="1" customHeight="1" x14ac:dyDescent="0.25">
      <c r="A711" s="16">
        <v>45626</v>
      </c>
      <c r="B711" s="2" t="s">
        <v>94</v>
      </c>
      <c r="C711" s="2"/>
      <c r="D711" s="19">
        <v>0</v>
      </c>
      <c r="E711" s="11">
        <v>0</v>
      </c>
      <c r="F711" s="10">
        <f t="shared" ref="F711:F774" si="120">1000-1000*D711</f>
        <v>1000</v>
      </c>
      <c r="G711" s="10">
        <f t="shared" ref="G711:G774" si="121">C711/1000</f>
        <v>0</v>
      </c>
      <c r="H711" s="12">
        <f t="shared" ref="H711:H774" si="122">C711/F711</f>
        <v>0</v>
      </c>
      <c r="I711" s="12">
        <v>0.02</v>
      </c>
      <c r="J711" s="12">
        <v>7.0000000000000007E-2</v>
      </c>
      <c r="K711" s="12">
        <f t="shared" ref="K711:K774" si="123">SUM(H711:J711)*E711</f>
        <v>0</v>
      </c>
      <c r="L711" s="12">
        <f t="shared" ref="L711:L774" si="124">SUM(H711:K711)</f>
        <v>9.0000000000000011E-2</v>
      </c>
      <c r="M711" s="2"/>
      <c r="N711" s="2"/>
      <c r="O711" s="2">
        <f t="shared" si="119"/>
        <v>45.000000000000007</v>
      </c>
      <c r="P711" s="2"/>
      <c r="Q711" s="2"/>
      <c r="R711" s="28">
        <v>16.666666666666668</v>
      </c>
    </row>
    <row r="712" spans="1:18" hidden="1" x14ac:dyDescent="0.25">
      <c r="A712" s="16">
        <v>45626</v>
      </c>
      <c r="B712" s="2" t="s">
        <v>95</v>
      </c>
      <c r="C712" s="2"/>
      <c r="D712" s="19">
        <v>0</v>
      </c>
      <c r="E712" s="11">
        <v>0</v>
      </c>
      <c r="F712" s="10">
        <f t="shared" si="120"/>
        <v>1000</v>
      </c>
      <c r="G712" s="10">
        <f t="shared" si="121"/>
        <v>0</v>
      </c>
      <c r="H712" s="12">
        <f t="shared" si="122"/>
        <v>0</v>
      </c>
      <c r="I712" s="12">
        <v>0.02</v>
      </c>
      <c r="J712" s="12">
        <v>7.0000000000000007E-2</v>
      </c>
      <c r="K712" s="12">
        <f t="shared" si="123"/>
        <v>0</v>
      </c>
      <c r="L712" s="12">
        <f t="shared" si="124"/>
        <v>9.0000000000000011E-2</v>
      </c>
      <c r="M712" s="2"/>
      <c r="N712" s="2"/>
      <c r="O712" s="2">
        <f t="shared" si="119"/>
        <v>45.000000000000007</v>
      </c>
      <c r="P712" s="2"/>
      <c r="Q712" s="2"/>
      <c r="R712" s="28">
        <v>16.666666666666668</v>
      </c>
    </row>
    <row r="713" spans="1:18" hidden="1" x14ac:dyDescent="0.25">
      <c r="A713" s="16">
        <v>45626</v>
      </c>
      <c r="B713" s="2" t="s">
        <v>90</v>
      </c>
      <c r="C713" s="2">
        <v>360</v>
      </c>
      <c r="D713" s="19">
        <v>0.23</v>
      </c>
      <c r="E713" s="11">
        <v>0.16600000000000001</v>
      </c>
      <c r="F713" s="10">
        <f t="shared" si="120"/>
        <v>770</v>
      </c>
      <c r="G713" s="10">
        <f t="shared" si="121"/>
        <v>0.36</v>
      </c>
      <c r="H713" s="12">
        <f t="shared" si="122"/>
        <v>0.46753246753246752</v>
      </c>
      <c r="I713" s="12">
        <v>0.02</v>
      </c>
      <c r="J713" s="12">
        <v>7.0000000000000007E-2</v>
      </c>
      <c r="K713" s="12">
        <f t="shared" si="123"/>
        <v>9.2550389610389611E-2</v>
      </c>
      <c r="L713" s="12">
        <f t="shared" si="124"/>
        <v>0.65008285714285718</v>
      </c>
      <c r="M713" s="2"/>
      <c r="N713" s="2"/>
      <c r="O713" s="2">
        <f t="shared" si="119"/>
        <v>325.04142857142858</v>
      </c>
      <c r="P713" s="2"/>
      <c r="Q713" s="2"/>
      <c r="R713" s="28">
        <v>16.666666666666668</v>
      </c>
    </row>
    <row r="714" spans="1:18" hidden="1" x14ac:dyDescent="0.25">
      <c r="A714" s="16">
        <v>45626</v>
      </c>
      <c r="B714" s="2" t="s">
        <v>91</v>
      </c>
      <c r="C714" s="2">
        <v>360</v>
      </c>
      <c r="D714" s="19">
        <v>0.23</v>
      </c>
      <c r="E714" s="11">
        <v>0.16600000000000001</v>
      </c>
      <c r="F714" s="10">
        <f t="shared" si="120"/>
        <v>770</v>
      </c>
      <c r="G714" s="10">
        <f t="shared" si="121"/>
        <v>0.36</v>
      </c>
      <c r="H714" s="12">
        <f t="shared" si="122"/>
        <v>0.46753246753246752</v>
      </c>
      <c r="I714" s="12">
        <v>0.02</v>
      </c>
      <c r="J714" s="12">
        <v>7.0000000000000007E-2</v>
      </c>
      <c r="K714" s="12">
        <f t="shared" si="123"/>
        <v>9.2550389610389611E-2</v>
      </c>
      <c r="L714" s="12">
        <f t="shared" si="124"/>
        <v>0.65008285714285718</v>
      </c>
      <c r="M714" s="2"/>
      <c r="N714" s="2"/>
      <c r="O714" s="2">
        <f t="shared" si="119"/>
        <v>325.04142857142858</v>
      </c>
      <c r="P714" s="2"/>
      <c r="Q714" s="2"/>
      <c r="R714" s="28">
        <v>16.666666666666668</v>
      </c>
    </row>
    <row r="715" spans="1:18" hidden="1" x14ac:dyDescent="0.25">
      <c r="A715" s="16">
        <v>45627</v>
      </c>
      <c r="B715" s="2" t="s">
        <v>170</v>
      </c>
      <c r="C715" s="2">
        <v>580</v>
      </c>
      <c r="D715" s="19">
        <v>0.43</v>
      </c>
      <c r="E715" s="11">
        <v>0.35499999999999998</v>
      </c>
      <c r="F715" s="10">
        <f t="shared" si="120"/>
        <v>570</v>
      </c>
      <c r="G715" s="10">
        <f t="shared" si="121"/>
        <v>0.57999999999999996</v>
      </c>
      <c r="H715" s="12">
        <f t="shared" si="122"/>
        <v>1.0175438596491229</v>
      </c>
      <c r="I715" s="12">
        <v>0.02</v>
      </c>
      <c r="J715" s="12">
        <v>7.0000000000000007E-2</v>
      </c>
      <c r="K715" s="12">
        <f t="shared" si="123"/>
        <v>0.3931780701754386</v>
      </c>
      <c r="L715" s="12">
        <f t="shared" si="124"/>
        <v>1.5007219298245615</v>
      </c>
      <c r="M715" s="2">
        <f>L715*250</f>
        <v>375.1804824561404</v>
      </c>
      <c r="N715" s="2"/>
      <c r="O715" s="2"/>
      <c r="P715" s="2"/>
      <c r="Q715" s="2"/>
      <c r="R715" s="28">
        <v>16.666666666666668</v>
      </c>
    </row>
    <row r="716" spans="1:18" hidden="1" x14ac:dyDescent="0.25">
      <c r="A716" s="16">
        <v>45627</v>
      </c>
      <c r="B716" s="2" t="s">
        <v>160</v>
      </c>
      <c r="C716" s="2">
        <v>580</v>
      </c>
      <c r="D716" s="19">
        <v>0.43</v>
      </c>
      <c r="E716" s="11">
        <v>0.45</v>
      </c>
      <c r="F716" s="10">
        <f t="shared" si="120"/>
        <v>570</v>
      </c>
      <c r="G716" s="10">
        <f t="shared" si="121"/>
        <v>0.57999999999999996</v>
      </c>
      <c r="H716" s="12">
        <f t="shared" si="122"/>
        <v>1.0175438596491229</v>
      </c>
      <c r="I716" s="12">
        <v>0.02</v>
      </c>
      <c r="J716" s="12">
        <v>7.0000000000000007E-2</v>
      </c>
      <c r="K716" s="12">
        <f t="shared" si="123"/>
        <v>0.49839473684210533</v>
      </c>
      <c r="L716" s="12">
        <f t="shared" si="124"/>
        <v>1.6059385964912283</v>
      </c>
      <c r="M716" s="2"/>
      <c r="N716" s="2"/>
      <c r="O716" s="2">
        <f>L716*500</f>
        <v>802.96929824561414</v>
      </c>
      <c r="P716" s="2"/>
      <c r="Q716" s="2"/>
      <c r="R716" s="28">
        <v>16.666666666666668</v>
      </c>
    </row>
    <row r="717" spans="1:18" hidden="1" x14ac:dyDescent="0.25">
      <c r="A717" s="16">
        <v>45627</v>
      </c>
      <c r="B717" s="2" t="s">
        <v>111</v>
      </c>
      <c r="C717" s="2">
        <v>580</v>
      </c>
      <c r="D717" s="19">
        <v>0.43</v>
      </c>
      <c r="E717" s="11">
        <v>0.248</v>
      </c>
      <c r="F717" s="10">
        <f t="shared" si="120"/>
        <v>570</v>
      </c>
      <c r="G717" s="10">
        <f t="shared" si="121"/>
        <v>0.57999999999999996</v>
      </c>
      <c r="H717" s="12">
        <f t="shared" si="122"/>
        <v>1.0175438596491229</v>
      </c>
      <c r="I717" s="12">
        <v>0.02</v>
      </c>
      <c r="J717" s="12">
        <v>7.0000000000000007E-2</v>
      </c>
      <c r="K717" s="12">
        <f t="shared" si="123"/>
        <v>0.2746708771929825</v>
      </c>
      <c r="L717" s="12">
        <f t="shared" si="124"/>
        <v>1.3822147368421054</v>
      </c>
      <c r="M717" s="2">
        <f>L717*250</f>
        <v>345.55368421052634</v>
      </c>
      <c r="N717" s="2"/>
      <c r="O717" s="2"/>
      <c r="P717" s="2"/>
      <c r="Q717" s="2"/>
      <c r="R717" s="28">
        <v>16.666666666666668</v>
      </c>
    </row>
    <row r="718" spans="1:18" hidden="1" x14ac:dyDescent="0.25">
      <c r="A718" s="16">
        <v>45627</v>
      </c>
      <c r="B718" s="2" t="s">
        <v>40</v>
      </c>
      <c r="C718" s="2">
        <v>200</v>
      </c>
      <c r="D718" s="19">
        <v>0.02</v>
      </c>
      <c r="E718" s="11">
        <v>0.19500000000000001</v>
      </c>
      <c r="F718" s="10">
        <f t="shared" si="120"/>
        <v>980</v>
      </c>
      <c r="G718" s="10">
        <f t="shared" si="121"/>
        <v>0.2</v>
      </c>
      <c r="H718" s="12">
        <f t="shared" si="122"/>
        <v>0.20408163265306123</v>
      </c>
      <c r="I718" s="12">
        <v>0.02</v>
      </c>
      <c r="J718" s="12">
        <v>7.0000000000000007E-2</v>
      </c>
      <c r="K718" s="12">
        <f t="shared" si="123"/>
        <v>5.7345918367346933E-2</v>
      </c>
      <c r="L718" s="12">
        <f t="shared" si="124"/>
        <v>0.35142755102040812</v>
      </c>
      <c r="M718" s="2"/>
      <c r="N718" s="2"/>
      <c r="O718" s="2">
        <f t="shared" ref="O718:O727" si="125">L718*500</f>
        <v>175.71377551020407</v>
      </c>
      <c r="P718" s="2"/>
      <c r="Q718" s="2"/>
      <c r="R718" s="28">
        <v>16.666666666666668</v>
      </c>
    </row>
    <row r="719" spans="1:18" hidden="1" x14ac:dyDescent="0.25">
      <c r="A719" s="16">
        <v>45627</v>
      </c>
      <c r="B719" s="10" t="s">
        <v>197</v>
      </c>
      <c r="C719" s="2">
        <v>500</v>
      </c>
      <c r="D719" s="19">
        <v>0</v>
      </c>
      <c r="E719" s="11">
        <v>0.17</v>
      </c>
      <c r="F719" s="10">
        <f t="shared" si="120"/>
        <v>1000</v>
      </c>
      <c r="G719" s="10">
        <f t="shared" si="121"/>
        <v>0.5</v>
      </c>
      <c r="H719" s="12">
        <f t="shared" si="122"/>
        <v>0.5</v>
      </c>
      <c r="I719" s="12">
        <v>0.02</v>
      </c>
      <c r="J719" s="12">
        <v>7.0000000000000007E-2</v>
      </c>
      <c r="K719" s="12">
        <f t="shared" si="123"/>
        <v>0.10030000000000001</v>
      </c>
      <c r="L719" s="12">
        <f t="shared" si="124"/>
        <v>0.69030000000000014</v>
      </c>
      <c r="M719" s="2"/>
      <c r="N719" s="2"/>
      <c r="O719" s="2">
        <f t="shared" si="125"/>
        <v>345.15000000000009</v>
      </c>
      <c r="P719" s="2"/>
      <c r="Q719" s="2"/>
      <c r="R719" s="28">
        <v>16.666666666666668</v>
      </c>
    </row>
    <row r="720" spans="1:18" hidden="1" x14ac:dyDescent="0.25">
      <c r="A720" s="16">
        <v>45627</v>
      </c>
      <c r="B720" s="2" t="s">
        <v>90</v>
      </c>
      <c r="C720" s="2">
        <v>350</v>
      </c>
      <c r="D720" s="19">
        <v>0.1</v>
      </c>
      <c r="E720" s="11">
        <v>0.36</v>
      </c>
      <c r="F720" s="10">
        <f t="shared" si="120"/>
        <v>900</v>
      </c>
      <c r="G720" s="10">
        <f t="shared" si="121"/>
        <v>0.35</v>
      </c>
      <c r="H720" s="12">
        <f t="shared" si="122"/>
        <v>0.3888888888888889</v>
      </c>
      <c r="I720" s="12">
        <v>0.02</v>
      </c>
      <c r="J720" s="12">
        <v>7.0000000000000007E-2</v>
      </c>
      <c r="K720" s="12">
        <f t="shared" si="123"/>
        <v>0.1724</v>
      </c>
      <c r="L720" s="12">
        <f t="shared" si="124"/>
        <v>0.65128888888888892</v>
      </c>
      <c r="M720" s="2"/>
      <c r="N720" s="2"/>
      <c r="O720" s="2">
        <f t="shared" si="125"/>
        <v>325.64444444444445</v>
      </c>
      <c r="P720" s="2"/>
      <c r="Q720" s="2"/>
      <c r="R720" s="28">
        <v>16.666666666666668</v>
      </c>
    </row>
    <row r="721" spans="1:18" hidden="1" x14ac:dyDescent="0.25">
      <c r="A721" s="16">
        <v>45629</v>
      </c>
      <c r="B721" s="2" t="s">
        <v>95</v>
      </c>
      <c r="C721" s="2">
        <v>200</v>
      </c>
      <c r="D721" s="19">
        <v>0</v>
      </c>
      <c r="E721" s="11">
        <v>0</v>
      </c>
      <c r="F721" s="10">
        <f t="shared" si="120"/>
        <v>1000</v>
      </c>
      <c r="G721" s="10">
        <f t="shared" si="121"/>
        <v>0.2</v>
      </c>
      <c r="H721" s="12">
        <f t="shared" si="122"/>
        <v>0.2</v>
      </c>
      <c r="I721" s="12">
        <v>0.02</v>
      </c>
      <c r="J721" s="12">
        <v>7.0000000000000007E-2</v>
      </c>
      <c r="K721" s="12">
        <f t="shared" si="123"/>
        <v>0</v>
      </c>
      <c r="L721" s="12">
        <f t="shared" si="124"/>
        <v>0.29000000000000004</v>
      </c>
      <c r="M721" s="2"/>
      <c r="N721" s="2"/>
      <c r="O721" s="2">
        <f t="shared" si="125"/>
        <v>145.00000000000003</v>
      </c>
      <c r="P721" s="2"/>
      <c r="Q721" s="2"/>
      <c r="R721" s="28">
        <v>16.666666666666668</v>
      </c>
    </row>
    <row r="722" spans="1:18" hidden="1" x14ac:dyDescent="0.25">
      <c r="A722" s="16">
        <v>45629</v>
      </c>
      <c r="B722" s="2" t="s">
        <v>94</v>
      </c>
      <c r="C722" s="2">
        <v>200</v>
      </c>
      <c r="D722" s="19">
        <v>0</v>
      </c>
      <c r="E722" s="11">
        <v>0</v>
      </c>
      <c r="F722" s="10">
        <f t="shared" si="120"/>
        <v>1000</v>
      </c>
      <c r="G722" s="10">
        <f t="shared" si="121"/>
        <v>0.2</v>
      </c>
      <c r="H722" s="12">
        <f t="shared" si="122"/>
        <v>0.2</v>
      </c>
      <c r="I722" s="12">
        <v>0.02</v>
      </c>
      <c r="J722" s="12">
        <v>7.0000000000000007E-2</v>
      </c>
      <c r="K722" s="12">
        <f t="shared" si="123"/>
        <v>0</v>
      </c>
      <c r="L722" s="12">
        <f t="shared" si="124"/>
        <v>0.29000000000000004</v>
      </c>
      <c r="M722" s="2"/>
      <c r="N722" s="2"/>
      <c r="O722" s="2">
        <f t="shared" si="125"/>
        <v>145.00000000000003</v>
      </c>
      <c r="P722" s="2"/>
      <c r="Q722" s="2"/>
      <c r="R722" s="28">
        <v>16.666666666666668</v>
      </c>
    </row>
    <row r="723" spans="1:18" hidden="1" x14ac:dyDescent="0.25">
      <c r="A723" s="16">
        <v>45629</v>
      </c>
      <c r="B723" s="2" t="s">
        <v>92</v>
      </c>
      <c r="C723" s="2">
        <v>430</v>
      </c>
      <c r="D723" s="19">
        <v>0</v>
      </c>
      <c r="E723" s="11">
        <v>0.25</v>
      </c>
      <c r="F723" s="10">
        <f t="shared" si="120"/>
        <v>1000</v>
      </c>
      <c r="G723" s="10">
        <f t="shared" si="121"/>
        <v>0.43</v>
      </c>
      <c r="H723" s="12">
        <f t="shared" si="122"/>
        <v>0.43</v>
      </c>
      <c r="I723" s="12">
        <v>0.02</v>
      </c>
      <c r="J723" s="12">
        <v>7.0000000000000007E-2</v>
      </c>
      <c r="K723" s="12">
        <f t="shared" si="123"/>
        <v>0.13</v>
      </c>
      <c r="L723" s="12">
        <f t="shared" si="124"/>
        <v>0.65</v>
      </c>
      <c r="M723" s="2"/>
      <c r="N723" s="2"/>
      <c r="O723" s="2">
        <f t="shared" si="125"/>
        <v>325</v>
      </c>
      <c r="P723" s="2"/>
      <c r="Q723" s="2"/>
      <c r="R723" s="28">
        <v>16.666666666666668</v>
      </c>
    </row>
    <row r="724" spans="1:18" hidden="1" x14ac:dyDescent="0.25">
      <c r="A724" s="16">
        <v>45629</v>
      </c>
      <c r="B724" s="2" t="s">
        <v>185</v>
      </c>
      <c r="C724" s="2">
        <v>370</v>
      </c>
      <c r="D724" s="19">
        <v>0.04</v>
      </c>
      <c r="E724" s="11">
        <v>0.16</v>
      </c>
      <c r="F724" s="10">
        <f t="shared" si="120"/>
        <v>960</v>
      </c>
      <c r="G724" s="10">
        <f t="shared" si="121"/>
        <v>0.37</v>
      </c>
      <c r="H724" s="12">
        <f t="shared" si="122"/>
        <v>0.38541666666666669</v>
      </c>
      <c r="I724" s="12">
        <v>0.02</v>
      </c>
      <c r="J724" s="12">
        <v>7.0000000000000007E-2</v>
      </c>
      <c r="K724" s="12">
        <f t="shared" si="123"/>
        <v>7.6066666666666671E-2</v>
      </c>
      <c r="L724" s="12">
        <f t="shared" si="124"/>
        <v>0.55148333333333333</v>
      </c>
      <c r="M724" s="2"/>
      <c r="N724" s="2"/>
      <c r="O724" s="2">
        <f t="shared" si="125"/>
        <v>275.74166666666667</v>
      </c>
      <c r="P724" s="2"/>
      <c r="Q724" s="2"/>
      <c r="R724" s="28">
        <v>16.666666666666668</v>
      </c>
    </row>
    <row r="725" spans="1:18" hidden="1" x14ac:dyDescent="0.25">
      <c r="A725" s="16">
        <v>45630</v>
      </c>
      <c r="B725" s="2" t="s">
        <v>111</v>
      </c>
      <c r="C725" s="2">
        <v>650</v>
      </c>
      <c r="D725" s="19">
        <v>0.31</v>
      </c>
      <c r="E725" s="11">
        <v>0.45400000000000001</v>
      </c>
      <c r="F725" s="2">
        <f t="shared" si="120"/>
        <v>690</v>
      </c>
      <c r="G725" s="2">
        <f t="shared" si="121"/>
        <v>0.65</v>
      </c>
      <c r="H725" s="12">
        <f t="shared" si="122"/>
        <v>0.94202898550724634</v>
      </c>
      <c r="I725" s="12">
        <v>0.02</v>
      </c>
      <c r="J725" s="12">
        <v>7.0000000000000007E-2</v>
      </c>
      <c r="K725" s="12">
        <f t="shared" si="123"/>
        <v>0.4685411594202899</v>
      </c>
      <c r="L725" s="12">
        <f t="shared" si="124"/>
        <v>1.5005701449275364</v>
      </c>
      <c r="M725" s="2">
        <f>L725*250</f>
        <v>375.14253623188409</v>
      </c>
      <c r="N725" s="2"/>
      <c r="O725" s="12">
        <f t="shared" si="125"/>
        <v>750.28507246376819</v>
      </c>
      <c r="P725" s="2"/>
      <c r="Q725" s="2">
        <f>L725*1000</f>
        <v>1500.5701449275364</v>
      </c>
      <c r="R725" s="28">
        <v>16.666666666666668</v>
      </c>
    </row>
    <row r="726" spans="1:18" hidden="1" x14ac:dyDescent="0.25">
      <c r="A726" s="16">
        <v>45630</v>
      </c>
      <c r="B726" s="2" t="s">
        <v>112</v>
      </c>
      <c r="C726" s="2">
        <v>650</v>
      </c>
      <c r="D726" s="19">
        <v>0.31</v>
      </c>
      <c r="E726" s="11">
        <v>0.40500000000000003</v>
      </c>
      <c r="F726" s="2">
        <f t="shared" si="120"/>
        <v>690</v>
      </c>
      <c r="G726" s="2">
        <f t="shared" si="121"/>
        <v>0.65</v>
      </c>
      <c r="H726" s="12">
        <f t="shared" si="122"/>
        <v>0.94202898550724634</v>
      </c>
      <c r="I726" s="12">
        <v>0.02</v>
      </c>
      <c r="J726" s="12">
        <v>7.0000000000000007E-2</v>
      </c>
      <c r="K726" s="12">
        <f t="shared" si="123"/>
        <v>0.41797173913043484</v>
      </c>
      <c r="L726" s="12">
        <f t="shared" si="124"/>
        <v>1.4500007246376811</v>
      </c>
      <c r="M726" s="2"/>
      <c r="N726" s="2"/>
      <c r="O726" s="12">
        <f t="shared" si="125"/>
        <v>725.00036231884053</v>
      </c>
      <c r="P726" s="2"/>
      <c r="Q726" s="2">
        <f>L726*1000</f>
        <v>1450.0007246376811</v>
      </c>
      <c r="R726" s="28">
        <v>16.666666666666668</v>
      </c>
    </row>
    <row r="727" spans="1:18" hidden="1" x14ac:dyDescent="0.25">
      <c r="A727" s="16">
        <v>45630</v>
      </c>
      <c r="B727" s="2" t="s">
        <v>204</v>
      </c>
      <c r="C727" s="2">
        <v>620</v>
      </c>
      <c r="D727" s="19">
        <v>0.39</v>
      </c>
      <c r="E727" s="11">
        <v>0.221</v>
      </c>
      <c r="F727" s="2">
        <f t="shared" si="120"/>
        <v>610</v>
      </c>
      <c r="G727" s="2">
        <f t="shared" si="121"/>
        <v>0.62</v>
      </c>
      <c r="H727" s="2">
        <f t="shared" si="122"/>
        <v>1.0163934426229508</v>
      </c>
      <c r="I727" s="12">
        <v>0.02</v>
      </c>
      <c r="J727" s="12">
        <v>7.0000000000000007E-2</v>
      </c>
      <c r="K727" s="12">
        <f t="shared" si="123"/>
        <v>0.24451295081967214</v>
      </c>
      <c r="L727" s="12">
        <f t="shared" si="124"/>
        <v>1.3509063934426231</v>
      </c>
      <c r="M727" s="2" t="s">
        <v>72</v>
      </c>
      <c r="N727" s="2"/>
      <c r="O727" s="2">
        <f t="shared" si="125"/>
        <v>675.45319672131154</v>
      </c>
      <c r="P727" s="2"/>
      <c r="Q727" s="2">
        <f>L727*1000</f>
        <v>1350.9063934426231</v>
      </c>
      <c r="R727" s="28">
        <f>K727/L727%</f>
        <v>18.099918099918099</v>
      </c>
    </row>
    <row r="728" spans="1:18" hidden="1" x14ac:dyDescent="0.25">
      <c r="A728" s="16">
        <v>45630</v>
      </c>
      <c r="B728" s="2" t="s">
        <v>205</v>
      </c>
      <c r="C728" s="2">
        <v>620</v>
      </c>
      <c r="D728" s="19">
        <v>0.39</v>
      </c>
      <c r="E728" s="11">
        <v>0.25</v>
      </c>
      <c r="F728" s="2">
        <f t="shared" si="120"/>
        <v>610</v>
      </c>
      <c r="G728" s="2">
        <f t="shared" si="121"/>
        <v>0.62</v>
      </c>
      <c r="H728" s="2">
        <f t="shared" si="122"/>
        <v>1.0163934426229508</v>
      </c>
      <c r="I728" s="12">
        <v>0.02</v>
      </c>
      <c r="J728" s="12">
        <v>7.0000000000000007E-2</v>
      </c>
      <c r="K728" s="12">
        <f t="shared" si="123"/>
        <v>0.27659836065573773</v>
      </c>
      <c r="L728" s="12">
        <f t="shared" si="124"/>
        <v>1.3829918032786885</v>
      </c>
      <c r="M728" s="2">
        <f>L728*250</f>
        <v>345.74795081967216</v>
      </c>
      <c r="N728" s="2"/>
      <c r="O728" s="2"/>
      <c r="P728" s="2"/>
      <c r="Q728" s="2">
        <f>L728*1000</f>
        <v>1382.9918032786886</v>
      </c>
      <c r="R728" s="28">
        <f>K728/L728%</f>
        <v>20</v>
      </c>
    </row>
    <row r="729" spans="1:18" hidden="1" x14ac:dyDescent="0.25">
      <c r="A729" s="16">
        <v>45630</v>
      </c>
      <c r="B729" s="2" t="s">
        <v>40</v>
      </c>
      <c r="C729" s="2">
        <v>200</v>
      </c>
      <c r="D729" s="19">
        <v>0.19</v>
      </c>
      <c r="E729" s="11">
        <v>0.04</v>
      </c>
      <c r="F729" s="2">
        <f t="shared" si="120"/>
        <v>810</v>
      </c>
      <c r="G729" s="10">
        <f t="shared" si="121"/>
        <v>0.2</v>
      </c>
      <c r="H729" s="2">
        <f t="shared" si="122"/>
        <v>0.24691358024691357</v>
      </c>
      <c r="I729" s="12">
        <v>0.02</v>
      </c>
      <c r="J729" s="12">
        <v>7.0000000000000007E-2</v>
      </c>
      <c r="K729" s="12">
        <f t="shared" si="123"/>
        <v>1.3476543209876544E-2</v>
      </c>
      <c r="L729" s="12">
        <f t="shared" si="124"/>
        <v>0.35039012345679016</v>
      </c>
      <c r="M729" s="2"/>
      <c r="N729" s="2"/>
      <c r="O729" s="2">
        <f t="shared" ref="O729:O748" si="126">L729*500</f>
        <v>175.19506172839507</v>
      </c>
      <c r="P729" s="2"/>
      <c r="Q729" s="2"/>
      <c r="R729" s="28">
        <f>K729/L729%</f>
        <v>3.8461538461538458</v>
      </c>
    </row>
    <row r="730" spans="1:18" hidden="1" x14ac:dyDescent="0.25">
      <c r="A730" s="16">
        <v>45630</v>
      </c>
      <c r="B730" s="2" t="s">
        <v>94</v>
      </c>
      <c r="C730" s="2">
        <v>180</v>
      </c>
      <c r="D730" s="19">
        <v>0.12</v>
      </c>
      <c r="E730" s="11">
        <v>0.19</v>
      </c>
      <c r="F730" s="10">
        <f t="shared" si="120"/>
        <v>880</v>
      </c>
      <c r="G730" s="10">
        <f t="shared" si="121"/>
        <v>0.18</v>
      </c>
      <c r="H730" s="12">
        <f t="shared" si="122"/>
        <v>0.20454545454545456</v>
      </c>
      <c r="I730" s="12">
        <v>0.02</v>
      </c>
      <c r="J730" s="12">
        <v>7.0000000000000007E-2</v>
      </c>
      <c r="K730" s="12">
        <f t="shared" si="123"/>
        <v>5.5963636363636368E-2</v>
      </c>
      <c r="L730" s="12">
        <f t="shared" si="124"/>
        <v>0.35050909090909094</v>
      </c>
      <c r="M730" s="2"/>
      <c r="N730" s="2"/>
      <c r="O730" s="2">
        <f t="shared" si="126"/>
        <v>175.25454545454548</v>
      </c>
      <c r="P730" s="2"/>
      <c r="Q730" s="2"/>
      <c r="R730" s="28">
        <v>16.666666666666668</v>
      </c>
    </row>
    <row r="731" spans="1:18" hidden="1" x14ac:dyDescent="0.25">
      <c r="A731" s="16">
        <v>45630</v>
      </c>
      <c r="B731" s="2" t="s">
        <v>95</v>
      </c>
      <c r="C731" s="2">
        <v>180</v>
      </c>
      <c r="D731" s="19">
        <v>0.12</v>
      </c>
      <c r="E731" s="11">
        <v>0.19</v>
      </c>
      <c r="F731" s="10">
        <f t="shared" si="120"/>
        <v>880</v>
      </c>
      <c r="G731" s="10">
        <f t="shared" si="121"/>
        <v>0.18</v>
      </c>
      <c r="H731" s="12">
        <f t="shared" si="122"/>
        <v>0.20454545454545456</v>
      </c>
      <c r="I731" s="12">
        <v>0.02</v>
      </c>
      <c r="J731" s="12">
        <v>7.0000000000000007E-2</v>
      </c>
      <c r="K731" s="12">
        <f t="shared" si="123"/>
        <v>5.5963636363636368E-2</v>
      </c>
      <c r="L731" s="12">
        <f t="shared" si="124"/>
        <v>0.35050909090909094</v>
      </c>
      <c r="M731" s="2"/>
      <c r="N731" s="2"/>
      <c r="O731" s="2">
        <f t="shared" si="126"/>
        <v>175.25454545454548</v>
      </c>
      <c r="P731" s="2"/>
      <c r="Q731" s="2"/>
      <c r="R731" s="28">
        <v>16.666666666666668</v>
      </c>
    </row>
    <row r="732" spans="1:18" hidden="1" x14ac:dyDescent="0.25">
      <c r="A732" s="16">
        <v>45630</v>
      </c>
      <c r="B732" s="2" t="s">
        <v>110</v>
      </c>
      <c r="C732" s="2">
        <v>110</v>
      </c>
      <c r="D732" s="19">
        <v>0.02</v>
      </c>
      <c r="E732" s="11">
        <v>0.24</v>
      </c>
      <c r="F732" s="2">
        <f t="shared" si="120"/>
        <v>980</v>
      </c>
      <c r="G732" s="2">
        <f t="shared" si="121"/>
        <v>0.11</v>
      </c>
      <c r="H732" s="2">
        <f t="shared" si="122"/>
        <v>0.11224489795918367</v>
      </c>
      <c r="I732" s="12">
        <v>0.02</v>
      </c>
      <c r="J732" s="12">
        <v>7.0000000000000007E-2</v>
      </c>
      <c r="K732" s="12">
        <f t="shared" si="123"/>
        <v>4.853877551020408E-2</v>
      </c>
      <c r="L732" s="12">
        <f t="shared" si="124"/>
        <v>0.25078367346938779</v>
      </c>
      <c r="M732" s="2"/>
      <c r="N732" s="2"/>
      <c r="O732" s="2">
        <f t="shared" si="126"/>
        <v>125.3918367346939</v>
      </c>
      <c r="P732" s="2"/>
      <c r="Q732" s="2"/>
      <c r="R732" s="28">
        <v>16.666666666666668</v>
      </c>
    </row>
    <row r="733" spans="1:18" hidden="1" x14ac:dyDescent="0.25">
      <c r="A733" s="16">
        <v>45631</v>
      </c>
      <c r="B733" s="2" t="s">
        <v>162</v>
      </c>
      <c r="C733" s="2">
        <v>150</v>
      </c>
      <c r="D733" s="19">
        <v>0.1</v>
      </c>
      <c r="E733" s="11">
        <v>0.37</v>
      </c>
      <c r="F733" s="2">
        <f t="shared" si="120"/>
        <v>900</v>
      </c>
      <c r="G733" s="2">
        <f t="shared" si="121"/>
        <v>0.15</v>
      </c>
      <c r="H733" s="2">
        <f t="shared" si="122"/>
        <v>0.16666666666666666</v>
      </c>
      <c r="I733" s="12">
        <v>0.02</v>
      </c>
      <c r="J733" s="12">
        <v>7.0000000000000007E-2</v>
      </c>
      <c r="K733" s="12">
        <f t="shared" si="123"/>
        <v>9.4966666666666658E-2</v>
      </c>
      <c r="L733" s="12">
        <f t="shared" si="124"/>
        <v>0.3516333333333333</v>
      </c>
      <c r="M733" s="2"/>
      <c r="N733" s="2"/>
      <c r="O733" s="2">
        <f t="shared" si="126"/>
        <v>175.81666666666666</v>
      </c>
      <c r="P733" s="2"/>
      <c r="Q733" s="2"/>
      <c r="R733" s="28">
        <v>16.666666666666668</v>
      </c>
    </row>
    <row r="734" spans="1:18" hidden="1" x14ac:dyDescent="0.25">
      <c r="A734" s="16">
        <v>45631</v>
      </c>
      <c r="B734" s="2" t="s">
        <v>185</v>
      </c>
      <c r="C734" s="2">
        <v>330</v>
      </c>
      <c r="D734" s="19">
        <v>0.01</v>
      </c>
      <c r="E734" s="11">
        <v>0.3</v>
      </c>
      <c r="F734" s="2">
        <f t="shared" si="120"/>
        <v>990</v>
      </c>
      <c r="G734" s="2">
        <f t="shared" si="121"/>
        <v>0.33</v>
      </c>
      <c r="H734" s="2">
        <f t="shared" si="122"/>
        <v>0.33333333333333331</v>
      </c>
      <c r="I734" s="12">
        <v>0.02</v>
      </c>
      <c r="J734" s="12">
        <v>7.0000000000000007E-2</v>
      </c>
      <c r="K734" s="12">
        <f t="shared" si="123"/>
        <v>0.127</v>
      </c>
      <c r="L734" s="12">
        <f t="shared" si="124"/>
        <v>0.55033333333333334</v>
      </c>
      <c r="M734" s="2"/>
      <c r="N734" s="2"/>
      <c r="O734" s="2">
        <f t="shared" si="126"/>
        <v>275.16666666666669</v>
      </c>
      <c r="P734" s="2"/>
      <c r="Q734" s="2"/>
      <c r="R734" s="28">
        <v>16.666666666666668</v>
      </c>
    </row>
    <row r="735" spans="1:18" hidden="1" x14ac:dyDescent="0.25">
      <c r="A735" s="16">
        <v>45631</v>
      </c>
      <c r="B735" s="2" t="s">
        <v>92</v>
      </c>
      <c r="C735" s="2">
        <v>430</v>
      </c>
      <c r="D735" s="19">
        <v>0</v>
      </c>
      <c r="E735" s="11">
        <v>0.25</v>
      </c>
      <c r="F735" s="2">
        <f t="shared" si="120"/>
        <v>1000</v>
      </c>
      <c r="G735" s="2">
        <f t="shared" si="121"/>
        <v>0.43</v>
      </c>
      <c r="H735" s="2">
        <f t="shared" si="122"/>
        <v>0.43</v>
      </c>
      <c r="I735" s="12">
        <v>0.02</v>
      </c>
      <c r="J735" s="12">
        <v>7.0000000000000007E-2</v>
      </c>
      <c r="K735" s="12">
        <f t="shared" si="123"/>
        <v>0.13</v>
      </c>
      <c r="L735" s="12">
        <f t="shared" si="124"/>
        <v>0.65</v>
      </c>
      <c r="M735" s="2"/>
      <c r="N735" s="2"/>
      <c r="O735" s="2">
        <f t="shared" si="126"/>
        <v>325</v>
      </c>
      <c r="P735" s="2"/>
      <c r="Q735" s="2"/>
      <c r="R735" s="28">
        <v>16.666666666666668</v>
      </c>
    </row>
    <row r="736" spans="1:18" hidden="1" x14ac:dyDescent="0.25">
      <c r="A736" s="16">
        <v>45632</v>
      </c>
      <c r="B736" s="2" t="s">
        <v>114</v>
      </c>
      <c r="C736" s="2">
        <v>630</v>
      </c>
      <c r="D736" s="19">
        <v>0.55120000000000002</v>
      </c>
      <c r="E736" s="11">
        <v>0.192</v>
      </c>
      <c r="F736" s="2">
        <f t="shared" si="120"/>
        <v>448.79999999999995</v>
      </c>
      <c r="G736" s="2">
        <f t="shared" si="121"/>
        <v>0.63</v>
      </c>
      <c r="H736" s="2">
        <f t="shared" si="122"/>
        <v>1.4037433155080214</v>
      </c>
      <c r="I736" s="12">
        <v>0.02</v>
      </c>
      <c r="J736" s="12">
        <v>7.0000000000000007E-2</v>
      </c>
      <c r="K736" s="12">
        <f t="shared" si="123"/>
        <v>0.28679871657754014</v>
      </c>
      <c r="L736" s="12">
        <f t="shared" si="124"/>
        <v>1.7805420320855616</v>
      </c>
      <c r="M736" s="2">
        <f>L736*250</f>
        <v>445.13550802139042</v>
      </c>
      <c r="N736" s="2"/>
      <c r="O736" s="12">
        <f t="shared" si="126"/>
        <v>890.27101604278084</v>
      </c>
      <c r="P736" s="2"/>
      <c r="Q736" s="2">
        <f>L736*1000</f>
        <v>1780.5420320855617</v>
      </c>
      <c r="R736" s="28">
        <v>16.666666666666668</v>
      </c>
    </row>
    <row r="737" spans="1:18" hidden="1" x14ac:dyDescent="0.25">
      <c r="A737" s="16">
        <v>45632</v>
      </c>
      <c r="B737" s="2" t="s">
        <v>186</v>
      </c>
      <c r="C737" s="2">
        <v>630</v>
      </c>
      <c r="D737" s="19">
        <v>0.55120000000000002</v>
      </c>
      <c r="E737" s="11">
        <v>0.19900000000000001</v>
      </c>
      <c r="F737" s="2">
        <f t="shared" si="120"/>
        <v>448.79999999999995</v>
      </c>
      <c r="G737" s="2">
        <f t="shared" si="121"/>
        <v>0.63</v>
      </c>
      <c r="H737" s="2">
        <f t="shared" si="122"/>
        <v>1.4037433155080214</v>
      </c>
      <c r="I737" s="12">
        <v>0.02</v>
      </c>
      <c r="J737" s="12">
        <v>7.0000000000000007E-2</v>
      </c>
      <c r="K737" s="12">
        <f t="shared" si="123"/>
        <v>0.29725491978609631</v>
      </c>
      <c r="L737" s="12">
        <f t="shared" si="124"/>
        <v>1.7909982352941178</v>
      </c>
      <c r="M737" s="2"/>
      <c r="N737" s="2"/>
      <c r="O737" s="12">
        <f t="shared" si="126"/>
        <v>895.49911764705894</v>
      </c>
      <c r="P737" s="2"/>
      <c r="Q737" s="2"/>
      <c r="R737" s="28">
        <v>16.666666666666668</v>
      </c>
    </row>
    <row r="738" spans="1:18" hidden="1" x14ac:dyDescent="0.25">
      <c r="A738" s="16">
        <v>45632</v>
      </c>
      <c r="B738" s="2" t="s">
        <v>91</v>
      </c>
      <c r="C738" s="2">
        <v>370</v>
      </c>
      <c r="D738" s="19">
        <v>0.14000000000000001</v>
      </c>
      <c r="E738" s="11">
        <v>0.25</v>
      </c>
      <c r="F738" s="10">
        <f t="shared" si="120"/>
        <v>860</v>
      </c>
      <c r="G738" s="10">
        <f t="shared" si="121"/>
        <v>0.37</v>
      </c>
      <c r="H738" s="12">
        <f t="shared" si="122"/>
        <v>0.43023255813953487</v>
      </c>
      <c r="I738" s="12">
        <v>0.02</v>
      </c>
      <c r="J738" s="12">
        <v>7.0000000000000007E-2</v>
      </c>
      <c r="K738" s="12">
        <f t="shared" si="123"/>
        <v>0.13005813953488371</v>
      </c>
      <c r="L738" s="12">
        <f t="shared" si="124"/>
        <v>0.65029069767441849</v>
      </c>
      <c r="M738" s="2"/>
      <c r="N738" s="2"/>
      <c r="O738" s="2">
        <f t="shared" si="126"/>
        <v>325.14534883720927</v>
      </c>
      <c r="P738" s="2"/>
      <c r="Q738" s="2"/>
      <c r="R738" s="28">
        <v>16.666666666666668</v>
      </c>
    </row>
    <row r="739" spans="1:18" hidden="1" x14ac:dyDescent="0.25">
      <c r="A739" s="16">
        <v>45632</v>
      </c>
      <c r="B739" s="2" t="s">
        <v>90</v>
      </c>
      <c r="C739" s="2">
        <v>370</v>
      </c>
      <c r="D739" s="19">
        <v>0.14000000000000001</v>
      </c>
      <c r="E739" s="11">
        <v>0.25</v>
      </c>
      <c r="F739" s="10">
        <f t="shared" si="120"/>
        <v>860</v>
      </c>
      <c r="G739" s="10">
        <f t="shared" si="121"/>
        <v>0.37</v>
      </c>
      <c r="H739" s="12">
        <f t="shared" si="122"/>
        <v>0.43023255813953487</v>
      </c>
      <c r="I739" s="12">
        <v>0.02</v>
      </c>
      <c r="J739" s="12">
        <v>7.0000000000000007E-2</v>
      </c>
      <c r="K739" s="12">
        <f t="shared" si="123"/>
        <v>0.13005813953488371</v>
      </c>
      <c r="L739" s="12">
        <f t="shared" si="124"/>
        <v>0.65029069767441849</v>
      </c>
      <c r="M739" s="2"/>
      <c r="N739" s="2"/>
      <c r="O739" s="2">
        <f t="shared" si="126"/>
        <v>325.14534883720927</v>
      </c>
      <c r="P739" s="2"/>
      <c r="Q739" s="2"/>
      <c r="R739" s="28">
        <v>16.666666666666668</v>
      </c>
    </row>
    <row r="740" spans="1:18" hidden="1" x14ac:dyDescent="0.25">
      <c r="A740" s="16">
        <v>45632</v>
      </c>
      <c r="B740" s="2" t="s">
        <v>154</v>
      </c>
      <c r="C740" s="2">
        <v>200</v>
      </c>
      <c r="D740" s="19">
        <v>0.15</v>
      </c>
      <c r="E740" s="11">
        <v>0.08</v>
      </c>
      <c r="F740" s="10">
        <f t="shared" si="120"/>
        <v>850</v>
      </c>
      <c r="G740" s="10">
        <f t="shared" si="121"/>
        <v>0.2</v>
      </c>
      <c r="H740" s="12">
        <f t="shared" si="122"/>
        <v>0.23529411764705882</v>
      </c>
      <c r="I740" s="12">
        <v>0.02</v>
      </c>
      <c r="J740" s="12">
        <v>7.0000000000000007E-2</v>
      </c>
      <c r="K740" s="12">
        <f t="shared" si="123"/>
        <v>2.6023529411764709E-2</v>
      </c>
      <c r="L740" s="12">
        <f t="shared" si="124"/>
        <v>0.35131764705882357</v>
      </c>
      <c r="M740" s="2"/>
      <c r="N740" s="2"/>
      <c r="O740" s="2">
        <f t="shared" si="126"/>
        <v>175.65882352941179</v>
      </c>
      <c r="P740" s="2"/>
      <c r="Q740" s="2"/>
      <c r="R740" s="28">
        <v>16.666666666666668</v>
      </c>
    </row>
    <row r="741" spans="1:18" hidden="1" x14ac:dyDescent="0.25">
      <c r="A741" s="16">
        <v>45632</v>
      </c>
      <c r="B741" s="2" t="s">
        <v>94</v>
      </c>
      <c r="C741" s="2">
        <v>200</v>
      </c>
      <c r="D741" s="19">
        <v>0.15</v>
      </c>
      <c r="E741" s="11">
        <v>0.08</v>
      </c>
      <c r="F741" s="10">
        <f t="shared" si="120"/>
        <v>850</v>
      </c>
      <c r="G741" s="10">
        <f t="shared" si="121"/>
        <v>0.2</v>
      </c>
      <c r="H741" s="12">
        <f t="shared" si="122"/>
        <v>0.23529411764705882</v>
      </c>
      <c r="I741" s="12">
        <v>0.02</v>
      </c>
      <c r="J741" s="12">
        <v>7.0000000000000007E-2</v>
      </c>
      <c r="K741" s="12">
        <f t="shared" si="123"/>
        <v>2.6023529411764709E-2</v>
      </c>
      <c r="L741" s="12">
        <f t="shared" si="124"/>
        <v>0.35131764705882357</v>
      </c>
      <c r="M741" s="2"/>
      <c r="N741" s="2"/>
      <c r="O741" s="2">
        <f t="shared" si="126"/>
        <v>175.65882352941179</v>
      </c>
      <c r="P741" s="2"/>
      <c r="Q741" s="2"/>
      <c r="R741" s="28">
        <v>16.666666666666668</v>
      </c>
    </row>
    <row r="742" spans="1:18" hidden="1" x14ac:dyDescent="0.25">
      <c r="A742" s="16">
        <v>45632</v>
      </c>
      <c r="B742" s="2" t="s">
        <v>97</v>
      </c>
      <c r="C742" s="2">
        <v>240</v>
      </c>
      <c r="D742" s="19">
        <v>0.02</v>
      </c>
      <c r="E742" s="11">
        <v>0.46</v>
      </c>
      <c r="F742" s="10">
        <f t="shared" si="120"/>
        <v>980</v>
      </c>
      <c r="G742" s="2">
        <f t="shared" si="121"/>
        <v>0.24</v>
      </c>
      <c r="H742" s="12">
        <f t="shared" si="122"/>
        <v>0.24489795918367346</v>
      </c>
      <c r="I742" s="12">
        <v>0.02</v>
      </c>
      <c r="J742" s="12">
        <v>7.0000000000000007E-2</v>
      </c>
      <c r="K742" s="12">
        <f t="shared" si="123"/>
        <v>0.15405306122448981</v>
      </c>
      <c r="L742" s="12">
        <f t="shared" si="124"/>
        <v>0.48895102040816329</v>
      </c>
      <c r="M742" s="2"/>
      <c r="N742" s="2"/>
      <c r="O742" s="2">
        <f t="shared" si="126"/>
        <v>244.47551020408164</v>
      </c>
      <c r="P742" s="2"/>
      <c r="Q742" s="2"/>
      <c r="R742" s="28">
        <v>16.666666666666668</v>
      </c>
    </row>
    <row r="743" spans="1:18" hidden="1" x14ac:dyDescent="0.25">
      <c r="A743" s="16">
        <v>45633</v>
      </c>
      <c r="B743" s="2" t="s">
        <v>94</v>
      </c>
      <c r="C743" s="2">
        <v>200</v>
      </c>
      <c r="D743" s="19">
        <v>0.15</v>
      </c>
      <c r="E743" s="11">
        <v>0.08</v>
      </c>
      <c r="F743" s="10">
        <f t="shared" si="120"/>
        <v>850</v>
      </c>
      <c r="G743" s="2">
        <f t="shared" si="121"/>
        <v>0.2</v>
      </c>
      <c r="H743" s="12">
        <f t="shared" si="122"/>
        <v>0.23529411764705882</v>
      </c>
      <c r="I743" s="12">
        <v>0.02</v>
      </c>
      <c r="J743" s="12">
        <v>7.0000000000000007E-2</v>
      </c>
      <c r="K743" s="12">
        <f t="shared" si="123"/>
        <v>2.6023529411764709E-2</v>
      </c>
      <c r="L743" s="12">
        <f t="shared" si="124"/>
        <v>0.35131764705882357</v>
      </c>
      <c r="M743" s="2"/>
      <c r="N743" s="2"/>
      <c r="O743" s="2">
        <f t="shared" si="126"/>
        <v>175.65882352941179</v>
      </c>
      <c r="P743" s="2"/>
      <c r="Q743" s="2"/>
      <c r="R743" s="28">
        <v>16.666666666666668</v>
      </c>
    </row>
    <row r="744" spans="1:18" hidden="1" x14ac:dyDescent="0.25">
      <c r="A744" s="16">
        <v>45633</v>
      </c>
      <c r="B744" s="2" t="s">
        <v>95</v>
      </c>
      <c r="C744" s="2">
        <v>200</v>
      </c>
      <c r="D744" s="19">
        <v>0.15</v>
      </c>
      <c r="E744" s="11">
        <v>0.08</v>
      </c>
      <c r="F744" s="10">
        <f t="shared" si="120"/>
        <v>850</v>
      </c>
      <c r="G744" s="2">
        <f t="shared" si="121"/>
        <v>0.2</v>
      </c>
      <c r="H744" s="12">
        <f t="shared" si="122"/>
        <v>0.23529411764705882</v>
      </c>
      <c r="I744" s="12">
        <v>0.02</v>
      </c>
      <c r="J744" s="12">
        <v>7.0000000000000007E-2</v>
      </c>
      <c r="K744" s="12">
        <f t="shared" si="123"/>
        <v>2.6023529411764709E-2</v>
      </c>
      <c r="L744" s="12">
        <f t="shared" si="124"/>
        <v>0.35131764705882357</v>
      </c>
      <c r="M744" s="2"/>
      <c r="N744" s="2"/>
      <c r="O744" s="2">
        <f t="shared" si="126"/>
        <v>175.65882352941179</v>
      </c>
      <c r="P744" s="2"/>
      <c r="Q744" s="2"/>
      <c r="R744" s="28">
        <v>16.666666666666668</v>
      </c>
    </row>
    <row r="745" spans="1:18" hidden="1" x14ac:dyDescent="0.25">
      <c r="A745" s="16">
        <v>45633</v>
      </c>
      <c r="B745" s="2" t="s">
        <v>90</v>
      </c>
      <c r="C745" s="2">
        <v>450</v>
      </c>
      <c r="D745" s="19">
        <v>0</v>
      </c>
      <c r="E745" s="11">
        <v>0.20499999999999999</v>
      </c>
      <c r="F745" s="10">
        <f t="shared" si="120"/>
        <v>1000</v>
      </c>
      <c r="G745" s="2">
        <f t="shared" si="121"/>
        <v>0.45</v>
      </c>
      <c r="H745" s="12">
        <f t="shared" si="122"/>
        <v>0.45</v>
      </c>
      <c r="I745" s="12">
        <v>0.02</v>
      </c>
      <c r="J745" s="12">
        <v>7.0000000000000007E-2</v>
      </c>
      <c r="K745" s="12">
        <f t="shared" si="123"/>
        <v>0.11070000000000001</v>
      </c>
      <c r="L745" s="12">
        <f t="shared" si="124"/>
        <v>0.65070000000000006</v>
      </c>
      <c r="M745" s="2"/>
      <c r="N745" s="2"/>
      <c r="O745" s="2">
        <f t="shared" si="126"/>
        <v>325.35000000000002</v>
      </c>
      <c r="P745" s="2"/>
      <c r="Q745" s="2"/>
      <c r="R745" s="28">
        <v>16.666666666666668</v>
      </c>
    </row>
    <row r="746" spans="1:18" hidden="1" x14ac:dyDescent="0.25">
      <c r="A746" s="16">
        <v>45633</v>
      </c>
      <c r="B746" s="2" t="s">
        <v>91</v>
      </c>
      <c r="C746" s="2">
        <v>450</v>
      </c>
      <c r="D746" s="19">
        <v>0</v>
      </c>
      <c r="E746" s="11">
        <v>0.20499999999999999</v>
      </c>
      <c r="F746" s="10">
        <f t="shared" si="120"/>
        <v>1000</v>
      </c>
      <c r="G746" s="2">
        <f t="shared" si="121"/>
        <v>0.45</v>
      </c>
      <c r="H746" s="12">
        <f t="shared" si="122"/>
        <v>0.45</v>
      </c>
      <c r="I746" s="12">
        <v>0.02</v>
      </c>
      <c r="J746" s="12">
        <v>7.0000000000000007E-2</v>
      </c>
      <c r="K746" s="12">
        <f t="shared" si="123"/>
        <v>0.11070000000000001</v>
      </c>
      <c r="L746" s="12">
        <f t="shared" si="124"/>
        <v>0.65070000000000006</v>
      </c>
      <c r="M746" s="2"/>
      <c r="N746" s="2"/>
      <c r="O746" s="2">
        <f t="shared" si="126"/>
        <v>325.35000000000002</v>
      </c>
      <c r="P746" s="2"/>
      <c r="Q746" s="2"/>
      <c r="R746" s="28">
        <v>16.666666666666668</v>
      </c>
    </row>
    <row r="747" spans="1:18" hidden="1" x14ac:dyDescent="0.25">
      <c r="A747" s="16">
        <v>45633</v>
      </c>
      <c r="B747" s="2" t="s">
        <v>116</v>
      </c>
      <c r="C747" s="2">
        <v>540</v>
      </c>
      <c r="D747" s="19">
        <v>0.185</v>
      </c>
      <c r="E747" s="11">
        <v>0.13</v>
      </c>
      <c r="F747" s="10">
        <f t="shared" si="120"/>
        <v>815</v>
      </c>
      <c r="G747" s="2">
        <f t="shared" si="121"/>
        <v>0.54</v>
      </c>
      <c r="H747" s="12">
        <f t="shared" si="122"/>
        <v>0.66257668711656437</v>
      </c>
      <c r="I747" s="12">
        <v>0.02</v>
      </c>
      <c r="J747" s="12">
        <v>7.0000000000000007E-2</v>
      </c>
      <c r="K747" s="12">
        <f t="shared" si="123"/>
        <v>9.7834969325153384E-2</v>
      </c>
      <c r="L747" s="12">
        <f t="shared" si="124"/>
        <v>0.85041165644171779</v>
      </c>
      <c r="M747" s="2"/>
      <c r="N747" s="2"/>
      <c r="O747" s="2">
        <f t="shared" si="126"/>
        <v>425.2058282208589</v>
      </c>
      <c r="P747" s="2"/>
      <c r="Q747" s="2"/>
      <c r="R747" s="28">
        <v>16.666666666666668</v>
      </c>
    </row>
    <row r="748" spans="1:18" hidden="1" x14ac:dyDescent="0.25">
      <c r="A748" s="16">
        <v>45634</v>
      </c>
      <c r="B748" s="2" t="s">
        <v>160</v>
      </c>
      <c r="C748" s="2">
        <v>780</v>
      </c>
      <c r="D748" s="19">
        <v>0.32</v>
      </c>
      <c r="E748" s="11">
        <v>0.125</v>
      </c>
      <c r="F748" s="10">
        <f t="shared" si="120"/>
        <v>680</v>
      </c>
      <c r="G748" s="2">
        <f t="shared" si="121"/>
        <v>0.78</v>
      </c>
      <c r="H748" s="12">
        <f t="shared" si="122"/>
        <v>1.1470588235294117</v>
      </c>
      <c r="I748" s="12">
        <v>0.02</v>
      </c>
      <c r="J748" s="12">
        <v>7.0000000000000007E-2</v>
      </c>
      <c r="K748" s="12">
        <f t="shared" si="123"/>
        <v>0.15463235294117647</v>
      </c>
      <c r="L748" s="12">
        <f t="shared" si="124"/>
        <v>1.3916911764705882</v>
      </c>
      <c r="M748" s="2"/>
      <c r="N748" s="2"/>
      <c r="O748" s="2">
        <f t="shared" si="126"/>
        <v>695.84558823529403</v>
      </c>
      <c r="P748" s="2"/>
      <c r="Q748" s="2"/>
      <c r="R748" s="28">
        <v>16.666666666666668</v>
      </c>
    </row>
    <row r="749" spans="1:18" hidden="1" x14ac:dyDescent="0.25">
      <c r="A749" s="16">
        <v>45634</v>
      </c>
      <c r="B749" s="2" t="s">
        <v>170</v>
      </c>
      <c r="C749" s="2">
        <v>780</v>
      </c>
      <c r="D749" s="19">
        <v>0.32</v>
      </c>
      <c r="E749" s="11">
        <v>0.21299999999999999</v>
      </c>
      <c r="F749" s="10">
        <f t="shared" si="120"/>
        <v>680</v>
      </c>
      <c r="G749" s="2">
        <f t="shared" si="121"/>
        <v>0.78</v>
      </c>
      <c r="H749" s="12">
        <f t="shared" si="122"/>
        <v>1.1470588235294117</v>
      </c>
      <c r="I749" s="12">
        <v>0.02</v>
      </c>
      <c r="J749" s="12">
        <v>7.0000000000000007E-2</v>
      </c>
      <c r="K749" s="12">
        <f t="shared" si="123"/>
        <v>0.26349352941176468</v>
      </c>
      <c r="L749" s="12">
        <f t="shared" si="124"/>
        <v>1.5005523529411764</v>
      </c>
      <c r="M749" s="2">
        <f>L749*250</f>
        <v>375.13808823529411</v>
      </c>
      <c r="N749" s="2"/>
      <c r="O749" s="2"/>
      <c r="P749" s="2"/>
      <c r="Q749" s="2"/>
      <c r="R749" s="28">
        <v>16.666666666666668</v>
      </c>
    </row>
    <row r="750" spans="1:18" hidden="1" x14ac:dyDescent="0.25">
      <c r="A750" s="16">
        <v>45634</v>
      </c>
      <c r="B750" s="2" t="s">
        <v>113</v>
      </c>
      <c r="C750" s="2">
        <v>780</v>
      </c>
      <c r="D750" s="19">
        <v>0.32</v>
      </c>
      <c r="E750" s="11">
        <v>0.375</v>
      </c>
      <c r="F750" s="10">
        <f t="shared" si="120"/>
        <v>680</v>
      </c>
      <c r="G750" s="2">
        <f t="shared" si="121"/>
        <v>0.78</v>
      </c>
      <c r="H750" s="12">
        <f t="shared" si="122"/>
        <v>1.1470588235294117</v>
      </c>
      <c r="I750" s="12">
        <v>0.02</v>
      </c>
      <c r="J750" s="12">
        <v>7.0000000000000007E-2</v>
      </c>
      <c r="K750" s="12">
        <f t="shared" si="123"/>
        <v>0.46389705882352938</v>
      </c>
      <c r="L750" s="12">
        <f t="shared" si="124"/>
        <v>1.7009558823529412</v>
      </c>
      <c r="M750" s="2">
        <f>L750*250</f>
        <v>425.2389705882353</v>
      </c>
      <c r="N750" s="2"/>
      <c r="O750" s="2"/>
      <c r="P750" s="2"/>
      <c r="Q750" s="2"/>
      <c r="R750" s="28">
        <v>16.666666666666668</v>
      </c>
    </row>
    <row r="751" spans="1:18" hidden="1" x14ac:dyDescent="0.25">
      <c r="A751" s="16">
        <v>45634</v>
      </c>
      <c r="B751" s="2" t="s">
        <v>92</v>
      </c>
      <c r="C751" s="2">
        <v>420</v>
      </c>
      <c r="D751" s="19">
        <v>0.02</v>
      </c>
      <c r="E751" s="11">
        <v>0.255</v>
      </c>
      <c r="F751" s="10">
        <f t="shared" si="120"/>
        <v>980</v>
      </c>
      <c r="G751" s="2">
        <f t="shared" si="121"/>
        <v>0.42</v>
      </c>
      <c r="H751" s="12">
        <f t="shared" si="122"/>
        <v>0.42857142857142855</v>
      </c>
      <c r="I751" s="12">
        <v>0.02</v>
      </c>
      <c r="J751" s="12">
        <v>7.0000000000000007E-2</v>
      </c>
      <c r="K751" s="12">
        <f t="shared" si="123"/>
        <v>0.13223571428571429</v>
      </c>
      <c r="L751" s="12">
        <f t="shared" si="124"/>
        <v>0.65080714285714292</v>
      </c>
      <c r="M751" s="2"/>
      <c r="N751" s="2"/>
      <c r="O751" s="2">
        <f t="shared" ref="O751:O758" si="127">L751*500</f>
        <v>325.40357142857147</v>
      </c>
      <c r="P751" s="2"/>
      <c r="Q751" s="2"/>
      <c r="R751" s="28">
        <v>16.666666666666668</v>
      </c>
    </row>
    <row r="752" spans="1:18" hidden="1" x14ac:dyDescent="0.25">
      <c r="A752" s="16">
        <v>45634</v>
      </c>
      <c r="B752" s="2" t="s">
        <v>110</v>
      </c>
      <c r="C752" s="2">
        <v>100</v>
      </c>
      <c r="D752" s="19">
        <v>0</v>
      </c>
      <c r="E752" s="11">
        <v>0.32</v>
      </c>
      <c r="F752" s="10">
        <f t="shared" si="120"/>
        <v>1000</v>
      </c>
      <c r="G752" s="2">
        <f t="shared" si="121"/>
        <v>0.1</v>
      </c>
      <c r="H752" s="12">
        <f t="shared" si="122"/>
        <v>0.1</v>
      </c>
      <c r="I752" s="12">
        <v>0.02</v>
      </c>
      <c r="J752" s="12">
        <v>7.0000000000000007E-2</v>
      </c>
      <c r="K752" s="12">
        <f t="shared" si="123"/>
        <v>6.08E-2</v>
      </c>
      <c r="L752" s="12">
        <f t="shared" si="124"/>
        <v>0.25080000000000002</v>
      </c>
      <c r="M752" s="2"/>
      <c r="N752" s="2"/>
      <c r="O752" s="2">
        <f t="shared" si="127"/>
        <v>125.4</v>
      </c>
      <c r="P752" s="2"/>
      <c r="Q752" s="2"/>
      <c r="R752" s="28">
        <v>16.666666666666668</v>
      </c>
    </row>
    <row r="753" spans="1:18" hidden="1" x14ac:dyDescent="0.25">
      <c r="A753" s="16">
        <v>45634</v>
      </c>
      <c r="B753" s="2" t="s">
        <v>90</v>
      </c>
      <c r="C753" s="2">
        <v>380</v>
      </c>
      <c r="D753" s="19">
        <v>0</v>
      </c>
      <c r="E753" s="11">
        <v>0.38500000000000001</v>
      </c>
      <c r="F753" s="10">
        <f t="shared" si="120"/>
        <v>1000</v>
      </c>
      <c r="G753" s="2">
        <f t="shared" si="121"/>
        <v>0.38</v>
      </c>
      <c r="H753" s="12">
        <f t="shared" si="122"/>
        <v>0.38</v>
      </c>
      <c r="I753" s="12">
        <v>0.02</v>
      </c>
      <c r="J753" s="12">
        <v>7.0000000000000007E-2</v>
      </c>
      <c r="K753" s="12">
        <f t="shared" si="123"/>
        <v>0.18095000000000003</v>
      </c>
      <c r="L753" s="12">
        <f t="shared" si="124"/>
        <v>0.65095000000000003</v>
      </c>
      <c r="M753" s="2"/>
      <c r="N753" s="2"/>
      <c r="O753" s="2">
        <f t="shared" si="127"/>
        <v>325.47500000000002</v>
      </c>
      <c r="P753" s="2"/>
      <c r="Q753" s="2"/>
      <c r="R753" s="28">
        <v>16.666666666666668</v>
      </c>
    </row>
    <row r="754" spans="1:18" hidden="1" x14ac:dyDescent="0.25">
      <c r="A754" s="16">
        <v>45634</v>
      </c>
      <c r="B754" s="2" t="s">
        <v>91</v>
      </c>
      <c r="C754" s="2">
        <v>380</v>
      </c>
      <c r="D754" s="19">
        <v>0</v>
      </c>
      <c r="E754" s="11">
        <v>0.38500000000000001</v>
      </c>
      <c r="F754" s="10">
        <f t="shared" si="120"/>
        <v>1000</v>
      </c>
      <c r="G754" s="2">
        <f t="shared" si="121"/>
        <v>0.38</v>
      </c>
      <c r="H754" s="12">
        <f t="shared" si="122"/>
        <v>0.38</v>
      </c>
      <c r="I754" s="12">
        <v>0.02</v>
      </c>
      <c r="J754" s="12">
        <v>7.0000000000000007E-2</v>
      </c>
      <c r="K754" s="12">
        <f t="shared" si="123"/>
        <v>0.18095000000000003</v>
      </c>
      <c r="L754" s="12">
        <f t="shared" si="124"/>
        <v>0.65095000000000003</v>
      </c>
      <c r="M754" s="2"/>
      <c r="N754" s="2"/>
      <c r="O754" s="2">
        <f t="shared" si="127"/>
        <v>325.47500000000002</v>
      </c>
      <c r="P754" s="2"/>
      <c r="Q754" s="2"/>
      <c r="R754" s="28">
        <v>16.666666666666668</v>
      </c>
    </row>
    <row r="755" spans="1:18" hidden="1" x14ac:dyDescent="0.25">
      <c r="A755" s="16">
        <v>45634</v>
      </c>
      <c r="B755" s="2" t="s">
        <v>94</v>
      </c>
      <c r="C755" s="2">
        <v>200</v>
      </c>
      <c r="D755" s="19">
        <v>0.25</v>
      </c>
      <c r="E755" s="11">
        <v>0</v>
      </c>
      <c r="F755" s="10">
        <f t="shared" si="120"/>
        <v>750</v>
      </c>
      <c r="G755" s="2">
        <f t="shared" si="121"/>
        <v>0.2</v>
      </c>
      <c r="H755" s="12">
        <f t="shared" si="122"/>
        <v>0.26666666666666666</v>
      </c>
      <c r="I755" s="12">
        <v>0.02</v>
      </c>
      <c r="J755" s="12">
        <v>7.0000000000000007E-2</v>
      </c>
      <c r="K755" s="12">
        <f t="shared" si="123"/>
        <v>0</v>
      </c>
      <c r="L755" s="12">
        <f t="shared" si="124"/>
        <v>0.35666666666666669</v>
      </c>
      <c r="M755" s="2"/>
      <c r="N755" s="2"/>
      <c r="O755" s="2">
        <f t="shared" si="127"/>
        <v>178.33333333333334</v>
      </c>
      <c r="P755" s="2"/>
      <c r="Q755" s="2"/>
      <c r="R755" s="28">
        <v>16.666666666666668</v>
      </c>
    </row>
    <row r="756" spans="1:18" hidden="1" x14ac:dyDescent="0.25">
      <c r="A756" s="16">
        <v>45634</v>
      </c>
      <c r="B756" s="2" t="s">
        <v>95</v>
      </c>
      <c r="C756" s="2">
        <v>200</v>
      </c>
      <c r="D756" s="19">
        <v>0.25</v>
      </c>
      <c r="E756" s="11">
        <v>0</v>
      </c>
      <c r="F756" s="10">
        <f t="shared" si="120"/>
        <v>750</v>
      </c>
      <c r="G756" s="2">
        <f t="shared" si="121"/>
        <v>0.2</v>
      </c>
      <c r="H756" s="12">
        <f t="shared" si="122"/>
        <v>0.26666666666666666</v>
      </c>
      <c r="I756" s="12">
        <v>0.02</v>
      </c>
      <c r="J756" s="12">
        <v>7.0000000000000007E-2</v>
      </c>
      <c r="K756" s="12">
        <f t="shared" si="123"/>
        <v>0</v>
      </c>
      <c r="L756" s="12">
        <f t="shared" si="124"/>
        <v>0.35666666666666669</v>
      </c>
      <c r="M756" s="2"/>
      <c r="N756" s="2"/>
      <c r="O756" s="2">
        <f t="shared" si="127"/>
        <v>178.33333333333334</v>
      </c>
      <c r="P756" s="2"/>
      <c r="Q756" s="2"/>
      <c r="R756" s="28">
        <v>16.666666666666668</v>
      </c>
    </row>
    <row r="757" spans="1:18" hidden="1" x14ac:dyDescent="0.25">
      <c r="A757" s="16">
        <v>45634</v>
      </c>
      <c r="B757" s="2" t="s">
        <v>196</v>
      </c>
      <c r="C757" s="2">
        <v>410</v>
      </c>
      <c r="D757" s="19">
        <v>0.01</v>
      </c>
      <c r="E757" s="11">
        <v>0.28999999999999998</v>
      </c>
      <c r="F757" s="10">
        <f t="shared" si="120"/>
        <v>990</v>
      </c>
      <c r="G757" s="2">
        <f t="shared" si="121"/>
        <v>0.41</v>
      </c>
      <c r="H757" s="12">
        <f t="shared" si="122"/>
        <v>0.41414141414141414</v>
      </c>
      <c r="I757" s="12">
        <v>0.02</v>
      </c>
      <c r="J757" s="12">
        <v>7.0000000000000007E-2</v>
      </c>
      <c r="K757" s="12">
        <f t="shared" si="123"/>
        <v>0.14620101010101011</v>
      </c>
      <c r="L757" s="12">
        <f t="shared" si="124"/>
        <v>0.65034242424242428</v>
      </c>
      <c r="M757" s="2"/>
      <c r="N757" s="2"/>
      <c r="O757" s="2">
        <f t="shared" si="127"/>
        <v>325.17121212121214</v>
      </c>
      <c r="P757" s="2"/>
      <c r="Q757" s="2"/>
      <c r="R757" s="28">
        <v>16.666666666666668</v>
      </c>
    </row>
    <row r="758" spans="1:18" hidden="1" x14ac:dyDescent="0.25">
      <c r="A758" s="16">
        <v>45636</v>
      </c>
      <c r="B758" s="2" t="s">
        <v>160</v>
      </c>
      <c r="C758" s="2">
        <v>750</v>
      </c>
      <c r="D758" s="19">
        <v>0.33</v>
      </c>
      <c r="E758" s="11">
        <v>0.15</v>
      </c>
      <c r="F758" s="10">
        <f t="shared" si="120"/>
        <v>670</v>
      </c>
      <c r="G758" s="2">
        <f t="shared" si="121"/>
        <v>0.75</v>
      </c>
      <c r="H758" s="12">
        <f t="shared" si="122"/>
        <v>1.1194029850746268</v>
      </c>
      <c r="I758" s="12">
        <v>0.02</v>
      </c>
      <c r="J758" s="12">
        <v>7.0000000000000007E-2</v>
      </c>
      <c r="K758" s="12">
        <f t="shared" si="123"/>
        <v>0.18141044776119403</v>
      </c>
      <c r="L758" s="12">
        <f t="shared" si="124"/>
        <v>1.3908134328358208</v>
      </c>
      <c r="M758" s="2"/>
      <c r="N758" s="2"/>
      <c r="O758" s="2">
        <f t="shared" si="127"/>
        <v>695.40671641791039</v>
      </c>
      <c r="P758" s="2"/>
      <c r="Q758" s="2"/>
      <c r="R758" s="28">
        <v>16.666666666666668</v>
      </c>
    </row>
    <row r="759" spans="1:18" hidden="1" x14ac:dyDescent="0.25">
      <c r="A759" s="16">
        <v>45636</v>
      </c>
      <c r="B759" s="2" t="s">
        <v>111</v>
      </c>
      <c r="C759" s="2">
        <v>750</v>
      </c>
      <c r="D759" s="19">
        <v>0.33</v>
      </c>
      <c r="E759" s="11">
        <v>0.24199999999999999</v>
      </c>
      <c r="F759" s="10">
        <f t="shared" si="120"/>
        <v>670</v>
      </c>
      <c r="G759" s="2">
        <f t="shared" si="121"/>
        <v>0.75</v>
      </c>
      <c r="H759" s="12">
        <f t="shared" si="122"/>
        <v>1.1194029850746268</v>
      </c>
      <c r="I759" s="12">
        <v>0.02</v>
      </c>
      <c r="J759" s="12">
        <v>7.0000000000000007E-2</v>
      </c>
      <c r="K759" s="12">
        <f t="shared" si="123"/>
        <v>0.29267552238805966</v>
      </c>
      <c r="L759" s="12">
        <f t="shared" si="124"/>
        <v>1.5020785074626866</v>
      </c>
      <c r="M759" s="2">
        <f>L759*250</f>
        <v>375.51962686567163</v>
      </c>
      <c r="N759" s="2"/>
      <c r="O759" s="2"/>
      <c r="P759" s="2"/>
      <c r="Q759" s="2"/>
      <c r="R759" s="28">
        <v>16.666666666666668</v>
      </c>
    </row>
    <row r="760" spans="1:18" hidden="1" x14ac:dyDescent="0.25">
      <c r="A760" s="16">
        <v>45636</v>
      </c>
      <c r="B760" s="2" t="s">
        <v>113</v>
      </c>
      <c r="C760" s="2">
        <v>750</v>
      </c>
      <c r="D760" s="19">
        <v>0.33</v>
      </c>
      <c r="E760" s="11">
        <v>0.40699999999999997</v>
      </c>
      <c r="F760" s="10">
        <f t="shared" si="120"/>
        <v>670</v>
      </c>
      <c r="G760" s="2">
        <f t="shared" si="121"/>
        <v>0.75</v>
      </c>
      <c r="H760" s="12">
        <f t="shared" si="122"/>
        <v>1.1194029850746268</v>
      </c>
      <c r="I760" s="12">
        <v>0.02</v>
      </c>
      <c r="J760" s="12">
        <v>7.0000000000000007E-2</v>
      </c>
      <c r="K760" s="12">
        <f t="shared" si="123"/>
        <v>0.49222701492537307</v>
      </c>
      <c r="L760" s="12">
        <f t="shared" si="124"/>
        <v>1.70163</v>
      </c>
      <c r="M760" s="2">
        <f>L760*250</f>
        <v>425.40749999999997</v>
      </c>
      <c r="N760" s="2"/>
      <c r="O760" s="2"/>
      <c r="P760" s="2"/>
      <c r="Q760" s="2"/>
      <c r="R760" s="28">
        <v>16.666666666666668</v>
      </c>
    </row>
    <row r="761" spans="1:18" hidden="1" x14ac:dyDescent="0.25">
      <c r="A761" s="16">
        <v>45636</v>
      </c>
      <c r="B761" s="2" t="s">
        <v>108</v>
      </c>
      <c r="C761" s="2">
        <v>380</v>
      </c>
      <c r="D761" s="19">
        <v>0.09</v>
      </c>
      <c r="E761" s="11">
        <v>0.16400000000000001</v>
      </c>
      <c r="F761" s="10">
        <f t="shared" si="120"/>
        <v>910</v>
      </c>
      <c r="G761" s="2">
        <f t="shared" si="121"/>
        <v>0.38</v>
      </c>
      <c r="H761" s="12">
        <f t="shared" si="122"/>
        <v>0.4175824175824176</v>
      </c>
      <c r="I761" s="12">
        <v>0.02</v>
      </c>
      <c r="J761" s="12">
        <v>7.0000000000000007E-2</v>
      </c>
      <c r="K761" s="12">
        <f t="shared" si="123"/>
        <v>8.3243516483516494E-2</v>
      </c>
      <c r="L761" s="12">
        <f t="shared" si="124"/>
        <v>0.59082593406593409</v>
      </c>
      <c r="M761" s="2"/>
      <c r="N761" s="2"/>
      <c r="O761" s="2">
        <f>L761*500</f>
        <v>295.41296703296706</v>
      </c>
      <c r="P761" s="2"/>
      <c r="Q761" s="2"/>
      <c r="R761" s="28">
        <v>16.666666666666668</v>
      </c>
    </row>
    <row r="762" spans="1:18" hidden="1" x14ac:dyDescent="0.25">
      <c r="A762" s="16">
        <v>45636</v>
      </c>
      <c r="B762" s="2" t="s">
        <v>120</v>
      </c>
      <c r="C762" s="2">
        <v>220</v>
      </c>
      <c r="D762" s="19">
        <v>0.56999999999999995</v>
      </c>
      <c r="E762" s="11">
        <v>0.3</v>
      </c>
      <c r="F762" s="10">
        <f t="shared" si="120"/>
        <v>430</v>
      </c>
      <c r="G762" s="2">
        <f t="shared" si="121"/>
        <v>0.22</v>
      </c>
      <c r="H762" s="12">
        <f t="shared" si="122"/>
        <v>0.51162790697674421</v>
      </c>
      <c r="I762" s="12">
        <v>0.02</v>
      </c>
      <c r="J762" s="12">
        <v>7.0000000000000007E-2</v>
      </c>
      <c r="K762" s="12">
        <f t="shared" si="123"/>
        <v>0.18048837209302329</v>
      </c>
      <c r="L762" s="12">
        <f t="shared" si="124"/>
        <v>0.78211627906976755</v>
      </c>
      <c r="M762" s="2">
        <f>L762*250</f>
        <v>195.52906976744188</v>
      </c>
      <c r="N762" s="2"/>
      <c r="O762" s="2"/>
      <c r="P762" s="2"/>
      <c r="Q762" s="2"/>
      <c r="R762" s="28">
        <v>16.666666666666668</v>
      </c>
    </row>
    <row r="763" spans="1:18" hidden="1" x14ac:dyDescent="0.25">
      <c r="A763" s="16">
        <v>45636</v>
      </c>
      <c r="B763" s="2" t="s">
        <v>159</v>
      </c>
      <c r="C763" s="2">
        <v>420</v>
      </c>
      <c r="D763" s="19">
        <v>0.08</v>
      </c>
      <c r="E763" s="11">
        <v>0.26500000000000001</v>
      </c>
      <c r="F763" s="10">
        <f t="shared" si="120"/>
        <v>920</v>
      </c>
      <c r="G763" s="2">
        <f t="shared" si="121"/>
        <v>0.42</v>
      </c>
      <c r="H763" s="12">
        <f t="shared" si="122"/>
        <v>0.45652173913043476</v>
      </c>
      <c r="I763" s="12">
        <v>0.02</v>
      </c>
      <c r="J763" s="12">
        <v>7.0000000000000007E-2</v>
      </c>
      <c r="K763" s="12">
        <f t="shared" si="123"/>
        <v>0.14482826086956521</v>
      </c>
      <c r="L763" s="12">
        <f t="shared" si="124"/>
        <v>0.69135000000000002</v>
      </c>
      <c r="M763" s="2"/>
      <c r="N763" s="2"/>
      <c r="O763" s="2">
        <f>L763*500</f>
        <v>345.67500000000001</v>
      </c>
      <c r="P763" s="2"/>
      <c r="Q763" s="2"/>
      <c r="R763" s="28">
        <v>16.666666666666668</v>
      </c>
    </row>
    <row r="764" spans="1:18" hidden="1" x14ac:dyDescent="0.25">
      <c r="A764" s="16">
        <v>45636</v>
      </c>
      <c r="B764" s="2" t="s">
        <v>196</v>
      </c>
      <c r="C764" s="2">
        <v>380</v>
      </c>
      <c r="D764" s="19">
        <v>0</v>
      </c>
      <c r="E764" s="11">
        <v>0.38500000000000001</v>
      </c>
      <c r="F764" s="10">
        <f t="shared" si="120"/>
        <v>1000</v>
      </c>
      <c r="G764" s="2">
        <f t="shared" si="121"/>
        <v>0.38</v>
      </c>
      <c r="H764" s="12">
        <f t="shared" si="122"/>
        <v>0.38</v>
      </c>
      <c r="I764" s="12">
        <v>0.02</v>
      </c>
      <c r="J764" s="12">
        <v>7.0000000000000007E-2</v>
      </c>
      <c r="K764" s="12">
        <f t="shared" si="123"/>
        <v>0.18095000000000003</v>
      </c>
      <c r="L764" s="12">
        <f t="shared" si="124"/>
        <v>0.65095000000000003</v>
      </c>
      <c r="M764" s="2"/>
      <c r="N764" s="2"/>
      <c r="O764" s="2">
        <f>L764*500</f>
        <v>325.47500000000002</v>
      </c>
      <c r="P764" s="2"/>
      <c r="Q764" s="2"/>
      <c r="R764" s="28">
        <v>16.666666666666668</v>
      </c>
    </row>
    <row r="765" spans="1:18" hidden="1" x14ac:dyDescent="0.25">
      <c r="A765" s="16">
        <v>45636</v>
      </c>
      <c r="B765" s="10" t="s">
        <v>197</v>
      </c>
      <c r="C765" s="2">
        <v>380</v>
      </c>
      <c r="D765" s="19">
        <v>0</v>
      </c>
      <c r="E765" s="11">
        <v>0.38500000000000001</v>
      </c>
      <c r="F765" s="10">
        <f t="shared" si="120"/>
        <v>1000</v>
      </c>
      <c r="G765" s="2">
        <f t="shared" si="121"/>
        <v>0.38</v>
      </c>
      <c r="H765" s="12">
        <f t="shared" si="122"/>
        <v>0.38</v>
      </c>
      <c r="I765" s="12">
        <v>0.02</v>
      </c>
      <c r="J765" s="12">
        <v>7.0000000000000007E-2</v>
      </c>
      <c r="K765" s="12">
        <f t="shared" si="123"/>
        <v>0.18095000000000003</v>
      </c>
      <c r="L765" s="12">
        <f t="shared" si="124"/>
        <v>0.65095000000000003</v>
      </c>
      <c r="M765" s="2"/>
      <c r="N765" s="2"/>
      <c r="O765" s="2">
        <f>L765*500</f>
        <v>325.47500000000002</v>
      </c>
      <c r="P765" s="2"/>
      <c r="Q765" s="2"/>
      <c r="R765" s="28">
        <v>16.666666666666668</v>
      </c>
    </row>
    <row r="766" spans="1:18" hidden="1" x14ac:dyDescent="0.25">
      <c r="A766" s="16">
        <v>45636</v>
      </c>
      <c r="B766" s="2" t="s">
        <v>93</v>
      </c>
      <c r="C766" s="2">
        <v>550</v>
      </c>
      <c r="D766" s="19">
        <v>0</v>
      </c>
      <c r="E766" s="11">
        <v>0.17199999999999999</v>
      </c>
      <c r="F766" s="10">
        <f t="shared" si="120"/>
        <v>1000</v>
      </c>
      <c r="G766" s="2">
        <f t="shared" si="121"/>
        <v>0.55000000000000004</v>
      </c>
      <c r="H766" s="12">
        <f t="shared" si="122"/>
        <v>0.55000000000000004</v>
      </c>
      <c r="I766" s="12">
        <v>0.02</v>
      </c>
      <c r="J766" s="12">
        <v>7.0000000000000007E-2</v>
      </c>
      <c r="K766" s="12">
        <f t="shared" si="123"/>
        <v>0.11008000000000001</v>
      </c>
      <c r="L766" s="12">
        <f t="shared" si="124"/>
        <v>0.75008000000000008</v>
      </c>
      <c r="M766" s="2"/>
      <c r="N766" s="2"/>
      <c r="O766" s="2">
        <f>L766*500</f>
        <v>375.04</v>
      </c>
      <c r="P766" s="2"/>
      <c r="Q766" s="2"/>
      <c r="R766" s="28">
        <v>16.666666666666668</v>
      </c>
    </row>
    <row r="767" spans="1:18" hidden="1" x14ac:dyDescent="0.25">
      <c r="A767" s="16">
        <v>45637</v>
      </c>
      <c r="B767" s="2" t="s">
        <v>204</v>
      </c>
      <c r="C767" s="2">
        <v>650</v>
      </c>
      <c r="D767" s="19">
        <v>0.38</v>
      </c>
      <c r="E767" s="11">
        <v>0.2215</v>
      </c>
      <c r="F767" s="2">
        <f t="shared" si="120"/>
        <v>620</v>
      </c>
      <c r="G767" s="2">
        <f t="shared" si="121"/>
        <v>0.65</v>
      </c>
      <c r="H767" s="2">
        <f t="shared" si="122"/>
        <v>1.0483870967741935</v>
      </c>
      <c r="I767" s="12">
        <v>0.02</v>
      </c>
      <c r="J767" s="12">
        <v>7.0000000000000007E-2</v>
      </c>
      <c r="K767" s="12">
        <f t="shared" si="123"/>
        <v>0.25215274193548387</v>
      </c>
      <c r="L767" s="12">
        <f t="shared" si="124"/>
        <v>1.3905398387096775</v>
      </c>
      <c r="M767" s="2" t="s">
        <v>72</v>
      </c>
      <c r="N767" s="2"/>
      <c r="O767" s="2">
        <f>L767*500</f>
        <v>695.26991935483875</v>
      </c>
      <c r="P767" s="2"/>
      <c r="Q767" s="2">
        <f>L767*1000</f>
        <v>1390.5398387096775</v>
      </c>
      <c r="R767" s="28">
        <f>K767/L767%</f>
        <v>18.133442488743349</v>
      </c>
    </row>
    <row r="768" spans="1:18" hidden="1" x14ac:dyDescent="0.25">
      <c r="A768" s="16">
        <v>45637</v>
      </c>
      <c r="B768" s="2" t="s">
        <v>205</v>
      </c>
      <c r="C768" s="2">
        <v>650</v>
      </c>
      <c r="D768" s="19">
        <v>0.38</v>
      </c>
      <c r="E768" s="11">
        <v>0.32</v>
      </c>
      <c r="F768" s="2">
        <f t="shared" si="120"/>
        <v>620</v>
      </c>
      <c r="G768" s="2">
        <f t="shared" si="121"/>
        <v>0.65</v>
      </c>
      <c r="H768" s="2">
        <f t="shared" si="122"/>
        <v>1.0483870967741935</v>
      </c>
      <c r="I768" s="12">
        <v>0.02</v>
      </c>
      <c r="J768" s="12">
        <v>7.0000000000000007E-2</v>
      </c>
      <c r="K768" s="12">
        <f t="shared" si="123"/>
        <v>0.36428387096774195</v>
      </c>
      <c r="L768" s="12">
        <f t="shared" si="124"/>
        <v>1.5026709677419356</v>
      </c>
      <c r="M768" s="2">
        <f>L768*250</f>
        <v>375.66774193548389</v>
      </c>
      <c r="N768" s="2"/>
      <c r="O768" s="2"/>
      <c r="P768" s="2"/>
      <c r="Q768" s="2">
        <f>L768*1000</f>
        <v>1502.6709677419356</v>
      </c>
      <c r="R768" s="28">
        <f>K768/L768%</f>
        <v>24.242424242424242</v>
      </c>
    </row>
    <row r="769" spans="1:18" hidden="1" x14ac:dyDescent="0.25">
      <c r="A769" s="16">
        <v>45637</v>
      </c>
      <c r="B769" s="2" t="s">
        <v>94</v>
      </c>
      <c r="C769" s="2">
        <v>200</v>
      </c>
      <c r="D769" s="19">
        <v>0.05</v>
      </c>
      <c r="E769" s="11">
        <v>0.16600000000000001</v>
      </c>
      <c r="F769" s="10">
        <f t="shared" si="120"/>
        <v>950</v>
      </c>
      <c r="G769" s="2">
        <f t="shared" si="121"/>
        <v>0.2</v>
      </c>
      <c r="H769" s="12">
        <f t="shared" si="122"/>
        <v>0.21052631578947367</v>
      </c>
      <c r="I769" s="12">
        <v>0.02</v>
      </c>
      <c r="J769" s="12">
        <v>7.0000000000000007E-2</v>
      </c>
      <c r="K769" s="12">
        <f t="shared" si="123"/>
        <v>4.9887368421052625E-2</v>
      </c>
      <c r="L769" s="12">
        <f t="shared" si="124"/>
        <v>0.35041368421052627</v>
      </c>
      <c r="M769" s="2"/>
      <c r="N769" s="2"/>
      <c r="O769" s="2">
        <f t="shared" ref="O769:O777" si="128">L769*500</f>
        <v>175.20684210526312</v>
      </c>
      <c r="P769" s="2"/>
      <c r="Q769" s="2"/>
      <c r="R769" s="28">
        <v>16.666666666666668</v>
      </c>
    </row>
    <row r="770" spans="1:18" hidden="1" x14ac:dyDescent="0.25">
      <c r="A770" s="16">
        <v>45637</v>
      </c>
      <c r="B770" s="2" t="s">
        <v>95</v>
      </c>
      <c r="C770" s="2">
        <v>200</v>
      </c>
      <c r="D770" s="19">
        <v>0.05</v>
      </c>
      <c r="E770" s="11">
        <v>0.16600000000000001</v>
      </c>
      <c r="F770" s="10">
        <f t="shared" si="120"/>
        <v>950</v>
      </c>
      <c r="G770" s="2">
        <f t="shared" si="121"/>
        <v>0.2</v>
      </c>
      <c r="H770" s="12">
        <f t="shared" si="122"/>
        <v>0.21052631578947367</v>
      </c>
      <c r="I770" s="12">
        <v>0.02</v>
      </c>
      <c r="J770" s="12">
        <v>7.0000000000000007E-2</v>
      </c>
      <c r="K770" s="12">
        <f t="shared" si="123"/>
        <v>4.9887368421052625E-2</v>
      </c>
      <c r="L770" s="12">
        <f t="shared" si="124"/>
        <v>0.35041368421052627</v>
      </c>
      <c r="M770" s="2"/>
      <c r="N770" s="2"/>
      <c r="O770" s="2">
        <f t="shared" si="128"/>
        <v>175.20684210526312</v>
      </c>
      <c r="P770" s="2"/>
      <c r="Q770" s="2"/>
      <c r="R770" s="28">
        <v>16.666666666666668</v>
      </c>
    </row>
    <row r="771" spans="1:18" hidden="1" x14ac:dyDescent="0.25">
      <c r="A771" s="16">
        <v>45637</v>
      </c>
      <c r="B771" s="10" t="s">
        <v>145</v>
      </c>
      <c r="C771" s="10" t="s">
        <v>72</v>
      </c>
      <c r="D771" s="19">
        <v>0</v>
      </c>
      <c r="E771" s="11">
        <v>0.37</v>
      </c>
      <c r="F771" s="10">
        <f t="shared" si="120"/>
        <v>1000</v>
      </c>
      <c r="G771" s="10" t="e">
        <f t="shared" si="121"/>
        <v>#VALUE!</v>
      </c>
      <c r="H771" s="12" t="e">
        <f t="shared" si="122"/>
        <v>#VALUE!</v>
      </c>
      <c r="I771" s="12">
        <v>0.02</v>
      </c>
      <c r="J771" s="12">
        <v>7.0000000000000007E-2</v>
      </c>
      <c r="K771" s="12" t="e">
        <f t="shared" si="123"/>
        <v>#VALUE!</v>
      </c>
      <c r="L771" s="12" t="e">
        <f t="shared" si="124"/>
        <v>#VALUE!</v>
      </c>
      <c r="M771" s="12"/>
      <c r="N771" s="12"/>
      <c r="O771" s="12" t="e">
        <f t="shared" si="128"/>
        <v>#VALUE!</v>
      </c>
      <c r="P771" s="12"/>
      <c r="Q771" s="12"/>
      <c r="R771" s="28">
        <v>16.666666666666668</v>
      </c>
    </row>
    <row r="772" spans="1:18" hidden="1" x14ac:dyDescent="0.25">
      <c r="A772" s="16">
        <v>45637</v>
      </c>
      <c r="B772" s="2" t="s">
        <v>162</v>
      </c>
      <c r="C772" s="2">
        <v>170</v>
      </c>
      <c r="D772" s="19">
        <v>0.1</v>
      </c>
      <c r="E772" s="11">
        <v>0.255</v>
      </c>
      <c r="F772" s="10">
        <f t="shared" si="120"/>
        <v>900</v>
      </c>
      <c r="G772" s="10">
        <f t="shared" si="121"/>
        <v>0.17</v>
      </c>
      <c r="H772" s="12">
        <f t="shared" si="122"/>
        <v>0.18888888888888888</v>
      </c>
      <c r="I772" s="12">
        <v>0.02</v>
      </c>
      <c r="J772" s="12">
        <v>7.0000000000000007E-2</v>
      </c>
      <c r="K772" s="12">
        <f t="shared" si="123"/>
        <v>7.1116666666666661E-2</v>
      </c>
      <c r="L772" s="12">
        <f t="shared" si="124"/>
        <v>0.35000555555555551</v>
      </c>
      <c r="M772" s="2"/>
      <c r="N772" s="2"/>
      <c r="O772" s="12">
        <f t="shared" si="128"/>
        <v>175.00277777777777</v>
      </c>
      <c r="P772" s="2"/>
      <c r="Q772" s="2"/>
      <c r="R772" s="28">
        <v>16.666666666666668</v>
      </c>
    </row>
    <row r="773" spans="1:18" hidden="1" x14ac:dyDescent="0.25">
      <c r="A773" s="16">
        <v>45637</v>
      </c>
      <c r="B773" s="2" t="s">
        <v>92</v>
      </c>
      <c r="C773" s="2">
        <v>400</v>
      </c>
      <c r="D773" s="19">
        <v>0</v>
      </c>
      <c r="E773" s="11">
        <v>0.33</v>
      </c>
      <c r="F773" s="10">
        <f t="shared" si="120"/>
        <v>1000</v>
      </c>
      <c r="G773" s="10">
        <f t="shared" si="121"/>
        <v>0.4</v>
      </c>
      <c r="H773" s="12">
        <f t="shared" si="122"/>
        <v>0.4</v>
      </c>
      <c r="I773" s="12">
        <v>0.02</v>
      </c>
      <c r="J773" s="12">
        <v>7.0000000000000007E-2</v>
      </c>
      <c r="K773" s="12">
        <f t="shared" si="123"/>
        <v>0.16170000000000001</v>
      </c>
      <c r="L773" s="12">
        <f t="shared" si="124"/>
        <v>0.65170000000000006</v>
      </c>
      <c r="M773" s="2"/>
      <c r="N773" s="2"/>
      <c r="O773" s="12">
        <f t="shared" si="128"/>
        <v>325.85000000000002</v>
      </c>
      <c r="P773" s="2"/>
      <c r="Q773" s="2"/>
      <c r="R773" s="28">
        <v>16.666666666666668</v>
      </c>
    </row>
    <row r="774" spans="1:18" hidden="1" x14ac:dyDescent="0.25">
      <c r="A774" s="16">
        <v>45638</v>
      </c>
      <c r="B774" s="2" t="s">
        <v>106</v>
      </c>
      <c r="C774" s="2">
        <v>220</v>
      </c>
      <c r="D774" s="19">
        <v>0</v>
      </c>
      <c r="E774" s="11">
        <v>0.26</v>
      </c>
      <c r="F774" s="10">
        <f t="shared" si="120"/>
        <v>1000</v>
      </c>
      <c r="G774" s="10">
        <f t="shared" si="121"/>
        <v>0.22</v>
      </c>
      <c r="H774" s="12">
        <f t="shared" si="122"/>
        <v>0.22</v>
      </c>
      <c r="I774" s="12">
        <v>0.02</v>
      </c>
      <c r="J774" s="12">
        <v>7.0000000000000007E-2</v>
      </c>
      <c r="K774" s="12">
        <f t="shared" si="123"/>
        <v>8.0600000000000005E-2</v>
      </c>
      <c r="L774" s="12">
        <f t="shared" si="124"/>
        <v>0.3906</v>
      </c>
      <c r="M774" s="2"/>
      <c r="N774" s="2"/>
      <c r="O774" s="12">
        <f t="shared" si="128"/>
        <v>195.3</v>
      </c>
      <c r="P774" s="2"/>
      <c r="Q774" s="2"/>
      <c r="R774" s="28">
        <v>16.666666666666668</v>
      </c>
    </row>
    <row r="775" spans="1:18" hidden="1" x14ac:dyDescent="0.25">
      <c r="A775" s="16">
        <v>45638</v>
      </c>
      <c r="B775" s="2" t="s">
        <v>111</v>
      </c>
      <c r="C775" s="2">
        <v>700</v>
      </c>
      <c r="D775" s="19">
        <v>0.3</v>
      </c>
      <c r="E775" s="11">
        <v>0.35</v>
      </c>
      <c r="F775" s="10">
        <f t="shared" ref="F775:F838" si="129">1000-1000*D775</f>
        <v>700</v>
      </c>
      <c r="G775" s="10">
        <f t="shared" ref="G775:G838" si="130">C775/1000</f>
        <v>0.7</v>
      </c>
      <c r="H775" s="12">
        <f t="shared" ref="H775:H838" si="131">C775/F775</f>
        <v>1</v>
      </c>
      <c r="I775" s="12">
        <v>0.02</v>
      </c>
      <c r="J775" s="12">
        <v>7.0000000000000007E-2</v>
      </c>
      <c r="K775" s="12">
        <f t="shared" ref="K775:K838" si="132">SUM(H775:J775)*E775</f>
        <v>0.38150000000000001</v>
      </c>
      <c r="L775" s="12">
        <f t="shared" ref="L775:L838" si="133">SUM(H775:K775)</f>
        <v>1.4715</v>
      </c>
      <c r="M775" s="2">
        <f>L775*250</f>
        <v>367.875</v>
      </c>
      <c r="N775" s="2"/>
      <c r="O775" s="12">
        <f t="shared" si="128"/>
        <v>735.75</v>
      </c>
      <c r="P775" s="2"/>
      <c r="Q775" s="2"/>
      <c r="R775" s="28">
        <v>16.666666666666668</v>
      </c>
    </row>
    <row r="776" spans="1:18" hidden="1" x14ac:dyDescent="0.25">
      <c r="A776" s="16">
        <v>45638</v>
      </c>
      <c r="B776" s="2" t="s">
        <v>112</v>
      </c>
      <c r="C776" s="2">
        <v>700</v>
      </c>
      <c r="D776" s="19">
        <v>0.3</v>
      </c>
      <c r="E776" s="11">
        <v>0.25</v>
      </c>
      <c r="F776" s="10">
        <f t="shared" si="129"/>
        <v>700</v>
      </c>
      <c r="G776" s="10">
        <f t="shared" si="130"/>
        <v>0.7</v>
      </c>
      <c r="H776" s="12">
        <f t="shared" si="131"/>
        <v>1</v>
      </c>
      <c r="I776" s="12">
        <v>0.02</v>
      </c>
      <c r="J776" s="12">
        <v>7.0000000000000007E-2</v>
      </c>
      <c r="K776" s="12">
        <f t="shared" si="132"/>
        <v>0.27250000000000002</v>
      </c>
      <c r="L776" s="12">
        <f t="shared" si="133"/>
        <v>1.3625</v>
      </c>
      <c r="M776" s="2"/>
      <c r="N776" s="2"/>
      <c r="O776" s="12">
        <f t="shared" si="128"/>
        <v>681.25</v>
      </c>
      <c r="P776" s="2"/>
      <c r="Q776" s="2"/>
      <c r="R776" s="28">
        <v>16.666666666666668</v>
      </c>
    </row>
    <row r="777" spans="1:18" hidden="1" x14ac:dyDescent="0.25">
      <c r="A777" s="16">
        <v>45639</v>
      </c>
      <c r="B777" s="2" t="s">
        <v>160</v>
      </c>
      <c r="C777" s="2">
        <v>680</v>
      </c>
      <c r="D777" s="19">
        <v>0.4</v>
      </c>
      <c r="E777" s="11">
        <v>0.13700000000000001</v>
      </c>
      <c r="F777" s="10">
        <f t="shared" si="129"/>
        <v>600</v>
      </c>
      <c r="G777" s="10">
        <f t="shared" si="130"/>
        <v>0.68</v>
      </c>
      <c r="H777" s="12">
        <f t="shared" si="131"/>
        <v>1.1333333333333333</v>
      </c>
      <c r="I777" s="12">
        <v>0.02</v>
      </c>
      <c r="J777" s="12">
        <v>7.0000000000000007E-2</v>
      </c>
      <c r="K777" s="12">
        <f t="shared" si="132"/>
        <v>0.1675966666666667</v>
      </c>
      <c r="L777" s="12">
        <f t="shared" si="133"/>
        <v>1.39093</v>
      </c>
      <c r="M777" s="2"/>
      <c r="N777" s="2"/>
      <c r="O777" s="12">
        <f t="shared" si="128"/>
        <v>695.46500000000003</v>
      </c>
      <c r="P777" s="2"/>
      <c r="Q777" s="2"/>
      <c r="R777" s="28">
        <v>16.666666666666668</v>
      </c>
    </row>
    <row r="778" spans="1:18" hidden="1" x14ac:dyDescent="0.25">
      <c r="A778" s="16">
        <v>45639</v>
      </c>
      <c r="B778" s="2" t="s">
        <v>173</v>
      </c>
      <c r="C778" s="2">
        <v>680</v>
      </c>
      <c r="D778" s="19">
        <v>0.4</v>
      </c>
      <c r="E778" s="11">
        <v>0.16</v>
      </c>
      <c r="F778" s="10">
        <f t="shared" si="129"/>
        <v>600</v>
      </c>
      <c r="G778" s="10">
        <f t="shared" si="130"/>
        <v>0.68</v>
      </c>
      <c r="H778" s="12">
        <f t="shared" si="131"/>
        <v>1.1333333333333333</v>
      </c>
      <c r="I778" s="12">
        <v>0.02</v>
      </c>
      <c r="J778" s="12">
        <v>7.0000000000000007E-2</v>
      </c>
      <c r="K778" s="12">
        <f t="shared" si="132"/>
        <v>0.19573333333333334</v>
      </c>
      <c r="L778" s="12">
        <f t="shared" si="133"/>
        <v>1.4190666666666667</v>
      </c>
      <c r="M778" s="2"/>
      <c r="N778" s="2">
        <f>L778*300</f>
        <v>425.72</v>
      </c>
      <c r="O778" s="12"/>
      <c r="P778" s="2"/>
      <c r="Q778" s="2"/>
      <c r="R778" s="28">
        <v>16.666666666666668</v>
      </c>
    </row>
    <row r="779" spans="1:18" hidden="1" x14ac:dyDescent="0.25">
      <c r="A779" s="16">
        <v>45639</v>
      </c>
      <c r="B779" s="2" t="s">
        <v>111</v>
      </c>
      <c r="C779" s="2">
        <v>680</v>
      </c>
      <c r="D779" s="19">
        <v>0.4</v>
      </c>
      <c r="E779" s="11">
        <v>0.22700000000000001</v>
      </c>
      <c r="F779" s="10">
        <f t="shared" si="129"/>
        <v>600</v>
      </c>
      <c r="G779" s="10">
        <f t="shared" si="130"/>
        <v>0.68</v>
      </c>
      <c r="H779" s="12">
        <f t="shared" si="131"/>
        <v>1.1333333333333333</v>
      </c>
      <c r="I779" s="12">
        <v>0.02</v>
      </c>
      <c r="J779" s="12">
        <v>7.0000000000000007E-2</v>
      </c>
      <c r="K779" s="12">
        <f t="shared" si="132"/>
        <v>0.2776966666666667</v>
      </c>
      <c r="L779" s="12">
        <f t="shared" si="133"/>
        <v>1.5010300000000001</v>
      </c>
      <c r="M779" s="2">
        <f>L779*250</f>
        <v>375.25750000000005</v>
      </c>
      <c r="N779" s="2"/>
      <c r="O779" s="12"/>
      <c r="P779" s="2"/>
      <c r="Q779" s="2"/>
      <c r="R779" s="28">
        <v>16.666666666666668</v>
      </c>
    </row>
    <row r="780" spans="1:18" hidden="1" x14ac:dyDescent="0.25">
      <c r="A780" s="16">
        <v>45639</v>
      </c>
      <c r="B780" s="2" t="s">
        <v>113</v>
      </c>
      <c r="C780" s="2">
        <v>680</v>
      </c>
      <c r="D780" s="19">
        <v>0.4</v>
      </c>
      <c r="E780" s="11">
        <v>0.39</v>
      </c>
      <c r="F780" s="10">
        <f t="shared" si="129"/>
        <v>600</v>
      </c>
      <c r="G780" s="10">
        <f t="shared" si="130"/>
        <v>0.68</v>
      </c>
      <c r="H780" s="12">
        <f t="shared" si="131"/>
        <v>1.1333333333333333</v>
      </c>
      <c r="I780" s="12">
        <v>0.02</v>
      </c>
      <c r="J780" s="12">
        <v>7.0000000000000007E-2</v>
      </c>
      <c r="K780" s="12">
        <f t="shared" si="132"/>
        <v>0.47710000000000002</v>
      </c>
      <c r="L780" s="12">
        <f t="shared" si="133"/>
        <v>1.7004333333333335</v>
      </c>
      <c r="M780" s="2">
        <f>L780*250</f>
        <v>425.10833333333335</v>
      </c>
      <c r="N780" s="2"/>
      <c r="O780" s="12"/>
      <c r="P780" s="2"/>
      <c r="Q780" s="2"/>
      <c r="R780" s="28">
        <v>16.666666666666668</v>
      </c>
    </row>
    <row r="781" spans="1:18" hidden="1" x14ac:dyDescent="0.25">
      <c r="A781" s="16">
        <v>45639</v>
      </c>
      <c r="B781" s="2" t="s">
        <v>128</v>
      </c>
      <c r="C781" s="2">
        <v>320</v>
      </c>
      <c r="D781" s="19">
        <v>0.11</v>
      </c>
      <c r="E781" s="11">
        <v>0.314</v>
      </c>
      <c r="F781" s="10">
        <f t="shared" si="129"/>
        <v>890</v>
      </c>
      <c r="G781" s="10">
        <f t="shared" si="130"/>
        <v>0.32</v>
      </c>
      <c r="H781" s="12">
        <f t="shared" si="131"/>
        <v>0.3595505617977528</v>
      </c>
      <c r="I781" s="12">
        <v>0.02</v>
      </c>
      <c r="J781" s="12">
        <v>7.0000000000000007E-2</v>
      </c>
      <c r="K781" s="12">
        <f t="shared" si="132"/>
        <v>0.1411588764044944</v>
      </c>
      <c r="L781" s="12">
        <f t="shared" si="133"/>
        <v>0.59070943820224719</v>
      </c>
      <c r="M781" s="2"/>
      <c r="N781" s="2"/>
      <c r="O781" s="12">
        <f>L781*500</f>
        <v>295.35471910112358</v>
      </c>
      <c r="P781" s="2"/>
      <c r="Q781" s="2"/>
      <c r="R781" s="28">
        <v>16.666666666666668</v>
      </c>
    </row>
    <row r="782" spans="1:18" hidden="1" x14ac:dyDescent="0.25">
      <c r="A782" s="16">
        <v>45639</v>
      </c>
      <c r="B782" s="2" t="s">
        <v>186</v>
      </c>
      <c r="C782" s="2">
        <v>620</v>
      </c>
      <c r="D782" s="19">
        <v>0.54</v>
      </c>
      <c r="E782" s="11">
        <v>0.245</v>
      </c>
      <c r="F782" s="10">
        <f t="shared" si="129"/>
        <v>460</v>
      </c>
      <c r="G782" s="10">
        <f t="shared" si="130"/>
        <v>0.62</v>
      </c>
      <c r="H782" s="12">
        <f t="shared" si="131"/>
        <v>1.3478260869565217</v>
      </c>
      <c r="I782" s="12">
        <v>0.02</v>
      </c>
      <c r="J782" s="12">
        <v>7.0000000000000007E-2</v>
      </c>
      <c r="K782" s="12">
        <f t="shared" si="132"/>
        <v>0.35226739130434781</v>
      </c>
      <c r="L782" s="12">
        <f t="shared" si="133"/>
        <v>1.7900934782608697</v>
      </c>
      <c r="M782" s="2"/>
      <c r="N782" s="2"/>
      <c r="O782" s="12">
        <f>L782*500</f>
        <v>895.04673913043484</v>
      </c>
      <c r="P782" s="2"/>
      <c r="Q782" s="2"/>
      <c r="R782" s="28">
        <v>16.666666666666668</v>
      </c>
    </row>
    <row r="783" spans="1:18" hidden="1" x14ac:dyDescent="0.25">
      <c r="A783" s="16">
        <v>45639</v>
      </c>
      <c r="B783" s="2" t="s">
        <v>114</v>
      </c>
      <c r="C783" s="2">
        <v>620</v>
      </c>
      <c r="D783" s="19">
        <v>0.54</v>
      </c>
      <c r="E783" s="11">
        <v>0.24</v>
      </c>
      <c r="F783" s="10">
        <f t="shared" si="129"/>
        <v>460</v>
      </c>
      <c r="G783" s="10">
        <f t="shared" si="130"/>
        <v>0.62</v>
      </c>
      <c r="H783" s="12">
        <f t="shared" si="131"/>
        <v>1.3478260869565217</v>
      </c>
      <c r="I783" s="12">
        <v>0.02</v>
      </c>
      <c r="J783" s="12">
        <v>7.0000000000000007E-2</v>
      </c>
      <c r="K783" s="12">
        <f t="shared" si="132"/>
        <v>0.34507826086956522</v>
      </c>
      <c r="L783" s="12">
        <f t="shared" si="133"/>
        <v>1.7829043478260871</v>
      </c>
      <c r="M783" s="2">
        <f>L783*250</f>
        <v>445.72608695652178</v>
      </c>
      <c r="N783" s="2"/>
      <c r="O783" s="12"/>
      <c r="P783" s="2"/>
      <c r="Q783" s="2"/>
      <c r="R783" s="28">
        <v>16.666666666666668</v>
      </c>
    </row>
    <row r="784" spans="1:18" hidden="1" x14ac:dyDescent="0.25">
      <c r="A784" s="16">
        <v>45639</v>
      </c>
      <c r="B784" s="2" t="s">
        <v>94</v>
      </c>
      <c r="C784" s="2">
        <v>200</v>
      </c>
      <c r="D784" s="19">
        <v>0</v>
      </c>
      <c r="E784" s="11">
        <v>0</v>
      </c>
      <c r="F784" s="10">
        <f t="shared" si="129"/>
        <v>1000</v>
      </c>
      <c r="G784" s="10">
        <f t="shared" si="130"/>
        <v>0.2</v>
      </c>
      <c r="H784" s="12">
        <f t="shared" si="131"/>
        <v>0.2</v>
      </c>
      <c r="I784" s="12">
        <v>0.02</v>
      </c>
      <c r="J784" s="12">
        <v>7.0000000000000007E-2</v>
      </c>
      <c r="K784" s="12">
        <f t="shared" si="132"/>
        <v>0</v>
      </c>
      <c r="L784" s="12">
        <f t="shared" si="133"/>
        <v>0.29000000000000004</v>
      </c>
      <c r="M784" s="2"/>
      <c r="N784" s="2"/>
      <c r="O784" s="12">
        <f t="shared" ref="O784:O790" si="134">L784*500</f>
        <v>145.00000000000003</v>
      </c>
      <c r="P784" s="2"/>
      <c r="Q784" s="2"/>
      <c r="R784" s="28">
        <v>16.666666666666668</v>
      </c>
    </row>
    <row r="785" spans="1:18" hidden="1" x14ac:dyDescent="0.25">
      <c r="A785" s="16">
        <v>45639</v>
      </c>
      <c r="B785" s="2" t="s">
        <v>95</v>
      </c>
      <c r="C785" s="2">
        <v>200</v>
      </c>
      <c r="D785" s="19">
        <v>0</v>
      </c>
      <c r="E785" s="11">
        <v>0</v>
      </c>
      <c r="F785" s="10">
        <f t="shared" si="129"/>
        <v>1000</v>
      </c>
      <c r="G785" s="10">
        <f t="shared" si="130"/>
        <v>0.2</v>
      </c>
      <c r="H785" s="12">
        <f t="shared" si="131"/>
        <v>0.2</v>
      </c>
      <c r="I785" s="12">
        <v>0.02</v>
      </c>
      <c r="J785" s="12">
        <v>7.0000000000000007E-2</v>
      </c>
      <c r="K785" s="12">
        <f t="shared" si="132"/>
        <v>0</v>
      </c>
      <c r="L785" s="12">
        <f t="shared" si="133"/>
        <v>0.29000000000000004</v>
      </c>
      <c r="M785" s="2"/>
      <c r="N785" s="2"/>
      <c r="O785" s="12">
        <f t="shared" si="134"/>
        <v>145.00000000000003</v>
      </c>
      <c r="P785" s="2"/>
      <c r="Q785" s="2"/>
      <c r="R785" s="28">
        <v>16.666666666666668</v>
      </c>
    </row>
    <row r="786" spans="1:18" hidden="1" x14ac:dyDescent="0.25">
      <c r="A786" s="16">
        <v>45639</v>
      </c>
      <c r="B786" s="2" t="s">
        <v>196</v>
      </c>
      <c r="C786" s="2">
        <v>380</v>
      </c>
      <c r="D786" s="19">
        <v>0</v>
      </c>
      <c r="E786" s="11">
        <v>0.38400000000000001</v>
      </c>
      <c r="F786" s="10">
        <f t="shared" si="129"/>
        <v>1000</v>
      </c>
      <c r="G786" s="10">
        <f t="shared" si="130"/>
        <v>0.38</v>
      </c>
      <c r="H786" s="12">
        <f t="shared" si="131"/>
        <v>0.38</v>
      </c>
      <c r="I786" s="12">
        <v>0.02</v>
      </c>
      <c r="J786" s="12">
        <v>7.0000000000000007E-2</v>
      </c>
      <c r="K786" s="12">
        <f t="shared" si="132"/>
        <v>0.18048</v>
      </c>
      <c r="L786" s="12">
        <f t="shared" si="133"/>
        <v>0.65048000000000006</v>
      </c>
      <c r="M786" s="2"/>
      <c r="N786" s="2"/>
      <c r="O786" s="12">
        <f t="shared" si="134"/>
        <v>325.24</v>
      </c>
      <c r="P786" s="2"/>
      <c r="Q786" s="2"/>
      <c r="R786" s="28">
        <v>16.666666666666668</v>
      </c>
    </row>
    <row r="787" spans="1:18" hidden="1" x14ac:dyDescent="0.25">
      <c r="A787" s="16">
        <v>45639</v>
      </c>
      <c r="B787" s="10" t="s">
        <v>197</v>
      </c>
      <c r="C787" s="2">
        <v>380</v>
      </c>
      <c r="D787" s="19">
        <v>0</v>
      </c>
      <c r="E787" s="11">
        <v>0.38400000000000001</v>
      </c>
      <c r="F787" s="10">
        <f t="shared" si="129"/>
        <v>1000</v>
      </c>
      <c r="G787" s="10">
        <f t="shared" si="130"/>
        <v>0.38</v>
      </c>
      <c r="H787" s="12">
        <f t="shared" si="131"/>
        <v>0.38</v>
      </c>
      <c r="I787" s="12">
        <v>0.02</v>
      </c>
      <c r="J787" s="12">
        <v>7.0000000000000007E-2</v>
      </c>
      <c r="K787" s="12">
        <f t="shared" si="132"/>
        <v>0.18048</v>
      </c>
      <c r="L787" s="12">
        <f t="shared" si="133"/>
        <v>0.65048000000000006</v>
      </c>
      <c r="M787" s="2"/>
      <c r="N787" s="2"/>
      <c r="O787" s="12">
        <f t="shared" si="134"/>
        <v>325.24</v>
      </c>
      <c r="P787" s="2"/>
      <c r="Q787" s="2"/>
      <c r="R787" s="28">
        <v>16.666666666666668</v>
      </c>
    </row>
    <row r="788" spans="1:18" hidden="1" x14ac:dyDescent="0.25">
      <c r="A788" s="16">
        <v>45639</v>
      </c>
      <c r="B788" s="2" t="s">
        <v>93</v>
      </c>
      <c r="C788" s="2">
        <v>380</v>
      </c>
      <c r="D788" s="19">
        <v>0</v>
      </c>
      <c r="E788" s="11">
        <v>0.59599999999999997</v>
      </c>
      <c r="F788" s="10">
        <f t="shared" si="129"/>
        <v>1000</v>
      </c>
      <c r="G788" s="10">
        <f t="shared" si="130"/>
        <v>0.38</v>
      </c>
      <c r="H788" s="12">
        <f t="shared" si="131"/>
        <v>0.38</v>
      </c>
      <c r="I788" s="12">
        <v>0.02</v>
      </c>
      <c r="J788" s="12">
        <v>7.0000000000000007E-2</v>
      </c>
      <c r="K788" s="12">
        <f t="shared" si="132"/>
        <v>0.28011999999999998</v>
      </c>
      <c r="L788" s="12">
        <f t="shared" si="133"/>
        <v>0.75012000000000001</v>
      </c>
      <c r="M788" s="2"/>
      <c r="N788" s="2"/>
      <c r="O788" s="12">
        <f t="shared" si="134"/>
        <v>375.06</v>
      </c>
      <c r="P788" s="2"/>
      <c r="Q788" s="2"/>
      <c r="R788" s="28">
        <v>16.666666666666668</v>
      </c>
    </row>
    <row r="789" spans="1:18" hidden="1" x14ac:dyDescent="0.25">
      <c r="A789" s="16">
        <v>45640</v>
      </c>
      <c r="B789" s="2" t="s">
        <v>40</v>
      </c>
      <c r="C789" s="2"/>
      <c r="D789" s="19">
        <v>0</v>
      </c>
      <c r="E789" s="11">
        <v>0</v>
      </c>
      <c r="F789" s="10">
        <f t="shared" si="129"/>
        <v>1000</v>
      </c>
      <c r="G789" s="10">
        <f t="shared" si="130"/>
        <v>0</v>
      </c>
      <c r="H789" s="12">
        <f t="shared" si="131"/>
        <v>0</v>
      </c>
      <c r="I789" s="12">
        <v>0.02</v>
      </c>
      <c r="J789" s="12">
        <v>7.0000000000000007E-2</v>
      </c>
      <c r="K789" s="12">
        <f t="shared" si="132"/>
        <v>0</v>
      </c>
      <c r="L789" s="12">
        <f t="shared" si="133"/>
        <v>9.0000000000000011E-2</v>
      </c>
      <c r="M789" s="2"/>
      <c r="N789" s="2"/>
      <c r="O789" s="12">
        <f t="shared" si="134"/>
        <v>45.000000000000007</v>
      </c>
      <c r="P789" s="2"/>
      <c r="Q789" s="2"/>
      <c r="R789" s="28">
        <v>16.666666666666668</v>
      </c>
    </row>
    <row r="790" spans="1:18" hidden="1" x14ac:dyDescent="0.25">
      <c r="A790" s="16">
        <v>45641</v>
      </c>
      <c r="B790" s="2" t="s">
        <v>40</v>
      </c>
      <c r="C790" s="2">
        <v>200</v>
      </c>
      <c r="D790" s="19">
        <v>0.02</v>
      </c>
      <c r="E790" s="11">
        <v>0.19500000000000001</v>
      </c>
      <c r="F790" s="10">
        <f t="shared" si="129"/>
        <v>980</v>
      </c>
      <c r="G790" s="10">
        <f t="shared" si="130"/>
        <v>0.2</v>
      </c>
      <c r="H790" s="12">
        <f t="shared" si="131"/>
        <v>0.20408163265306123</v>
      </c>
      <c r="I790" s="12">
        <v>0.02</v>
      </c>
      <c r="J790" s="12">
        <v>7.0000000000000007E-2</v>
      </c>
      <c r="K790" s="12">
        <f t="shared" si="132"/>
        <v>5.7345918367346933E-2</v>
      </c>
      <c r="L790" s="12">
        <f t="shared" si="133"/>
        <v>0.35142755102040812</v>
      </c>
      <c r="M790" s="2"/>
      <c r="N790" s="2"/>
      <c r="O790" s="12">
        <f t="shared" si="134"/>
        <v>175.71377551020407</v>
      </c>
      <c r="P790" s="2"/>
      <c r="Q790" s="2"/>
      <c r="R790" s="28">
        <v>16.666666666666668</v>
      </c>
    </row>
    <row r="791" spans="1:18" hidden="1" x14ac:dyDescent="0.25">
      <c r="A791" s="16">
        <v>45641</v>
      </c>
      <c r="B791" s="10" t="s">
        <v>195</v>
      </c>
      <c r="C791" s="2">
        <v>1050</v>
      </c>
      <c r="D791" s="19">
        <v>0.44</v>
      </c>
      <c r="E791" s="11">
        <v>-9.4E-2</v>
      </c>
      <c r="F791" s="10">
        <f t="shared" si="129"/>
        <v>560</v>
      </c>
      <c r="G791" s="10">
        <f t="shared" si="130"/>
        <v>1.05</v>
      </c>
      <c r="H791" s="12">
        <f t="shared" si="131"/>
        <v>1.875</v>
      </c>
      <c r="I791" s="12">
        <v>0.02</v>
      </c>
      <c r="J791" s="12">
        <v>7.0000000000000007E-2</v>
      </c>
      <c r="K791" s="12">
        <f t="shared" si="132"/>
        <v>-0.18471000000000001</v>
      </c>
      <c r="L791" s="12">
        <f t="shared" si="133"/>
        <v>1.7802900000000002</v>
      </c>
      <c r="M791" s="2">
        <f>L791*250</f>
        <v>445.07250000000005</v>
      </c>
      <c r="N791" s="2"/>
      <c r="O791" s="2"/>
      <c r="P791" s="2"/>
      <c r="Q791" s="2"/>
      <c r="R791" s="28">
        <v>16.666666666666668</v>
      </c>
    </row>
    <row r="792" spans="1:18" hidden="1" x14ac:dyDescent="0.25">
      <c r="A792" s="16">
        <v>45641</v>
      </c>
      <c r="B792" s="10" t="s">
        <v>211</v>
      </c>
      <c r="C792" s="2">
        <v>1050</v>
      </c>
      <c r="D792" s="19">
        <v>0.44</v>
      </c>
      <c r="E792" s="11">
        <v>-0.09</v>
      </c>
      <c r="F792" s="10">
        <f t="shared" si="129"/>
        <v>560</v>
      </c>
      <c r="G792" s="10">
        <f t="shared" si="130"/>
        <v>1.05</v>
      </c>
      <c r="H792" s="12">
        <f t="shared" si="131"/>
        <v>1.875</v>
      </c>
      <c r="I792" s="12">
        <v>0.02</v>
      </c>
      <c r="J792" s="12">
        <v>7.0000000000000007E-2</v>
      </c>
      <c r="K792" s="12">
        <f t="shared" si="132"/>
        <v>-0.17685000000000001</v>
      </c>
      <c r="L792" s="12">
        <f t="shared" si="133"/>
        <v>1.7881500000000001</v>
      </c>
      <c r="M792" s="2"/>
      <c r="N792" s="2"/>
      <c r="O792" s="2">
        <f t="shared" ref="O792:O800" si="135">L792*500</f>
        <v>894.07500000000005</v>
      </c>
      <c r="P792" s="2"/>
      <c r="Q792" s="2"/>
      <c r="R792" s="28">
        <v>16.666666666666668</v>
      </c>
    </row>
    <row r="793" spans="1:18" hidden="1" x14ac:dyDescent="0.25">
      <c r="A793" s="16">
        <v>45641</v>
      </c>
      <c r="B793" s="2" t="s">
        <v>130</v>
      </c>
      <c r="C793" s="2">
        <v>320</v>
      </c>
      <c r="D793" s="19">
        <v>0.02</v>
      </c>
      <c r="E793" s="11">
        <v>0.18</v>
      </c>
      <c r="F793" s="10">
        <f t="shared" si="129"/>
        <v>980</v>
      </c>
      <c r="G793" s="10">
        <f t="shared" si="130"/>
        <v>0.32</v>
      </c>
      <c r="H793" s="12">
        <f t="shared" si="131"/>
        <v>0.32653061224489793</v>
      </c>
      <c r="I793" s="12">
        <v>0.02</v>
      </c>
      <c r="J793" s="12">
        <v>7.0000000000000007E-2</v>
      </c>
      <c r="K793" s="12">
        <f t="shared" si="132"/>
        <v>7.4975510204081636E-2</v>
      </c>
      <c r="L793" s="12">
        <f t="shared" si="133"/>
        <v>0.49150612244897962</v>
      </c>
      <c r="M793" s="2"/>
      <c r="N793" s="2"/>
      <c r="O793" s="2">
        <f t="shared" si="135"/>
        <v>245.75306122448981</v>
      </c>
      <c r="P793" s="2"/>
      <c r="Q793" s="2"/>
      <c r="R793" s="28">
        <v>16.666666666666668</v>
      </c>
    </row>
    <row r="794" spans="1:18" hidden="1" x14ac:dyDescent="0.25">
      <c r="A794" s="16">
        <v>45641</v>
      </c>
      <c r="B794" s="2" t="s">
        <v>110</v>
      </c>
      <c r="C794" s="2">
        <v>100</v>
      </c>
      <c r="D794" s="19">
        <v>0.09</v>
      </c>
      <c r="E794" s="11">
        <v>-0.04</v>
      </c>
      <c r="F794" s="10">
        <f t="shared" si="129"/>
        <v>910</v>
      </c>
      <c r="G794" s="10">
        <f t="shared" si="130"/>
        <v>0.1</v>
      </c>
      <c r="H794" s="12">
        <f t="shared" si="131"/>
        <v>0.10989010989010989</v>
      </c>
      <c r="I794" s="12">
        <v>0.02</v>
      </c>
      <c r="J794" s="12">
        <v>7.0000000000000007E-2</v>
      </c>
      <c r="K794" s="12">
        <f t="shared" si="132"/>
        <v>-7.9956043956043964E-3</v>
      </c>
      <c r="L794" s="12">
        <f t="shared" si="133"/>
        <v>0.19189450549450549</v>
      </c>
      <c r="M794" s="2"/>
      <c r="N794" s="2"/>
      <c r="O794" s="2">
        <f t="shared" si="135"/>
        <v>95.947252747252747</v>
      </c>
      <c r="P794" s="2"/>
      <c r="Q794" s="2"/>
      <c r="R794" s="28">
        <v>16.666666666666668</v>
      </c>
    </row>
    <row r="795" spans="1:18" hidden="1" x14ac:dyDescent="0.25">
      <c r="A795" s="16">
        <v>45641</v>
      </c>
      <c r="B795" s="2" t="s">
        <v>108</v>
      </c>
      <c r="C795" s="2">
        <v>380</v>
      </c>
      <c r="D795" s="19">
        <v>0.01</v>
      </c>
      <c r="E795" s="11">
        <v>0.246</v>
      </c>
      <c r="F795" s="10">
        <f t="shared" si="129"/>
        <v>990</v>
      </c>
      <c r="G795" s="2">
        <f t="shared" si="130"/>
        <v>0.38</v>
      </c>
      <c r="H795" s="12">
        <f t="shared" si="131"/>
        <v>0.38383838383838381</v>
      </c>
      <c r="I795" s="12">
        <v>0.02</v>
      </c>
      <c r="J795" s="12">
        <v>7.0000000000000007E-2</v>
      </c>
      <c r="K795" s="12">
        <f t="shared" si="132"/>
        <v>0.11656424242424242</v>
      </c>
      <c r="L795" s="12">
        <f t="shared" si="133"/>
        <v>0.5904026262626263</v>
      </c>
      <c r="M795" s="2"/>
      <c r="N795" s="2"/>
      <c r="O795" s="2">
        <f t="shared" si="135"/>
        <v>295.20131313131316</v>
      </c>
      <c r="P795" s="2"/>
      <c r="Q795" s="2"/>
      <c r="R795" s="28">
        <v>16.666666666666668</v>
      </c>
    </row>
    <row r="796" spans="1:18" hidden="1" x14ac:dyDescent="0.25">
      <c r="A796" s="16">
        <v>45641</v>
      </c>
      <c r="B796" s="2" t="s">
        <v>90</v>
      </c>
      <c r="C796" s="2">
        <v>360</v>
      </c>
      <c r="D796" s="19">
        <v>0</v>
      </c>
      <c r="E796" s="11">
        <v>0.44500000000000001</v>
      </c>
      <c r="F796" s="10">
        <f t="shared" si="129"/>
        <v>1000</v>
      </c>
      <c r="G796" s="2">
        <f t="shared" si="130"/>
        <v>0.36</v>
      </c>
      <c r="H796" s="12">
        <f t="shared" si="131"/>
        <v>0.36</v>
      </c>
      <c r="I796" s="12">
        <v>0.02</v>
      </c>
      <c r="J796" s="12">
        <v>7.0000000000000007E-2</v>
      </c>
      <c r="K796" s="12">
        <f t="shared" si="132"/>
        <v>0.20025000000000001</v>
      </c>
      <c r="L796" s="12">
        <f t="shared" si="133"/>
        <v>0.65024999999999999</v>
      </c>
      <c r="M796" s="2"/>
      <c r="N796" s="2"/>
      <c r="O796" s="2">
        <f t="shared" si="135"/>
        <v>325.125</v>
      </c>
      <c r="P796" s="2"/>
      <c r="Q796" s="2"/>
      <c r="R796" s="28">
        <v>16.666666666666668</v>
      </c>
    </row>
    <row r="797" spans="1:18" hidden="1" x14ac:dyDescent="0.25">
      <c r="A797" s="16">
        <v>45641</v>
      </c>
      <c r="B797" s="2" t="s">
        <v>91</v>
      </c>
      <c r="C797" s="2">
        <v>360</v>
      </c>
      <c r="D797" s="19">
        <v>0</v>
      </c>
      <c r="E797" s="11">
        <v>0.44500000000000001</v>
      </c>
      <c r="F797" s="10">
        <f t="shared" si="129"/>
        <v>1000</v>
      </c>
      <c r="G797" s="2">
        <f t="shared" si="130"/>
        <v>0.36</v>
      </c>
      <c r="H797" s="12">
        <f t="shared" si="131"/>
        <v>0.36</v>
      </c>
      <c r="I797" s="12">
        <v>0.02</v>
      </c>
      <c r="J797" s="12">
        <v>7.0000000000000007E-2</v>
      </c>
      <c r="K797" s="12">
        <f t="shared" si="132"/>
        <v>0.20025000000000001</v>
      </c>
      <c r="L797" s="12">
        <f t="shared" si="133"/>
        <v>0.65024999999999999</v>
      </c>
      <c r="M797" s="2"/>
      <c r="N797" s="2"/>
      <c r="O797" s="2">
        <f t="shared" si="135"/>
        <v>325.125</v>
      </c>
      <c r="P797" s="2"/>
      <c r="Q797" s="2"/>
      <c r="R797" s="28">
        <v>16.666666666666668</v>
      </c>
    </row>
    <row r="798" spans="1:18" hidden="1" x14ac:dyDescent="0.25">
      <c r="A798" s="16">
        <v>45641</v>
      </c>
      <c r="B798" s="2" t="s">
        <v>94</v>
      </c>
      <c r="C798" s="2">
        <v>220</v>
      </c>
      <c r="D798" s="19">
        <v>0.04</v>
      </c>
      <c r="E798" s="11">
        <v>0.1</v>
      </c>
      <c r="F798" s="10">
        <f t="shared" si="129"/>
        <v>960</v>
      </c>
      <c r="G798" s="2">
        <f t="shared" si="130"/>
        <v>0.22</v>
      </c>
      <c r="H798" s="12">
        <f t="shared" si="131"/>
        <v>0.22916666666666666</v>
      </c>
      <c r="I798" s="12">
        <v>0.02</v>
      </c>
      <c r="J798" s="12">
        <v>7.0000000000000007E-2</v>
      </c>
      <c r="K798" s="12">
        <f t="shared" si="132"/>
        <v>3.191666666666667E-2</v>
      </c>
      <c r="L798" s="12">
        <f t="shared" si="133"/>
        <v>0.3510833333333333</v>
      </c>
      <c r="M798" s="2"/>
      <c r="N798" s="2"/>
      <c r="O798" s="2">
        <f t="shared" si="135"/>
        <v>175.54166666666666</v>
      </c>
      <c r="P798" s="2"/>
      <c r="Q798" s="2"/>
      <c r="R798" s="28">
        <v>16.666666666666668</v>
      </c>
    </row>
    <row r="799" spans="1:18" hidden="1" x14ac:dyDescent="0.25">
      <c r="A799" s="16">
        <v>45641</v>
      </c>
      <c r="B799" s="2" t="s">
        <v>154</v>
      </c>
      <c r="C799" s="2">
        <v>220</v>
      </c>
      <c r="D799" s="19">
        <v>0.04</v>
      </c>
      <c r="E799" s="11">
        <v>0.1</v>
      </c>
      <c r="F799" s="10">
        <f t="shared" si="129"/>
        <v>960</v>
      </c>
      <c r="G799" s="2">
        <f t="shared" si="130"/>
        <v>0.22</v>
      </c>
      <c r="H799" s="12">
        <f t="shared" si="131"/>
        <v>0.22916666666666666</v>
      </c>
      <c r="I799" s="12">
        <v>0.02</v>
      </c>
      <c r="J799" s="12">
        <v>7.0000000000000007E-2</v>
      </c>
      <c r="K799" s="12">
        <f t="shared" si="132"/>
        <v>3.191666666666667E-2</v>
      </c>
      <c r="L799" s="12">
        <f t="shared" si="133"/>
        <v>0.3510833333333333</v>
      </c>
      <c r="M799" s="2"/>
      <c r="N799" s="2"/>
      <c r="O799" s="2">
        <f t="shared" si="135"/>
        <v>175.54166666666666</v>
      </c>
      <c r="P799" s="2"/>
      <c r="Q799" s="2"/>
      <c r="R799" s="28">
        <v>16.666666666666668</v>
      </c>
    </row>
    <row r="800" spans="1:18" hidden="1" x14ac:dyDescent="0.25">
      <c r="A800" s="16">
        <v>45643</v>
      </c>
      <c r="B800" s="2" t="s">
        <v>162</v>
      </c>
      <c r="C800" s="2">
        <v>170</v>
      </c>
      <c r="D800" s="19">
        <v>9.9000000000000008E-3</v>
      </c>
      <c r="E800" s="11">
        <v>0.34</v>
      </c>
      <c r="F800" s="10">
        <f t="shared" si="129"/>
        <v>990.1</v>
      </c>
      <c r="G800" s="10">
        <f t="shared" si="130"/>
        <v>0.17</v>
      </c>
      <c r="H800" s="12">
        <f t="shared" si="131"/>
        <v>0.17169982830017169</v>
      </c>
      <c r="I800" s="12">
        <v>0.02</v>
      </c>
      <c r="J800" s="12">
        <v>7.0000000000000007E-2</v>
      </c>
      <c r="K800" s="12">
        <f t="shared" si="132"/>
        <v>8.8977941622058382E-2</v>
      </c>
      <c r="L800" s="12">
        <f t="shared" si="133"/>
        <v>0.3506777699222301</v>
      </c>
      <c r="M800" s="2"/>
      <c r="N800" s="2"/>
      <c r="O800" s="12">
        <f t="shared" si="135"/>
        <v>175.33888496111504</v>
      </c>
      <c r="P800" s="2"/>
      <c r="Q800" s="2"/>
      <c r="R800" s="28">
        <v>16.666666666666668</v>
      </c>
    </row>
    <row r="801" spans="1:18" hidden="1" x14ac:dyDescent="0.25">
      <c r="A801" s="16">
        <v>45643</v>
      </c>
      <c r="B801" s="2" t="s">
        <v>111</v>
      </c>
      <c r="C801" s="2">
        <v>700</v>
      </c>
      <c r="D801" s="19">
        <v>0.39</v>
      </c>
      <c r="E801" s="11">
        <v>0.215</v>
      </c>
      <c r="F801" s="10">
        <f t="shared" si="129"/>
        <v>610</v>
      </c>
      <c r="G801" s="10">
        <f t="shared" si="130"/>
        <v>0.7</v>
      </c>
      <c r="H801" s="12">
        <f t="shared" si="131"/>
        <v>1.1475409836065573</v>
      </c>
      <c r="I801" s="12">
        <v>0.02</v>
      </c>
      <c r="J801" s="12">
        <v>7.0000000000000007E-2</v>
      </c>
      <c r="K801" s="12">
        <f t="shared" si="132"/>
        <v>0.26607131147540986</v>
      </c>
      <c r="L801" s="12">
        <f t="shared" si="133"/>
        <v>1.5036122950819673</v>
      </c>
      <c r="M801" s="2">
        <f>L801*250</f>
        <v>375.9030737704918</v>
      </c>
      <c r="N801" s="2"/>
      <c r="O801" s="12"/>
      <c r="P801" s="2"/>
      <c r="Q801" s="2"/>
      <c r="R801" s="28">
        <v>16.666666666666668</v>
      </c>
    </row>
    <row r="802" spans="1:18" hidden="1" x14ac:dyDescent="0.25">
      <c r="A802" s="16">
        <v>45643</v>
      </c>
      <c r="B802" s="2" t="s">
        <v>113</v>
      </c>
      <c r="C802" s="2">
        <v>700</v>
      </c>
      <c r="D802" s="19">
        <v>0.39</v>
      </c>
      <c r="E802" s="11">
        <v>0.375</v>
      </c>
      <c r="F802" s="10">
        <f t="shared" si="129"/>
        <v>610</v>
      </c>
      <c r="G802" s="10">
        <f t="shared" si="130"/>
        <v>0.7</v>
      </c>
      <c r="H802" s="12">
        <f t="shared" si="131"/>
        <v>1.1475409836065573</v>
      </c>
      <c r="I802" s="12">
        <v>0.02</v>
      </c>
      <c r="J802" s="12">
        <v>7.0000000000000007E-2</v>
      </c>
      <c r="K802" s="12">
        <f t="shared" si="132"/>
        <v>0.46407786885245905</v>
      </c>
      <c r="L802" s="12">
        <f t="shared" si="133"/>
        <v>1.7016188524590166</v>
      </c>
      <c r="M802" s="2">
        <f>L802*250</f>
        <v>425.40471311475414</v>
      </c>
      <c r="N802" s="2"/>
      <c r="O802" s="12"/>
      <c r="P802" s="2"/>
      <c r="Q802" s="2"/>
      <c r="R802" s="28">
        <v>16.666666666666668</v>
      </c>
    </row>
    <row r="803" spans="1:18" hidden="1" x14ac:dyDescent="0.25">
      <c r="A803" s="16">
        <v>45643</v>
      </c>
      <c r="B803" s="2" t="s">
        <v>130</v>
      </c>
      <c r="C803" s="2">
        <v>320</v>
      </c>
      <c r="D803" s="19">
        <v>0</v>
      </c>
      <c r="E803" s="11">
        <v>0.19500000000000001</v>
      </c>
      <c r="F803" s="10">
        <f t="shared" si="129"/>
        <v>1000</v>
      </c>
      <c r="G803" s="10">
        <f t="shared" si="130"/>
        <v>0.32</v>
      </c>
      <c r="H803" s="12">
        <f t="shared" si="131"/>
        <v>0.32</v>
      </c>
      <c r="I803" s="12">
        <v>0.02</v>
      </c>
      <c r="J803" s="12">
        <v>7.0000000000000007E-2</v>
      </c>
      <c r="K803" s="12">
        <f t="shared" si="132"/>
        <v>7.9950000000000007E-2</v>
      </c>
      <c r="L803" s="12">
        <f t="shared" si="133"/>
        <v>0.48995000000000005</v>
      </c>
      <c r="M803" s="2"/>
      <c r="N803" s="2"/>
      <c r="O803" s="2">
        <f t="shared" ref="O803:O812" si="136">L803*500</f>
        <v>244.97500000000002</v>
      </c>
      <c r="P803" s="2"/>
      <c r="Q803" s="2"/>
      <c r="R803" s="28">
        <v>16.666666666666668</v>
      </c>
    </row>
    <row r="804" spans="1:18" hidden="1" x14ac:dyDescent="0.25">
      <c r="A804" s="16">
        <v>45644</v>
      </c>
      <c r="B804" s="2" t="s">
        <v>204</v>
      </c>
      <c r="C804" s="2">
        <v>700</v>
      </c>
      <c r="D804" s="19">
        <v>0.4</v>
      </c>
      <c r="E804" s="11">
        <v>0.155</v>
      </c>
      <c r="F804" s="2">
        <f t="shared" si="129"/>
        <v>600</v>
      </c>
      <c r="G804" s="2">
        <f t="shared" si="130"/>
        <v>0.7</v>
      </c>
      <c r="H804" s="2">
        <f t="shared" si="131"/>
        <v>1.1666666666666667</v>
      </c>
      <c r="I804" s="12">
        <v>0.02</v>
      </c>
      <c r="J804" s="12">
        <v>7.0000000000000007E-2</v>
      </c>
      <c r="K804" s="12">
        <f t="shared" si="132"/>
        <v>0.19478333333333336</v>
      </c>
      <c r="L804" s="12">
        <f t="shared" si="133"/>
        <v>1.4514500000000001</v>
      </c>
      <c r="M804" s="2" t="s">
        <v>72</v>
      </c>
      <c r="N804" s="2"/>
      <c r="O804" s="2">
        <f t="shared" si="136"/>
        <v>725.72500000000002</v>
      </c>
      <c r="P804" s="2"/>
      <c r="Q804" s="2">
        <f>L804*1000</f>
        <v>1451.45</v>
      </c>
      <c r="R804" s="28">
        <f>K804/L804%</f>
        <v>13.419913419913421</v>
      </c>
    </row>
    <row r="805" spans="1:18" hidden="1" x14ac:dyDescent="0.25">
      <c r="A805" s="16">
        <v>45644</v>
      </c>
      <c r="B805" s="2" t="s">
        <v>205</v>
      </c>
      <c r="C805" s="2">
        <v>750</v>
      </c>
      <c r="D805" s="19">
        <v>0.4</v>
      </c>
      <c r="E805" s="11">
        <v>0</v>
      </c>
      <c r="F805" s="2">
        <f t="shared" si="129"/>
        <v>600</v>
      </c>
      <c r="G805" s="2">
        <f t="shared" si="130"/>
        <v>0.75</v>
      </c>
      <c r="H805" s="2">
        <f t="shared" si="131"/>
        <v>1.25</v>
      </c>
      <c r="I805" s="12">
        <v>0.02</v>
      </c>
      <c r="J805" s="12">
        <v>7.0000000000000007E-2</v>
      </c>
      <c r="K805" s="12">
        <f t="shared" si="132"/>
        <v>0</v>
      </c>
      <c r="L805" s="12">
        <f t="shared" si="133"/>
        <v>1.34</v>
      </c>
      <c r="M805" s="2">
        <f>L805*250</f>
        <v>335</v>
      </c>
      <c r="N805" s="2"/>
      <c r="O805" s="2">
        <f t="shared" si="136"/>
        <v>670</v>
      </c>
      <c r="P805" s="2"/>
      <c r="Q805" s="2">
        <f>L805*1000</f>
        <v>1340</v>
      </c>
      <c r="R805" s="28">
        <f>K805/L805%</f>
        <v>0</v>
      </c>
    </row>
    <row r="806" spans="1:18" hidden="1" x14ac:dyDescent="0.25">
      <c r="A806" s="16">
        <v>45644</v>
      </c>
      <c r="B806" s="2" t="s">
        <v>94</v>
      </c>
      <c r="C806" s="2">
        <v>220</v>
      </c>
      <c r="D806" s="19">
        <v>0</v>
      </c>
      <c r="E806" s="11">
        <v>0.1</v>
      </c>
      <c r="F806" s="10">
        <f t="shared" si="129"/>
        <v>1000</v>
      </c>
      <c r="G806" s="2">
        <f t="shared" si="130"/>
        <v>0.22</v>
      </c>
      <c r="H806" s="12">
        <f t="shared" si="131"/>
        <v>0.22</v>
      </c>
      <c r="I806" s="12">
        <v>0.02</v>
      </c>
      <c r="J806" s="12">
        <v>7.0000000000000007E-2</v>
      </c>
      <c r="K806" s="12">
        <f t="shared" si="132"/>
        <v>3.1E-2</v>
      </c>
      <c r="L806" s="12">
        <f t="shared" si="133"/>
        <v>0.34099999999999997</v>
      </c>
      <c r="M806" s="2"/>
      <c r="N806" s="2"/>
      <c r="O806" s="2">
        <f t="shared" si="136"/>
        <v>170.49999999999997</v>
      </c>
      <c r="P806" s="2"/>
      <c r="Q806" s="2"/>
      <c r="R806" s="28">
        <v>16.666666666666668</v>
      </c>
    </row>
    <row r="807" spans="1:18" hidden="1" x14ac:dyDescent="0.25">
      <c r="A807" s="16">
        <v>45644</v>
      </c>
      <c r="B807" s="2" t="s">
        <v>154</v>
      </c>
      <c r="C807" s="2">
        <v>220</v>
      </c>
      <c r="D807" s="19">
        <v>0</v>
      </c>
      <c r="E807" s="11">
        <v>0.1</v>
      </c>
      <c r="F807" s="10">
        <f t="shared" si="129"/>
        <v>1000</v>
      </c>
      <c r="G807" s="2">
        <f t="shared" si="130"/>
        <v>0.22</v>
      </c>
      <c r="H807" s="12">
        <f t="shared" si="131"/>
        <v>0.22</v>
      </c>
      <c r="I807" s="12">
        <v>0.02</v>
      </c>
      <c r="J807" s="12">
        <v>7.0000000000000007E-2</v>
      </c>
      <c r="K807" s="12">
        <f t="shared" si="132"/>
        <v>3.1E-2</v>
      </c>
      <c r="L807" s="12">
        <f t="shared" si="133"/>
        <v>0.34099999999999997</v>
      </c>
      <c r="M807" s="2"/>
      <c r="N807" s="2"/>
      <c r="O807" s="2">
        <f t="shared" si="136"/>
        <v>170.49999999999997</v>
      </c>
      <c r="P807" s="2"/>
      <c r="Q807" s="2"/>
      <c r="R807" s="28">
        <v>16.666666666666668</v>
      </c>
    </row>
    <row r="808" spans="1:18" hidden="1" x14ac:dyDescent="0.25">
      <c r="A808" s="16">
        <v>45644</v>
      </c>
      <c r="B808" s="2" t="s">
        <v>126</v>
      </c>
      <c r="C808" s="2">
        <v>570</v>
      </c>
      <c r="D808" s="19">
        <v>0.16</v>
      </c>
      <c r="E808" s="11">
        <v>0.03</v>
      </c>
      <c r="F808" s="2">
        <f t="shared" si="129"/>
        <v>840</v>
      </c>
      <c r="G808" s="10">
        <f t="shared" si="130"/>
        <v>0.56999999999999995</v>
      </c>
      <c r="H808" s="12">
        <f t="shared" si="131"/>
        <v>0.6785714285714286</v>
      </c>
      <c r="I808" s="12">
        <v>0.02</v>
      </c>
      <c r="J808" s="12">
        <v>7.0000000000000007E-2</v>
      </c>
      <c r="K808" s="12">
        <f t="shared" si="132"/>
        <v>2.3057142857142859E-2</v>
      </c>
      <c r="L808" s="12">
        <f t="shared" si="133"/>
        <v>0.79162857142857157</v>
      </c>
      <c r="M808" s="2"/>
      <c r="N808" s="2"/>
      <c r="O808" s="2">
        <f t="shared" si="136"/>
        <v>395.8142857142858</v>
      </c>
      <c r="P808" s="2"/>
      <c r="Q808" s="2"/>
      <c r="R808" s="28">
        <f>K808/L808%</f>
        <v>2.9126213592233006</v>
      </c>
    </row>
    <row r="809" spans="1:18" hidden="1" x14ac:dyDescent="0.25">
      <c r="A809" s="16">
        <v>45644</v>
      </c>
      <c r="B809" s="2" t="s">
        <v>92</v>
      </c>
      <c r="C809" s="2">
        <v>430</v>
      </c>
      <c r="D809" s="19">
        <v>0.16</v>
      </c>
      <c r="E809" s="11">
        <v>0.08</v>
      </c>
      <c r="F809" s="10">
        <f t="shared" si="129"/>
        <v>840</v>
      </c>
      <c r="G809" s="10">
        <f t="shared" si="130"/>
        <v>0.43</v>
      </c>
      <c r="H809" s="12">
        <f t="shared" si="131"/>
        <v>0.51190476190476186</v>
      </c>
      <c r="I809" s="12">
        <v>0.02</v>
      </c>
      <c r="J809" s="12">
        <v>7.0000000000000007E-2</v>
      </c>
      <c r="K809" s="12">
        <f t="shared" si="132"/>
        <v>4.8152380952380953E-2</v>
      </c>
      <c r="L809" s="12">
        <f t="shared" si="133"/>
        <v>0.65005714285714289</v>
      </c>
      <c r="M809" s="2"/>
      <c r="N809" s="2"/>
      <c r="O809" s="12">
        <f t="shared" si="136"/>
        <v>325.02857142857147</v>
      </c>
      <c r="P809" s="2"/>
      <c r="Q809" s="2"/>
      <c r="R809" s="28">
        <v>16.666666666666668</v>
      </c>
    </row>
    <row r="810" spans="1:18" hidden="1" x14ac:dyDescent="0.25">
      <c r="A810" s="16">
        <v>45644</v>
      </c>
      <c r="B810" s="2" t="s">
        <v>110</v>
      </c>
      <c r="C810" s="2">
        <v>80</v>
      </c>
      <c r="D810" s="19">
        <v>0.11</v>
      </c>
      <c r="E810" s="11">
        <v>0.06</v>
      </c>
      <c r="F810" s="10">
        <f t="shared" si="129"/>
        <v>890</v>
      </c>
      <c r="G810" s="10">
        <f t="shared" si="130"/>
        <v>0.08</v>
      </c>
      <c r="H810" s="12">
        <f t="shared" si="131"/>
        <v>8.98876404494382E-2</v>
      </c>
      <c r="I810" s="12">
        <v>0.02</v>
      </c>
      <c r="J810" s="12">
        <v>7.0000000000000007E-2</v>
      </c>
      <c r="K810" s="12">
        <f t="shared" si="132"/>
        <v>1.0793258426966292E-2</v>
      </c>
      <c r="L810" s="12">
        <f t="shared" si="133"/>
        <v>0.19068089887640452</v>
      </c>
      <c r="M810" s="2"/>
      <c r="N810" s="2"/>
      <c r="O810" s="2">
        <f t="shared" si="136"/>
        <v>95.340449438202256</v>
      </c>
      <c r="P810" s="2"/>
      <c r="Q810" s="2"/>
      <c r="R810" s="28">
        <v>16.666666666666668</v>
      </c>
    </row>
    <row r="811" spans="1:18" hidden="1" x14ac:dyDescent="0.25">
      <c r="A811" s="16">
        <v>45644</v>
      </c>
      <c r="B811" s="2" t="s">
        <v>90</v>
      </c>
      <c r="C811" s="2">
        <v>360</v>
      </c>
      <c r="D811" s="19">
        <v>0.15</v>
      </c>
      <c r="E811" s="11">
        <v>0.26700000000000002</v>
      </c>
      <c r="F811" s="10">
        <f t="shared" si="129"/>
        <v>850</v>
      </c>
      <c r="G811" s="2">
        <f t="shared" si="130"/>
        <v>0.36</v>
      </c>
      <c r="H811" s="12">
        <f t="shared" si="131"/>
        <v>0.42352941176470588</v>
      </c>
      <c r="I811" s="12">
        <v>0.02</v>
      </c>
      <c r="J811" s="12">
        <v>7.0000000000000007E-2</v>
      </c>
      <c r="K811" s="12">
        <f t="shared" si="132"/>
        <v>0.13711235294117649</v>
      </c>
      <c r="L811" s="12">
        <f t="shared" si="133"/>
        <v>0.65064176470588242</v>
      </c>
      <c r="M811" s="2"/>
      <c r="N811" s="2"/>
      <c r="O811" s="2">
        <f t="shared" si="136"/>
        <v>325.32088235294123</v>
      </c>
      <c r="P811" s="2"/>
      <c r="Q811" s="2"/>
      <c r="R811" s="28">
        <v>16.666666666666668</v>
      </c>
    </row>
    <row r="812" spans="1:18" hidden="1" x14ac:dyDescent="0.25">
      <c r="A812" s="16">
        <v>45644</v>
      </c>
      <c r="B812" s="2" t="s">
        <v>91</v>
      </c>
      <c r="C812" s="2">
        <v>360</v>
      </c>
      <c r="D812" s="19">
        <v>0.15</v>
      </c>
      <c r="E812" s="11">
        <v>0.26700000000000002</v>
      </c>
      <c r="F812" s="10">
        <f t="shared" si="129"/>
        <v>850</v>
      </c>
      <c r="G812" s="2">
        <f t="shared" si="130"/>
        <v>0.36</v>
      </c>
      <c r="H812" s="12">
        <f t="shared" si="131"/>
        <v>0.42352941176470588</v>
      </c>
      <c r="I812" s="12">
        <v>0.02</v>
      </c>
      <c r="J812" s="12">
        <v>7.0000000000000007E-2</v>
      </c>
      <c r="K812" s="12">
        <f t="shared" si="132"/>
        <v>0.13711235294117649</v>
      </c>
      <c r="L812" s="12">
        <f t="shared" si="133"/>
        <v>0.65064176470588242</v>
      </c>
      <c r="M812" s="2"/>
      <c r="N812" s="2"/>
      <c r="O812" s="2">
        <f t="shared" si="136"/>
        <v>325.32088235294123</v>
      </c>
      <c r="P812" s="2"/>
      <c r="Q812" s="2"/>
      <c r="R812" s="28">
        <v>16.666666666666668</v>
      </c>
    </row>
    <row r="813" spans="1:18" hidden="1" x14ac:dyDescent="0.25">
      <c r="A813" s="16">
        <v>45644</v>
      </c>
      <c r="B813" s="2" t="s">
        <v>118</v>
      </c>
      <c r="C813" s="2">
        <v>250</v>
      </c>
      <c r="D813" s="19">
        <v>0.4</v>
      </c>
      <c r="E813" s="11">
        <v>0.38400000000000001</v>
      </c>
      <c r="F813" s="10">
        <f t="shared" si="129"/>
        <v>600</v>
      </c>
      <c r="G813" s="2">
        <f t="shared" si="130"/>
        <v>0.25</v>
      </c>
      <c r="H813" s="12">
        <f t="shared" si="131"/>
        <v>0.41666666666666669</v>
      </c>
      <c r="I813" s="12">
        <v>0.02</v>
      </c>
      <c r="J813" s="12">
        <v>7.0000000000000007E-2</v>
      </c>
      <c r="K813" s="12">
        <f t="shared" si="132"/>
        <v>0.19456000000000001</v>
      </c>
      <c r="L813" s="12">
        <f t="shared" si="133"/>
        <v>0.70122666666666666</v>
      </c>
      <c r="M813" s="2">
        <f>L813*250</f>
        <v>175.30666666666667</v>
      </c>
      <c r="N813" s="2"/>
      <c r="O813" s="2"/>
      <c r="P813" s="2"/>
      <c r="Q813" s="2"/>
      <c r="R813" s="28">
        <v>16.666666666666668</v>
      </c>
    </row>
    <row r="814" spans="1:18" hidden="1" x14ac:dyDescent="0.25">
      <c r="A814" s="16">
        <v>45645</v>
      </c>
      <c r="B814" s="2" t="s">
        <v>159</v>
      </c>
      <c r="C814" s="2">
        <v>420</v>
      </c>
      <c r="D814" s="19">
        <v>0.01</v>
      </c>
      <c r="E814" s="11">
        <v>0.46</v>
      </c>
      <c r="F814" s="10">
        <f t="shared" si="129"/>
        <v>990</v>
      </c>
      <c r="G814" s="2">
        <f t="shared" si="130"/>
        <v>0.42</v>
      </c>
      <c r="H814" s="12">
        <f t="shared" si="131"/>
        <v>0.42424242424242425</v>
      </c>
      <c r="I814" s="12">
        <v>0.02</v>
      </c>
      <c r="J814" s="12">
        <v>7.0000000000000007E-2</v>
      </c>
      <c r="K814" s="12">
        <f t="shared" si="132"/>
        <v>0.23655151515151518</v>
      </c>
      <c r="L814" s="12">
        <f t="shared" si="133"/>
        <v>0.75079393939393946</v>
      </c>
      <c r="M814" s="2"/>
      <c r="N814" s="2"/>
      <c r="O814" s="2">
        <f t="shared" ref="O814:O823" si="137">L814*500</f>
        <v>375.39696969696973</v>
      </c>
      <c r="P814" s="2"/>
      <c r="Q814" s="2"/>
      <c r="R814" s="28">
        <v>16.666666666666668</v>
      </c>
    </row>
    <row r="815" spans="1:18" hidden="1" x14ac:dyDescent="0.25">
      <c r="A815" s="16">
        <v>45645</v>
      </c>
      <c r="B815" s="2" t="s">
        <v>94</v>
      </c>
      <c r="C815" s="2">
        <v>200</v>
      </c>
      <c r="D815" s="19">
        <v>0.09</v>
      </c>
      <c r="E815" s="11">
        <v>0.13</v>
      </c>
      <c r="F815" s="10">
        <f t="shared" si="129"/>
        <v>910</v>
      </c>
      <c r="G815" s="2">
        <f t="shared" si="130"/>
        <v>0.2</v>
      </c>
      <c r="H815" s="12">
        <f t="shared" si="131"/>
        <v>0.21978021978021978</v>
      </c>
      <c r="I815" s="12">
        <v>0.02</v>
      </c>
      <c r="J815" s="12">
        <v>7.0000000000000007E-2</v>
      </c>
      <c r="K815" s="12">
        <f t="shared" si="132"/>
        <v>4.0271428571428569E-2</v>
      </c>
      <c r="L815" s="12">
        <f t="shared" si="133"/>
        <v>0.35005164835164831</v>
      </c>
      <c r="M815" s="2"/>
      <c r="N815" s="2"/>
      <c r="O815" s="2">
        <f t="shared" si="137"/>
        <v>175.02582417582417</v>
      </c>
      <c r="P815" s="2"/>
      <c r="Q815" s="2"/>
      <c r="R815" s="28">
        <v>16.666666666666668</v>
      </c>
    </row>
    <row r="816" spans="1:18" hidden="1" x14ac:dyDescent="0.25">
      <c r="A816" s="16">
        <v>45645</v>
      </c>
      <c r="B816" s="2" t="s">
        <v>95</v>
      </c>
      <c r="C816" s="2">
        <v>200</v>
      </c>
      <c r="D816" s="19">
        <v>0.09</v>
      </c>
      <c r="E816" s="11">
        <v>0.13</v>
      </c>
      <c r="F816" s="10">
        <f t="shared" si="129"/>
        <v>910</v>
      </c>
      <c r="G816" s="2">
        <f t="shared" si="130"/>
        <v>0.2</v>
      </c>
      <c r="H816" s="12">
        <f t="shared" si="131"/>
        <v>0.21978021978021978</v>
      </c>
      <c r="I816" s="12">
        <v>0.02</v>
      </c>
      <c r="J816" s="12">
        <v>7.0000000000000007E-2</v>
      </c>
      <c r="K816" s="12">
        <f t="shared" si="132"/>
        <v>4.0271428571428569E-2</v>
      </c>
      <c r="L816" s="12">
        <f t="shared" si="133"/>
        <v>0.35005164835164831</v>
      </c>
      <c r="M816" s="2"/>
      <c r="N816" s="2"/>
      <c r="O816" s="2">
        <f t="shared" si="137"/>
        <v>175.02582417582417</v>
      </c>
      <c r="P816" s="2"/>
      <c r="Q816" s="2"/>
      <c r="R816" s="28">
        <v>16.666666666666668</v>
      </c>
    </row>
    <row r="817" spans="1:18" hidden="1" x14ac:dyDescent="0.25">
      <c r="A817" s="16">
        <v>45646</v>
      </c>
      <c r="B817" s="2" t="s">
        <v>94</v>
      </c>
      <c r="C817" s="2">
        <v>210</v>
      </c>
      <c r="D817" s="19">
        <v>0.1</v>
      </c>
      <c r="E817" s="11">
        <v>8.5000000000000006E-2</v>
      </c>
      <c r="F817" s="10">
        <f t="shared" si="129"/>
        <v>900</v>
      </c>
      <c r="G817" s="2">
        <f t="shared" si="130"/>
        <v>0.21</v>
      </c>
      <c r="H817" s="12">
        <f t="shared" si="131"/>
        <v>0.23333333333333334</v>
      </c>
      <c r="I817" s="12">
        <v>0.02</v>
      </c>
      <c r="J817" s="12">
        <v>7.0000000000000007E-2</v>
      </c>
      <c r="K817" s="12">
        <f t="shared" si="132"/>
        <v>2.7483333333333339E-2</v>
      </c>
      <c r="L817" s="12">
        <f t="shared" si="133"/>
        <v>0.35081666666666672</v>
      </c>
      <c r="M817" s="2"/>
      <c r="N817" s="2"/>
      <c r="O817" s="2">
        <f t="shared" si="137"/>
        <v>175.40833333333336</v>
      </c>
      <c r="P817" s="2"/>
      <c r="Q817" s="2"/>
      <c r="R817" s="28">
        <v>16.666666666666668</v>
      </c>
    </row>
    <row r="818" spans="1:18" hidden="1" x14ac:dyDescent="0.25">
      <c r="A818" s="16">
        <v>45646</v>
      </c>
      <c r="B818" s="2" t="s">
        <v>95</v>
      </c>
      <c r="C818" s="2">
        <v>210</v>
      </c>
      <c r="D818" s="19">
        <v>0.1</v>
      </c>
      <c r="E818" s="11">
        <v>8.5000000000000006E-2</v>
      </c>
      <c r="F818" s="10">
        <f t="shared" si="129"/>
        <v>900</v>
      </c>
      <c r="G818" s="2">
        <f t="shared" si="130"/>
        <v>0.21</v>
      </c>
      <c r="H818" s="12">
        <f t="shared" si="131"/>
        <v>0.23333333333333334</v>
      </c>
      <c r="I818" s="12">
        <v>0.02</v>
      </c>
      <c r="J818" s="12">
        <v>7.0000000000000007E-2</v>
      </c>
      <c r="K818" s="12">
        <f t="shared" si="132"/>
        <v>2.7483333333333339E-2</v>
      </c>
      <c r="L818" s="12">
        <f t="shared" si="133"/>
        <v>0.35081666666666672</v>
      </c>
      <c r="M818" s="2"/>
      <c r="N818" s="2"/>
      <c r="O818" s="2">
        <f t="shared" si="137"/>
        <v>175.40833333333336</v>
      </c>
      <c r="P818" s="2"/>
      <c r="Q818" s="2"/>
      <c r="R818" s="28">
        <v>16.666666666666668</v>
      </c>
    </row>
    <row r="819" spans="1:18" hidden="1" x14ac:dyDescent="0.25">
      <c r="A819" s="16">
        <v>45646</v>
      </c>
      <c r="B819" s="2" t="s">
        <v>93</v>
      </c>
      <c r="C819" s="2">
        <v>550</v>
      </c>
      <c r="D819" s="19">
        <v>0</v>
      </c>
      <c r="E819" s="11">
        <v>0.23499999999999999</v>
      </c>
      <c r="F819" s="10">
        <f t="shared" si="129"/>
        <v>1000</v>
      </c>
      <c r="G819" s="10">
        <f t="shared" si="130"/>
        <v>0.55000000000000004</v>
      </c>
      <c r="H819" s="12">
        <f t="shared" si="131"/>
        <v>0.55000000000000004</v>
      </c>
      <c r="I819" s="12">
        <v>0.02</v>
      </c>
      <c r="J819" s="12">
        <v>7.0000000000000007E-2</v>
      </c>
      <c r="K819" s="12">
        <f t="shared" si="132"/>
        <v>0.15040000000000003</v>
      </c>
      <c r="L819" s="12">
        <f t="shared" si="133"/>
        <v>0.79040000000000021</v>
      </c>
      <c r="M819" s="2"/>
      <c r="N819" s="2"/>
      <c r="O819" s="12">
        <f t="shared" si="137"/>
        <v>395.2000000000001</v>
      </c>
      <c r="P819" s="2"/>
      <c r="Q819" s="2"/>
      <c r="R819" s="28">
        <v>16.666666666666668</v>
      </c>
    </row>
    <row r="820" spans="1:18" hidden="1" x14ac:dyDescent="0.25">
      <c r="A820" s="16">
        <v>45646</v>
      </c>
      <c r="B820" s="2" t="s">
        <v>90</v>
      </c>
      <c r="C820" s="2">
        <v>380</v>
      </c>
      <c r="D820" s="19">
        <v>0.15</v>
      </c>
      <c r="E820" s="11">
        <v>0.26700000000000002</v>
      </c>
      <c r="F820" s="10">
        <f t="shared" si="129"/>
        <v>850</v>
      </c>
      <c r="G820" s="2">
        <f t="shared" si="130"/>
        <v>0.38</v>
      </c>
      <c r="H820" s="12">
        <f t="shared" si="131"/>
        <v>0.44705882352941179</v>
      </c>
      <c r="I820" s="12">
        <v>0.02</v>
      </c>
      <c r="J820" s="12">
        <v>7.0000000000000007E-2</v>
      </c>
      <c r="K820" s="12">
        <f t="shared" si="132"/>
        <v>0.14339470588235295</v>
      </c>
      <c r="L820" s="12">
        <f t="shared" si="133"/>
        <v>0.68045352941176473</v>
      </c>
      <c r="M820" s="2"/>
      <c r="N820" s="2"/>
      <c r="O820" s="2">
        <f t="shared" si="137"/>
        <v>340.22676470588237</v>
      </c>
      <c r="P820" s="2"/>
      <c r="Q820" s="2"/>
      <c r="R820" s="28">
        <v>16.666666666666668</v>
      </c>
    </row>
    <row r="821" spans="1:18" hidden="1" x14ac:dyDescent="0.25">
      <c r="A821" s="16">
        <v>45646</v>
      </c>
      <c r="B821" s="2" t="s">
        <v>91</v>
      </c>
      <c r="C821" s="2">
        <v>380</v>
      </c>
      <c r="D821" s="19">
        <v>0.15</v>
      </c>
      <c r="E821" s="11">
        <v>0.26700000000000002</v>
      </c>
      <c r="F821" s="10">
        <f t="shared" si="129"/>
        <v>850</v>
      </c>
      <c r="G821" s="2">
        <f t="shared" si="130"/>
        <v>0.38</v>
      </c>
      <c r="H821" s="12">
        <f t="shared" si="131"/>
        <v>0.44705882352941179</v>
      </c>
      <c r="I821" s="12">
        <v>0.02</v>
      </c>
      <c r="J821" s="12">
        <v>7.0000000000000007E-2</v>
      </c>
      <c r="K821" s="12">
        <f t="shared" si="132"/>
        <v>0.14339470588235295</v>
      </c>
      <c r="L821" s="12">
        <f t="shared" si="133"/>
        <v>0.68045352941176473</v>
      </c>
      <c r="M821" s="2"/>
      <c r="N821" s="2"/>
      <c r="O821" s="2">
        <f t="shared" si="137"/>
        <v>340.22676470588237</v>
      </c>
      <c r="P821" s="2"/>
      <c r="Q821" s="2"/>
      <c r="R821" s="28">
        <v>16.666666666666668</v>
      </c>
    </row>
    <row r="822" spans="1:18" hidden="1" x14ac:dyDescent="0.25">
      <c r="A822" s="16">
        <v>45646</v>
      </c>
      <c r="B822" s="2" t="s">
        <v>92</v>
      </c>
      <c r="C822" s="2">
        <v>420</v>
      </c>
      <c r="D822" s="19">
        <v>2.8500000000000001E-2</v>
      </c>
      <c r="E822" s="11">
        <v>0.13</v>
      </c>
      <c r="F822" s="10">
        <f t="shared" si="129"/>
        <v>971.5</v>
      </c>
      <c r="G822" s="10">
        <f t="shared" si="130"/>
        <v>0.42</v>
      </c>
      <c r="H822" s="12">
        <f t="shared" si="131"/>
        <v>0.4323211528564076</v>
      </c>
      <c r="I822" s="12">
        <v>0.02</v>
      </c>
      <c r="J822" s="12">
        <v>7.0000000000000007E-2</v>
      </c>
      <c r="K822" s="12">
        <f t="shared" si="132"/>
        <v>6.7901749871332989E-2</v>
      </c>
      <c r="L822" s="12">
        <f t="shared" si="133"/>
        <v>0.59022290272774058</v>
      </c>
      <c r="M822" s="2"/>
      <c r="N822" s="2"/>
      <c r="O822" s="12">
        <f t="shared" si="137"/>
        <v>295.11145136387029</v>
      </c>
      <c r="P822" s="2"/>
      <c r="Q822" s="2"/>
      <c r="R822" s="28">
        <v>16.666666666666668</v>
      </c>
    </row>
    <row r="823" spans="1:18" hidden="1" x14ac:dyDescent="0.25">
      <c r="A823" s="16">
        <v>45646</v>
      </c>
      <c r="B823" s="2" t="s">
        <v>186</v>
      </c>
      <c r="C823" s="2">
        <v>650</v>
      </c>
      <c r="D823" s="19">
        <v>0.51</v>
      </c>
      <c r="E823" s="11">
        <v>0.26500000000000001</v>
      </c>
      <c r="F823" s="10">
        <f t="shared" si="129"/>
        <v>490</v>
      </c>
      <c r="G823" s="10">
        <f t="shared" si="130"/>
        <v>0.65</v>
      </c>
      <c r="H823" s="12">
        <f t="shared" si="131"/>
        <v>1.3265306122448979</v>
      </c>
      <c r="I823" s="12">
        <v>0.02</v>
      </c>
      <c r="J823" s="12">
        <v>7.0000000000000007E-2</v>
      </c>
      <c r="K823" s="12">
        <f t="shared" si="132"/>
        <v>0.37538061224489799</v>
      </c>
      <c r="L823" s="12">
        <f t="shared" si="133"/>
        <v>1.7919112244897959</v>
      </c>
      <c r="M823" s="2"/>
      <c r="N823" s="2"/>
      <c r="O823" s="12">
        <f t="shared" si="137"/>
        <v>895.95561224489791</v>
      </c>
      <c r="P823" s="2"/>
      <c r="Q823" s="2"/>
      <c r="R823" s="28">
        <v>16.666666666666668</v>
      </c>
    </row>
    <row r="824" spans="1:18" hidden="1" x14ac:dyDescent="0.25">
      <c r="A824" s="16">
        <v>45646</v>
      </c>
      <c r="B824" s="2" t="s">
        <v>114</v>
      </c>
      <c r="C824" s="2">
        <v>650</v>
      </c>
      <c r="D824" s="19">
        <v>0.51</v>
      </c>
      <c r="E824" s="11">
        <v>0.4</v>
      </c>
      <c r="F824" s="10">
        <f t="shared" si="129"/>
        <v>490</v>
      </c>
      <c r="G824" s="10">
        <f t="shared" si="130"/>
        <v>0.65</v>
      </c>
      <c r="H824" s="12">
        <f t="shared" si="131"/>
        <v>1.3265306122448979</v>
      </c>
      <c r="I824" s="12">
        <v>0.02</v>
      </c>
      <c r="J824" s="12">
        <v>7.0000000000000007E-2</v>
      </c>
      <c r="K824" s="12">
        <f t="shared" si="132"/>
        <v>0.56661224489795925</v>
      </c>
      <c r="L824" s="12">
        <f t="shared" si="133"/>
        <v>1.9831428571428571</v>
      </c>
      <c r="M824" s="2">
        <f>L824*250</f>
        <v>495.78571428571428</v>
      </c>
      <c r="N824" s="2"/>
      <c r="O824" s="12"/>
      <c r="P824" s="2"/>
      <c r="Q824" s="2"/>
      <c r="R824" s="28">
        <v>16.666666666666668</v>
      </c>
    </row>
    <row r="825" spans="1:18" hidden="1" x14ac:dyDescent="0.25">
      <c r="A825" s="16">
        <v>45646</v>
      </c>
      <c r="B825" s="2" t="s">
        <v>111</v>
      </c>
      <c r="C825" s="2">
        <v>700</v>
      </c>
      <c r="D825" s="19">
        <v>0.39</v>
      </c>
      <c r="E825" s="11">
        <v>0.215</v>
      </c>
      <c r="F825" s="10">
        <f t="shared" si="129"/>
        <v>610</v>
      </c>
      <c r="G825" s="10">
        <f t="shared" si="130"/>
        <v>0.7</v>
      </c>
      <c r="H825" s="12">
        <f t="shared" si="131"/>
        <v>1.1475409836065573</v>
      </c>
      <c r="I825" s="12">
        <v>0.02</v>
      </c>
      <c r="J825" s="12">
        <v>7.0000000000000007E-2</v>
      </c>
      <c r="K825" s="12">
        <f t="shared" si="132"/>
        <v>0.26607131147540986</v>
      </c>
      <c r="L825" s="12">
        <f t="shared" si="133"/>
        <v>1.5036122950819673</v>
      </c>
      <c r="M825" s="2">
        <f>L825*250</f>
        <v>375.9030737704918</v>
      </c>
      <c r="N825" s="2"/>
      <c r="O825" s="12"/>
      <c r="P825" s="2"/>
      <c r="Q825" s="2"/>
      <c r="R825" s="28">
        <v>16.666666666666668</v>
      </c>
    </row>
    <row r="826" spans="1:18" hidden="1" x14ac:dyDescent="0.25">
      <c r="A826" s="16">
        <v>36880</v>
      </c>
      <c r="B826" s="2" t="s">
        <v>125</v>
      </c>
      <c r="C826" s="2">
        <v>240</v>
      </c>
      <c r="D826" s="19">
        <v>0.1</v>
      </c>
      <c r="E826" s="11">
        <v>0.375</v>
      </c>
      <c r="F826" s="10">
        <f t="shared" si="129"/>
        <v>900</v>
      </c>
      <c r="G826" s="2">
        <f t="shared" si="130"/>
        <v>0.24</v>
      </c>
      <c r="H826" s="12">
        <f t="shared" si="131"/>
        <v>0.26666666666666666</v>
      </c>
      <c r="I826" s="12">
        <v>0.02</v>
      </c>
      <c r="J826" s="12">
        <v>7.0000000000000007E-2</v>
      </c>
      <c r="K826" s="12">
        <f t="shared" si="132"/>
        <v>0.13375000000000001</v>
      </c>
      <c r="L826" s="12">
        <f t="shared" si="133"/>
        <v>0.49041666666666672</v>
      </c>
      <c r="M826" s="2"/>
      <c r="N826" s="2"/>
      <c r="O826" s="2">
        <f t="shared" ref="O826:O843" si="138">L826*500</f>
        <v>245.20833333333337</v>
      </c>
      <c r="P826" s="2"/>
      <c r="Q826" s="2"/>
      <c r="R826" s="28">
        <v>16.666666666666668</v>
      </c>
    </row>
    <row r="827" spans="1:18" hidden="1" x14ac:dyDescent="0.25">
      <c r="A827" s="16">
        <v>45647</v>
      </c>
      <c r="B827" s="2" t="s">
        <v>106</v>
      </c>
      <c r="C827" s="2">
        <v>200</v>
      </c>
      <c r="D827" s="19">
        <v>0</v>
      </c>
      <c r="E827" s="11">
        <v>0.20699999999999999</v>
      </c>
      <c r="F827" s="10">
        <f t="shared" si="129"/>
        <v>1000</v>
      </c>
      <c r="G827" s="10">
        <f t="shared" si="130"/>
        <v>0.2</v>
      </c>
      <c r="H827" s="12">
        <f t="shared" si="131"/>
        <v>0.2</v>
      </c>
      <c r="I827" s="12">
        <v>0.02</v>
      </c>
      <c r="J827" s="12">
        <v>7.0000000000000007E-2</v>
      </c>
      <c r="K827" s="12">
        <f t="shared" si="132"/>
        <v>6.0030000000000007E-2</v>
      </c>
      <c r="L827" s="12">
        <f t="shared" si="133"/>
        <v>0.35003000000000006</v>
      </c>
      <c r="M827" s="2"/>
      <c r="N827" s="2"/>
      <c r="O827" s="12">
        <f t="shared" si="138"/>
        <v>175.01500000000004</v>
      </c>
      <c r="P827" s="2"/>
      <c r="Q827" s="2"/>
      <c r="R827" s="28">
        <v>16.666666666666668</v>
      </c>
    </row>
    <row r="828" spans="1:18" hidden="1" x14ac:dyDescent="0.25">
      <c r="A828" s="16">
        <v>45647</v>
      </c>
      <c r="B828" s="2" t="s">
        <v>128</v>
      </c>
      <c r="C828" s="2">
        <v>350</v>
      </c>
      <c r="D828" s="19">
        <v>0.09</v>
      </c>
      <c r="E828" s="11">
        <v>3.5000000000000003E-2</v>
      </c>
      <c r="F828" s="10">
        <f t="shared" si="129"/>
        <v>910</v>
      </c>
      <c r="G828" s="10">
        <f t="shared" si="130"/>
        <v>0.35</v>
      </c>
      <c r="H828" s="12">
        <f t="shared" si="131"/>
        <v>0.38461538461538464</v>
      </c>
      <c r="I828" s="12">
        <v>0.02</v>
      </c>
      <c r="J828" s="12">
        <v>7.0000000000000007E-2</v>
      </c>
      <c r="K828" s="12">
        <f t="shared" si="132"/>
        <v>1.6611538461538466E-2</v>
      </c>
      <c r="L828" s="12">
        <f t="shared" si="133"/>
        <v>0.49122692307692312</v>
      </c>
      <c r="M828" s="2"/>
      <c r="N828" s="2"/>
      <c r="O828" s="12">
        <f t="shared" si="138"/>
        <v>245.61346153846156</v>
      </c>
      <c r="P828" s="2"/>
      <c r="Q828" s="2"/>
      <c r="R828" s="28">
        <v>16.666666666666668</v>
      </c>
    </row>
    <row r="829" spans="1:18" hidden="1" x14ac:dyDescent="0.25">
      <c r="A829" s="16">
        <v>45647</v>
      </c>
      <c r="B829" s="2" t="s">
        <v>94</v>
      </c>
      <c r="C829" s="2">
        <v>200</v>
      </c>
      <c r="D829" s="19">
        <v>0</v>
      </c>
      <c r="E829" s="11">
        <v>0.20699999999999999</v>
      </c>
      <c r="F829" s="10">
        <f t="shared" si="129"/>
        <v>1000</v>
      </c>
      <c r="G829" s="2">
        <f t="shared" si="130"/>
        <v>0.2</v>
      </c>
      <c r="H829" s="12">
        <f t="shared" si="131"/>
        <v>0.2</v>
      </c>
      <c r="I829" s="12">
        <v>0.02</v>
      </c>
      <c r="J829" s="12">
        <v>7.0000000000000007E-2</v>
      </c>
      <c r="K829" s="12">
        <f t="shared" si="132"/>
        <v>6.0030000000000007E-2</v>
      </c>
      <c r="L829" s="12">
        <f t="shared" si="133"/>
        <v>0.35003000000000006</v>
      </c>
      <c r="M829" s="2"/>
      <c r="N829" s="2"/>
      <c r="O829" s="2">
        <f t="shared" si="138"/>
        <v>175.01500000000004</v>
      </c>
      <c r="P829" s="2"/>
      <c r="Q829" s="2"/>
      <c r="R829" s="28">
        <v>16.666666666666668</v>
      </c>
    </row>
    <row r="830" spans="1:18" hidden="1" x14ac:dyDescent="0.25">
      <c r="A830" s="16">
        <v>45647</v>
      </c>
      <c r="B830" s="2" t="s">
        <v>95</v>
      </c>
      <c r="C830" s="2">
        <v>200</v>
      </c>
      <c r="D830" s="19">
        <v>0</v>
      </c>
      <c r="E830" s="11">
        <v>0.20699999999999999</v>
      </c>
      <c r="F830" s="10">
        <f t="shared" si="129"/>
        <v>1000</v>
      </c>
      <c r="G830" s="2">
        <f t="shared" si="130"/>
        <v>0.2</v>
      </c>
      <c r="H830" s="12">
        <f t="shared" si="131"/>
        <v>0.2</v>
      </c>
      <c r="I830" s="12">
        <v>0.02</v>
      </c>
      <c r="J830" s="12">
        <v>7.0000000000000007E-2</v>
      </c>
      <c r="K830" s="12">
        <f t="shared" si="132"/>
        <v>6.0030000000000007E-2</v>
      </c>
      <c r="L830" s="12">
        <f t="shared" si="133"/>
        <v>0.35003000000000006</v>
      </c>
      <c r="M830" s="2"/>
      <c r="N830" s="2"/>
      <c r="O830" s="2">
        <f t="shared" si="138"/>
        <v>175.01500000000004</v>
      </c>
      <c r="P830" s="2"/>
      <c r="Q830" s="2"/>
      <c r="R830" s="28">
        <v>16.666666666666668</v>
      </c>
    </row>
    <row r="831" spans="1:18" hidden="1" x14ac:dyDescent="0.25">
      <c r="A831" s="16">
        <v>45647</v>
      </c>
      <c r="B831" s="10" t="s">
        <v>197</v>
      </c>
      <c r="C831" s="2">
        <v>400</v>
      </c>
      <c r="D831" s="19">
        <v>0.03</v>
      </c>
      <c r="E831" s="11">
        <v>0.17499999999999999</v>
      </c>
      <c r="F831" s="10">
        <f t="shared" si="129"/>
        <v>970</v>
      </c>
      <c r="G831" s="10">
        <f t="shared" si="130"/>
        <v>0.4</v>
      </c>
      <c r="H831" s="12">
        <f t="shared" si="131"/>
        <v>0.41237113402061853</v>
      </c>
      <c r="I831" s="12">
        <v>0.02</v>
      </c>
      <c r="J831" s="12">
        <v>7.0000000000000007E-2</v>
      </c>
      <c r="K831" s="12">
        <f t="shared" si="132"/>
        <v>8.7914948453608227E-2</v>
      </c>
      <c r="L831" s="12">
        <f t="shared" si="133"/>
        <v>0.59028608247422676</v>
      </c>
      <c r="M831" s="2"/>
      <c r="N831" s="2"/>
      <c r="O831" s="2">
        <f t="shared" si="138"/>
        <v>295.14304123711338</v>
      </c>
      <c r="P831" s="2"/>
      <c r="Q831" s="2"/>
      <c r="R831" s="28">
        <v>16.666666666666668</v>
      </c>
    </row>
    <row r="832" spans="1:18" hidden="1" x14ac:dyDescent="0.25">
      <c r="A832" s="16">
        <v>45647</v>
      </c>
      <c r="B832" s="2" t="s">
        <v>196</v>
      </c>
      <c r="C832" s="2">
        <v>400</v>
      </c>
      <c r="D832" s="19">
        <v>0.03</v>
      </c>
      <c r="E832" s="11">
        <v>0.17499999999999999</v>
      </c>
      <c r="F832" s="10">
        <f t="shared" si="129"/>
        <v>970</v>
      </c>
      <c r="G832" s="10">
        <f t="shared" si="130"/>
        <v>0.4</v>
      </c>
      <c r="H832" s="12">
        <f t="shared" si="131"/>
        <v>0.41237113402061853</v>
      </c>
      <c r="I832" s="12">
        <v>0.02</v>
      </c>
      <c r="J832" s="12">
        <v>7.0000000000000007E-2</v>
      </c>
      <c r="K832" s="12">
        <f t="shared" si="132"/>
        <v>8.7914948453608227E-2</v>
      </c>
      <c r="L832" s="12">
        <f t="shared" si="133"/>
        <v>0.59028608247422676</v>
      </c>
      <c r="M832" s="2"/>
      <c r="N832" s="2"/>
      <c r="O832" s="12">
        <f t="shared" si="138"/>
        <v>295.14304123711338</v>
      </c>
      <c r="P832" s="2"/>
      <c r="Q832" s="2"/>
      <c r="R832" s="28">
        <v>16.666666666666668</v>
      </c>
    </row>
    <row r="833" spans="1:18" hidden="1" x14ac:dyDescent="0.25">
      <c r="A833" s="16">
        <v>45647</v>
      </c>
      <c r="B833" s="2" t="s">
        <v>93</v>
      </c>
      <c r="C833" s="2">
        <v>400</v>
      </c>
      <c r="D833" s="19">
        <v>0.03</v>
      </c>
      <c r="E833" s="11">
        <v>0.57499999999999996</v>
      </c>
      <c r="F833" s="10">
        <f t="shared" si="129"/>
        <v>970</v>
      </c>
      <c r="G833" s="10">
        <f t="shared" si="130"/>
        <v>0.4</v>
      </c>
      <c r="H833" s="12">
        <f t="shared" si="131"/>
        <v>0.41237113402061853</v>
      </c>
      <c r="I833" s="12">
        <v>0.02</v>
      </c>
      <c r="J833" s="12">
        <v>7.0000000000000007E-2</v>
      </c>
      <c r="K833" s="12">
        <f t="shared" si="132"/>
        <v>0.28886340206185562</v>
      </c>
      <c r="L833" s="12">
        <f t="shared" si="133"/>
        <v>0.79123453608247418</v>
      </c>
      <c r="M833" s="2"/>
      <c r="N833" s="2"/>
      <c r="O833" s="12">
        <f t="shared" si="138"/>
        <v>395.61726804123708</v>
      </c>
      <c r="P833" s="2"/>
      <c r="Q833" s="2"/>
      <c r="R833" s="28">
        <v>16.666666666666668</v>
      </c>
    </row>
    <row r="834" spans="1:18" hidden="1" x14ac:dyDescent="0.25">
      <c r="A834" s="16">
        <v>45648</v>
      </c>
      <c r="B834" s="2" t="s">
        <v>40</v>
      </c>
      <c r="C834" s="2">
        <v>200</v>
      </c>
      <c r="D834" s="19">
        <v>0.11</v>
      </c>
      <c r="E834" s="11">
        <v>0.113</v>
      </c>
      <c r="F834" s="10">
        <f t="shared" si="129"/>
        <v>890</v>
      </c>
      <c r="G834" s="10">
        <f t="shared" si="130"/>
        <v>0.2</v>
      </c>
      <c r="H834" s="12">
        <f t="shared" si="131"/>
        <v>0.2247191011235955</v>
      </c>
      <c r="I834" s="12">
        <v>0.02</v>
      </c>
      <c r="J834" s="12">
        <v>7.0000000000000007E-2</v>
      </c>
      <c r="K834" s="12">
        <f t="shared" si="132"/>
        <v>3.5563258426966289E-2</v>
      </c>
      <c r="L834" s="12">
        <f t="shared" si="133"/>
        <v>0.35028235955056175</v>
      </c>
      <c r="M834" s="2"/>
      <c r="N834" s="2"/>
      <c r="O834" s="12">
        <f t="shared" si="138"/>
        <v>175.14117977528088</v>
      </c>
      <c r="P834" s="2"/>
      <c r="Q834" s="2"/>
      <c r="R834" s="28">
        <v>16.666666666666668</v>
      </c>
    </row>
    <row r="835" spans="1:18" hidden="1" x14ac:dyDescent="0.25">
      <c r="A835" s="16">
        <v>45648</v>
      </c>
      <c r="B835" s="2" t="s">
        <v>90</v>
      </c>
      <c r="C835" s="2">
        <v>430</v>
      </c>
      <c r="D835" s="19">
        <v>0.2</v>
      </c>
      <c r="E835" s="11">
        <v>-0.06</v>
      </c>
      <c r="F835" s="10">
        <f t="shared" si="129"/>
        <v>800</v>
      </c>
      <c r="G835" s="2">
        <f t="shared" si="130"/>
        <v>0.43</v>
      </c>
      <c r="H835" s="12">
        <f t="shared" si="131"/>
        <v>0.53749999999999998</v>
      </c>
      <c r="I835" s="12">
        <v>0.02</v>
      </c>
      <c r="J835" s="12">
        <v>7.0000000000000007E-2</v>
      </c>
      <c r="K835" s="12">
        <f t="shared" si="132"/>
        <v>-3.7649999999999996E-2</v>
      </c>
      <c r="L835" s="12">
        <f t="shared" si="133"/>
        <v>0.58984999999999999</v>
      </c>
      <c r="M835" s="2"/>
      <c r="N835" s="2"/>
      <c r="O835" s="2">
        <f t="shared" si="138"/>
        <v>294.92500000000001</v>
      </c>
      <c r="P835" s="2"/>
      <c r="Q835" s="2"/>
      <c r="R835" s="28">
        <v>16.666666666666668</v>
      </c>
    </row>
    <row r="836" spans="1:18" hidden="1" x14ac:dyDescent="0.25">
      <c r="A836" s="16">
        <v>45648</v>
      </c>
      <c r="B836" s="2" t="s">
        <v>91</v>
      </c>
      <c r="C836" s="2">
        <v>430</v>
      </c>
      <c r="D836" s="19">
        <v>0.2</v>
      </c>
      <c r="E836" s="11">
        <v>-0.06</v>
      </c>
      <c r="F836" s="10">
        <f t="shared" si="129"/>
        <v>800</v>
      </c>
      <c r="G836" s="2">
        <f t="shared" si="130"/>
        <v>0.43</v>
      </c>
      <c r="H836" s="12">
        <f t="shared" si="131"/>
        <v>0.53749999999999998</v>
      </c>
      <c r="I836" s="12">
        <v>0.02</v>
      </c>
      <c r="J836" s="12">
        <v>7.0000000000000007E-2</v>
      </c>
      <c r="K836" s="12">
        <f t="shared" si="132"/>
        <v>-3.7649999999999996E-2</v>
      </c>
      <c r="L836" s="12">
        <f t="shared" si="133"/>
        <v>0.58984999999999999</v>
      </c>
      <c r="M836" s="2"/>
      <c r="N836" s="2"/>
      <c r="O836" s="2">
        <f t="shared" si="138"/>
        <v>294.92500000000001</v>
      </c>
      <c r="P836" s="2"/>
      <c r="Q836" s="2"/>
      <c r="R836" s="28">
        <v>16.666666666666668</v>
      </c>
    </row>
    <row r="837" spans="1:18" hidden="1" x14ac:dyDescent="0.25">
      <c r="A837" s="16">
        <v>45650</v>
      </c>
      <c r="B837" s="2" t="s">
        <v>106</v>
      </c>
      <c r="C837" s="2">
        <v>220</v>
      </c>
      <c r="D837" s="19">
        <v>0</v>
      </c>
      <c r="E837" s="11">
        <v>0.13</v>
      </c>
      <c r="F837" s="10">
        <f t="shared" si="129"/>
        <v>1000</v>
      </c>
      <c r="G837" s="2">
        <f t="shared" si="130"/>
        <v>0.22</v>
      </c>
      <c r="H837" s="12">
        <f t="shared" si="131"/>
        <v>0.22</v>
      </c>
      <c r="I837" s="12">
        <v>0.02</v>
      </c>
      <c r="J837" s="12">
        <v>7.0000000000000007E-2</v>
      </c>
      <c r="K837" s="12">
        <f t="shared" si="132"/>
        <v>4.0300000000000002E-2</v>
      </c>
      <c r="L837" s="12">
        <f t="shared" si="133"/>
        <v>0.3503</v>
      </c>
      <c r="M837" s="2"/>
      <c r="N837" s="2"/>
      <c r="O837" s="2">
        <f t="shared" si="138"/>
        <v>175.15</v>
      </c>
      <c r="P837" s="2"/>
      <c r="Q837" s="2"/>
      <c r="R837" s="28">
        <v>16.666666666666668</v>
      </c>
    </row>
    <row r="838" spans="1:18" hidden="1" x14ac:dyDescent="0.25">
      <c r="A838" s="16">
        <v>45650</v>
      </c>
      <c r="B838" s="2" t="s">
        <v>94</v>
      </c>
      <c r="C838" s="2">
        <v>200</v>
      </c>
      <c r="D838" s="19">
        <v>0.22</v>
      </c>
      <c r="E838" s="11">
        <v>1.2E-2</v>
      </c>
      <c r="F838" s="10">
        <f t="shared" si="129"/>
        <v>780</v>
      </c>
      <c r="G838" s="2">
        <f t="shared" si="130"/>
        <v>0.2</v>
      </c>
      <c r="H838" s="12">
        <f t="shared" si="131"/>
        <v>0.25641025641025639</v>
      </c>
      <c r="I838" s="12">
        <v>0.02</v>
      </c>
      <c r="J838" s="12">
        <v>7.0000000000000007E-2</v>
      </c>
      <c r="K838" s="12">
        <f t="shared" si="132"/>
        <v>4.1569230769230772E-3</v>
      </c>
      <c r="L838" s="12">
        <f t="shared" si="133"/>
        <v>0.35056717948717947</v>
      </c>
      <c r="M838" s="2"/>
      <c r="N838" s="2"/>
      <c r="O838" s="2">
        <f t="shared" si="138"/>
        <v>175.28358974358974</v>
      </c>
      <c r="P838" s="2"/>
      <c r="Q838" s="2"/>
      <c r="R838" s="28">
        <v>16.666666666666668</v>
      </c>
    </row>
    <row r="839" spans="1:18" hidden="1" x14ac:dyDescent="0.25">
      <c r="A839" s="16">
        <v>45650</v>
      </c>
      <c r="B839" s="2" t="s">
        <v>154</v>
      </c>
      <c r="C839" s="2">
        <v>200</v>
      </c>
      <c r="D839" s="19">
        <v>0.22</v>
      </c>
      <c r="E839" s="11">
        <v>1.2E-2</v>
      </c>
      <c r="F839" s="10">
        <f t="shared" ref="F839:F902" si="139">1000-1000*D839</f>
        <v>780</v>
      </c>
      <c r="G839" s="2">
        <f t="shared" ref="G839:G902" si="140">C839/1000</f>
        <v>0.2</v>
      </c>
      <c r="H839" s="12">
        <f t="shared" ref="H839:H902" si="141">C839/F839</f>
        <v>0.25641025641025639</v>
      </c>
      <c r="I839" s="12">
        <v>0.02</v>
      </c>
      <c r="J839" s="12">
        <v>7.0000000000000007E-2</v>
      </c>
      <c r="K839" s="12">
        <f t="shared" ref="K839:K902" si="142">SUM(H839:J839)*E839</f>
        <v>4.1569230769230772E-3</v>
      </c>
      <c r="L839" s="12">
        <f t="shared" ref="L839:L902" si="143">SUM(H839:K839)</f>
        <v>0.35056717948717947</v>
      </c>
      <c r="M839" s="2"/>
      <c r="N839" s="2"/>
      <c r="O839" s="2">
        <f t="shared" si="138"/>
        <v>175.28358974358974</v>
      </c>
      <c r="P839" s="2"/>
      <c r="Q839" s="2"/>
      <c r="R839" s="28">
        <v>16.666666666666668</v>
      </c>
    </row>
    <row r="840" spans="1:18" hidden="1" x14ac:dyDescent="0.25">
      <c r="A840" s="16">
        <v>45650</v>
      </c>
      <c r="B840" s="2" t="s">
        <v>108</v>
      </c>
      <c r="C840" s="2">
        <v>400</v>
      </c>
      <c r="D840" s="19">
        <v>7.0000000000000007E-2</v>
      </c>
      <c r="E840" s="11">
        <v>0.14000000000000001</v>
      </c>
      <c r="F840" s="10">
        <f t="shared" si="139"/>
        <v>930</v>
      </c>
      <c r="G840" s="2">
        <f t="shared" si="140"/>
        <v>0.4</v>
      </c>
      <c r="H840" s="12">
        <f t="shared" si="141"/>
        <v>0.43010752688172044</v>
      </c>
      <c r="I840" s="12">
        <v>0.02</v>
      </c>
      <c r="J840" s="12">
        <v>7.0000000000000007E-2</v>
      </c>
      <c r="K840" s="12">
        <f t="shared" si="142"/>
        <v>7.2815053763440871E-2</v>
      </c>
      <c r="L840" s="12">
        <f t="shared" si="143"/>
        <v>0.59292258064516135</v>
      </c>
      <c r="M840" s="2"/>
      <c r="N840" s="2"/>
      <c r="O840" s="2">
        <f t="shared" si="138"/>
        <v>296.46129032258068</v>
      </c>
      <c r="P840" s="2"/>
      <c r="Q840" s="2"/>
      <c r="R840" s="28">
        <v>16.666666666666668</v>
      </c>
    </row>
    <row r="841" spans="1:18" hidden="1" x14ac:dyDescent="0.25">
      <c r="A841" s="16">
        <v>45650</v>
      </c>
      <c r="B841" s="2" t="s">
        <v>92</v>
      </c>
      <c r="C841" s="2">
        <v>400</v>
      </c>
      <c r="D841" s="19">
        <v>7.0000000000000007E-2</v>
      </c>
      <c r="E841" s="11">
        <v>0.14000000000000001</v>
      </c>
      <c r="F841" s="10">
        <f t="shared" si="139"/>
        <v>930</v>
      </c>
      <c r="G841" s="2">
        <f t="shared" si="140"/>
        <v>0.4</v>
      </c>
      <c r="H841" s="12">
        <f t="shared" si="141"/>
        <v>0.43010752688172044</v>
      </c>
      <c r="I841" s="12">
        <v>0.02</v>
      </c>
      <c r="J841" s="12">
        <v>7.0000000000000007E-2</v>
      </c>
      <c r="K841" s="12">
        <f t="shared" si="142"/>
        <v>7.2815053763440871E-2</v>
      </c>
      <c r="L841" s="12">
        <f t="shared" si="143"/>
        <v>0.59292258064516135</v>
      </c>
      <c r="M841" s="2"/>
      <c r="N841" s="2"/>
      <c r="O841" s="2">
        <f t="shared" si="138"/>
        <v>296.46129032258068</v>
      </c>
      <c r="P841" s="2"/>
      <c r="Q841" s="2"/>
      <c r="R841" s="28">
        <v>16.666666666666668</v>
      </c>
    </row>
    <row r="842" spans="1:18" hidden="1" x14ac:dyDescent="0.25">
      <c r="A842" s="16">
        <v>45650</v>
      </c>
      <c r="B842" s="2" t="s">
        <v>110</v>
      </c>
      <c r="C842" s="2">
        <v>100</v>
      </c>
      <c r="D842" s="19">
        <v>0</v>
      </c>
      <c r="E842" s="11">
        <v>0.32</v>
      </c>
      <c r="F842" s="10">
        <f t="shared" si="139"/>
        <v>1000</v>
      </c>
      <c r="G842" s="2">
        <f t="shared" si="140"/>
        <v>0.1</v>
      </c>
      <c r="H842" s="12">
        <f t="shared" si="141"/>
        <v>0.1</v>
      </c>
      <c r="I842" s="12">
        <v>0.02</v>
      </c>
      <c r="J842" s="12">
        <v>7.0000000000000007E-2</v>
      </c>
      <c r="K842" s="12">
        <f t="shared" si="142"/>
        <v>6.08E-2</v>
      </c>
      <c r="L842" s="12">
        <f t="shared" si="143"/>
        <v>0.25080000000000002</v>
      </c>
      <c r="M842" s="2"/>
      <c r="N842" s="2"/>
      <c r="O842" s="2">
        <f t="shared" si="138"/>
        <v>125.4</v>
      </c>
      <c r="P842" s="2"/>
      <c r="Q842" s="2"/>
      <c r="R842" s="28">
        <v>16.666666666666668</v>
      </c>
    </row>
    <row r="843" spans="1:18" hidden="1" x14ac:dyDescent="0.25">
      <c r="A843" s="16">
        <v>45651</v>
      </c>
      <c r="B843" s="2" t="s">
        <v>204</v>
      </c>
      <c r="C843" s="2">
        <v>720</v>
      </c>
      <c r="D843" s="19">
        <v>0.38</v>
      </c>
      <c r="E843" s="11">
        <v>0.27</v>
      </c>
      <c r="F843" s="10">
        <f t="shared" si="139"/>
        <v>620</v>
      </c>
      <c r="G843" s="2">
        <f t="shared" si="140"/>
        <v>0.72</v>
      </c>
      <c r="H843" s="12">
        <f t="shared" si="141"/>
        <v>1.1612903225806452</v>
      </c>
      <c r="I843" s="12">
        <v>0.02</v>
      </c>
      <c r="J843" s="12">
        <v>7.0000000000000007E-2</v>
      </c>
      <c r="K843" s="12">
        <f t="shared" si="142"/>
        <v>0.33784838709677428</v>
      </c>
      <c r="L843" s="12">
        <f t="shared" si="143"/>
        <v>1.5891387096774197</v>
      </c>
      <c r="M843" s="2"/>
      <c r="N843" s="2"/>
      <c r="O843" s="2">
        <f t="shared" si="138"/>
        <v>794.56935483870984</v>
      </c>
      <c r="P843" s="2"/>
      <c r="Q843" s="2"/>
      <c r="R843" s="28">
        <v>16.666666666666668</v>
      </c>
    </row>
    <row r="844" spans="1:18" hidden="1" x14ac:dyDescent="0.25">
      <c r="A844" s="16">
        <v>45651</v>
      </c>
      <c r="B844" s="2" t="s">
        <v>205</v>
      </c>
      <c r="C844" s="2">
        <v>720</v>
      </c>
      <c r="D844" s="19">
        <v>0.38</v>
      </c>
      <c r="E844" s="11">
        <v>0.26</v>
      </c>
      <c r="F844" s="10">
        <f t="shared" si="139"/>
        <v>620</v>
      </c>
      <c r="G844" s="2">
        <f t="shared" si="140"/>
        <v>0.72</v>
      </c>
      <c r="H844" s="12">
        <f t="shared" si="141"/>
        <v>1.1612903225806452</v>
      </c>
      <c r="I844" s="12">
        <v>0.02</v>
      </c>
      <c r="J844" s="12">
        <v>7.0000000000000007E-2</v>
      </c>
      <c r="K844" s="12">
        <f t="shared" si="142"/>
        <v>0.32533548387096778</v>
      </c>
      <c r="L844" s="12">
        <f t="shared" si="143"/>
        <v>1.576625806451613</v>
      </c>
      <c r="M844" s="2">
        <f>L844*250</f>
        <v>394.15645161290325</v>
      </c>
      <c r="N844" s="2"/>
      <c r="O844" s="2"/>
      <c r="P844" s="2"/>
      <c r="Q844" s="2"/>
      <c r="R844" s="28">
        <v>16.666666666666668</v>
      </c>
    </row>
    <row r="845" spans="1:18" hidden="1" x14ac:dyDescent="0.25">
      <c r="A845" s="16">
        <v>45651</v>
      </c>
      <c r="B845" s="2" t="s">
        <v>137</v>
      </c>
      <c r="C845" s="2">
        <v>210</v>
      </c>
      <c r="D845" s="19">
        <v>0.12</v>
      </c>
      <c r="E845" s="11">
        <v>7.0000000000000007E-2</v>
      </c>
      <c r="F845" s="10">
        <f t="shared" si="139"/>
        <v>880</v>
      </c>
      <c r="G845" s="2">
        <f t="shared" si="140"/>
        <v>0.21</v>
      </c>
      <c r="H845" s="12">
        <f t="shared" si="141"/>
        <v>0.23863636363636365</v>
      </c>
      <c r="I845" s="12">
        <v>0.02</v>
      </c>
      <c r="J845" s="12">
        <v>7.0000000000000007E-2</v>
      </c>
      <c r="K845" s="12">
        <f t="shared" si="142"/>
        <v>2.3004545454545458E-2</v>
      </c>
      <c r="L845" s="12">
        <f t="shared" si="143"/>
        <v>0.35164090909090912</v>
      </c>
      <c r="M845" s="2"/>
      <c r="N845" s="2"/>
      <c r="O845" s="2">
        <f>L845*500</f>
        <v>175.82045454545457</v>
      </c>
      <c r="P845" s="2"/>
      <c r="Q845" s="2"/>
      <c r="R845" s="28">
        <v>16.666666666666668</v>
      </c>
    </row>
    <row r="846" spans="1:18" hidden="1" x14ac:dyDescent="0.25">
      <c r="A846" s="16">
        <v>45651</v>
      </c>
      <c r="B846" s="2" t="s">
        <v>160</v>
      </c>
      <c r="C846" s="2">
        <v>750</v>
      </c>
      <c r="D846" s="19">
        <v>0.39</v>
      </c>
      <c r="E846" s="11">
        <v>0.1</v>
      </c>
      <c r="F846" s="10">
        <f t="shared" si="139"/>
        <v>610</v>
      </c>
      <c r="G846" s="2">
        <f t="shared" si="140"/>
        <v>0.75</v>
      </c>
      <c r="H846" s="12">
        <f t="shared" si="141"/>
        <v>1.2295081967213115</v>
      </c>
      <c r="I846" s="12">
        <v>0.02</v>
      </c>
      <c r="J846" s="12">
        <v>7.0000000000000007E-2</v>
      </c>
      <c r="K846" s="12">
        <f t="shared" si="142"/>
        <v>0.13195081967213115</v>
      </c>
      <c r="L846" s="12">
        <f t="shared" si="143"/>
        <v>1.4514590163934427</v>
      </c>
      <c r="M846" s="2"/>
      <c r="N846" s="2"/>
      <c r="O846" s="2">
        <f>L846*500</f>
        <v>725.72950819672133</v>
      </c>
      <c r="P846" s="2"/>
      <c r="Q846" s="2"/>
      <c r="R846" s="28">
        <v>16.666666666666668</v>
      </c>
    </row>
    <row r="847" spans="1:18" hidden="1" x14ac:dyDescent="0.25">
      <c r="A847" s="16">
        <v>45651</v>
      </c>
      <c r="B847" s="2" t="s">
        <v>111</v>
      </c>
      <c r="C847" s="2">
        <v>750</v>
      </c>
      <c r="D847" s="19">
        <v>0.39</v>
      </c>
      <c r="E847" s="11">
        <v>0.13600000000000001</v>
      </c>
      <c r="F847" s="10">
        <f t="shared" si="139"/>
        <v>610</v>
      </c>
      <c r="G847" s="2">
        <f t="shared" si="140"/>
        <v>0.75</v>
      </c>
      <c r="H847" s="12">
        <f t="shared" si="141"/>
        <v>1.2295081967213115</v>
      </c>
      <c r="I847" s="12">
        <v>0.02</v>
      </c>
      <c r="J847" s="12">
        <v>7.0000000000000007E-2</v>
      </c>
      <c r="K847" s="12">
        <f t="shared" si="142"/>
        <v>0.17945311475409839</v>
      </c>
      <c r="L847" s="12">
        <f t="shared" si="143"/>
        <v>1.4989613114754099</v>
      </c>
      <c r="M847" s="2">
        <f>L847*250</f>
        <v>374.74032786885249</v>
      </c>
      <c r="N847" s="2"/>
      <c r="O847" s="2"/>
      <c r="P847" s="2"/>
      <c r="Q847" s="2"/>
      <c r="R847" s="28">
        <v>16.666666666666668</v>
      </c>
    </row>
    <row r="848" spans="1:18" hidden="1" x14ac:dyDescent="0.25">
      <c r="A848" s="16">
        <v>45651</v>
      </c>
      <c r="B848" s="2" t="s">
        <v>94</v>
      </c>
      <c r="C848" s="2">
        <v>220</v>
      </c>
      <c r="D848" s="19">
        <v>0.15</v>
      </c>
      <c r="E848" s="11">
        <v>8.0000000000000002E-3</v>
      </c>
      <c r="F848" s="10">
        <f t="shared" si="139"/>
        <v>850</v>
      </c>
      <c r="G848" s="2">
        <f t="shared" si="140"/>
        <v>0.22</v>
      </c>
      <c r="H848" s="12">
        <f t="shared" si="141"/>
        <v>0.25882352941176473</v>
      </c>
      <c r="I848" s="12">
        <v>0.02</v>
      </c>
      <c r="J848" s="12">
        <v>7.0000000000000007E-2</v>
      </c>
      <c r="K848" s="12">
        <f t="shared" si="142"/>
        <v>2.7905882352941181E-3</v>
      </c>
      <c r="L848" s="12">
        <f t="shared" si="143"/>
        <v>0.35161411764705885</v>
      </c>
      <c r="M848" s="2"/>
      <c r="N848" s="2"/>
      <c r="O848" s="2">
        <f>L848*500</f>
        <v>175.80705882352942</v>
      </c>
      <c r="P848" s="2"/>
      <c r="Q848" s="2"/>
      <c r="R848" s="28">
        <v>16.666666666666668</v>
      </c>
    </row>
    <row r="849" spans="1:18" hidden="1" x14ac:dyDescent="0.25">
      <c r="A849" s="16">
        <v>45651</v>
      </c>
      <c r="B849" s="2" t="s">
        <v>154</v>
      </c>
      <c r="C849" s="2">
        <v>220</v>
      </c>
      <c r="D849" s="19">
        <v>0.15</v>
      </c>
      <c r="E849" s="11">
        <v>8.0000000000000002E-3</v>
      </c>
      <c r="F849" s="10">
        <f t="shared" si="139"/>
        <v>850</v>
      </c>
      <c r="G849" s="2">
        <f t="shared" si="140"/>
        <v>0.22</v>
      </c>
      <c r="H849" s="12">
        <f t="shared" si="141"/>
        <v>0.25882352941176473</v>
      </c>
      <c r="I849" s="12">
        <v>0.02</v>
      </c>
      <c r="J849" s="12">
        <v>7.0000000000000007E-2</v>
      </c>
      <c r="K849" s="12">
        <f t="shared" si="142"/>
        <v>2.7905882352941181E-3</v>
      </c>
      <c r="L849" s="12">
        <f t="shared" si="143"/>
        <v>0.35161411764705885</v>
      </c>
      <c r="M849" s="2"/>
      <c r="N849" s="2"/>
      <c r="O849" s="2">
        <f>L849*500</f>
        <v>175.80705882352942</v>
      </c>
      <c r="P849" s="2"/>
      <c r="Q849" s="2"/>
      <c r="R849" s="28">
        <v>16.666666666666668</v>
      </c>
    </row>
    <row r="850" spans="1:18" hidden="1" x14ac:dyDescent="0.25">
      <c r="A850" s="16">
        <v>45651</v>
      </c>
      <c r="B850" s="2" t="s">
        <v>118</v>
      </c>
      <c r="C850" s="2">
        <v>280</v>
      </c>
      <c r="D850" s="19">
        <v>0.36</v>
      </c>
      <c r="E850" s="11">
        <v>0.32800000000000001</v>
      </c>
      <c r="F850" s="10">
        <f t="shared" si="139"/>
        <v>640</v>
      </c>
      <c r="G850" s="2">
        <f t="shared" si="140"/>
        <v>0.28000000000000003</v>
      </c>
      <c r="H850" s="12">
        <f t="shared" si="141"/>
        <v>0.4375</v>
      </c>
      <c r="I850" s="12">
        <v>0.02</v>
      </c>
      <c r="J850" s="12">
        <v>7.0000000000000007E-2</v>
      </c>
      <c r="K850" s="12">
        <f t="shared" si="142"/>
        <v>0.17302000000000003</v>
      </c>
      <c r="L850" s="12">
        <f t="shared" si="143"/>
        <v>0.70052000000000014</v>
      </c>
      <c r="M850" s="2">
        <f>L850*250</f>
        <v>175.13000000000002</v>
      </c>
      <c r="N850" s="2"/>
      <c r="O850" s="2"/>
      <c r="P850" s="2"/>
      <c r="Q850" s="2"/>
      <c r="R850" s="28">
        <v>16.666666666666668</v>
      </c>
    </row>
    <row r="851" spans="1:18" hidden="1" x14ac:dyDescent="0.25">
      <c r="A851" s="16">
        <v>45651</v>
      </c>
      <c r="B851" s="2" t="s">
        <v>126</v>
      </c>
      <c r="C851" s="2">
        <v>580</v>
      </c>
      <c r="D851" s="19">
        <v>0.08</v>
      </c>
      <c r="E851" s="11">
        <v>-0.04</v>
      </c>
      <c r="F851" s="2">
        <f t="shared" si="139"/>
        <v>920</v>
      </c>
      <c r="G851" s="10">
        <f t="shared" si="140"/>
        <v>0.57999999999999996</v>
      </c>
      <c r="H851" s="12">
        <f t="shared" si="141"/>
        <v>0.63043478260869568</v>
      </c>
      <c r="I851" s="12">
        <v>0.02</v>
      </c>
      <c r="J851" s="12">
        <v>7.0000000000000007E-2</v>
      </c>
      <c r="K851" s="12">
        <f t="shared" si="142"/>
        <v>-2.8817391304347826E-2</v>
      </c>
      <c r="L851" s="12">
        <f t="shared" si="143"/>
        <v>0.69161739130434785</v>
      </c>
      <c r="M851" s="2"/>
      <c r="N851" s="2"/>
      <c r="O851" s="2">
        <f>L851*500</f>
        <v>345.80869565217392</v>
      </c>
      <c r="P851" s="2"/>
      <c r="Q851" s="2"/>
      <c r="R851" s="28">
        <f>K851/L851%</f>
        <v>-4.1666666666666661</v>
      </c>
    </row>
    <row r="852" spans="1:18" hidden="1" x14ac:dyDescent="0.25">
      <c r="A852" s="16">
        <v>45651</v>
      </c>
      <c r="B852" s="2" t="s">
        <v>92</v>
      </c>
      <c r="C852" s="2">
        <v>400</v>
      </c>
      <c r="D852" s="19">
        <v>7.0000000000000007E-2</v>
      </c>
      <c r="E852" s="11">
        <v>0.14000000000000001</v>
      </c>
      <c r="F852" s="10">
        <f t="shared" si="139"/>
        <v>930</v>
      </c>
      <c r="G852" s="2">
        <f t="shared" si="140"/>
        <v>0.4</v>
      </c>
      <c r="H852" s="12">
        <f t="shared" si="141"/>
        <v>0.43010752688172044</v>
      </c>
      <c r="I852" s="12">
        <v>0.02</v>
      </c>
      <c r="J852" s="12">
        <v>7.0000000000000007E-2</v>
      </c>
      <c r="K852" s="12">
        <f t="shared" si="142"/>
        <v>7.2815053763440871E-2</v>
      </c>
      <c r="L852" s="12">
        <f t="shared" si="143"/>
        <v>0.59292258064516135</v>
      </c>
      <c r="M852" s="2"/>
      <c r="N852" s="2"/>
      <c r="O852" s="2">
        <f>L852*500</f>
        <v>296.46129032258068</v>
      </c>
      <c r="P852" s="2"/>
      <c r="Q852" s="2"/>
      <c r="R852" s="28">
        <v>16.666666666666668</v>
      </c>
    </row>
    <row r="853" spans="1:18" hidden="1" x14ac:dyDescent="0.25">
      <c r="A853" s="16">
        <v>45651</v>
      </c>
      <c r="B853" s="10" t="s">
        <v>197</v>
      </c>
      <c r="C853" s="2">
        <v>470</v>
      </c>
      <c r="D853" s="19">
        <v>0</v>
      </c>
      <c r="E853" s="11">
        <v>5.5E-2</v>
      </c>
      <c r="F853" s="10">
        <f t="shared" si="139"/>
        <v>1000</v>
      </c>
      <c r="G853" s="10">
        <f t="shared" si="140"/>
        <v>0.47</v>
      </c>
      <c r="H853" s="12">
        <f t="shared" si="141"/>
        <v>0.47</v>
      </c>
      <c r="I853" s="12">
        <v>0.02</v>
      </c>
      <c r="J853" s="12">
        <v>7.0000000000000007E-2</v>
      </c>
      <c r="K853" s="12">
        <f t="shared" si="142"/>
        <v>3.0800000000000004E-2</v>
      </c>
      <c r="L853" s="12">
        <f t="shared" si="143"/>
        <v>0.5908000000000001</v>
      </c>
      <c r="M853" s="2"/>
      <c r="N853" s="2"/>
      <c r="O853" s="2">
        <f>L853*500</f>
        <v>295.40000000000003</v>
      </c>
      <c r="P853" s="2"/>
      <c r="Q853" s="2"/>
      <c r="R853" s="28">
        <v>16.666666666666668</v>
      </c>
    </row>
    <row r="854" spans="1:18" hidden="1" x14ac:dyDescent="0.25">
      <c r="A854" s="16">
        <v>45652</v>
      </c>
      <c r="B854" s="2" t="s">
        <v>114</v>
      </c>
      <c r="C854" s="2">
        <v>650</v>
      </c>
      <c r="D854" s="19">
        <v>0.54</v>
      </c>
      <c r="E854" s="11">
        <v>0.185</v>
      </c>
      <c r="F854" s="10">
        <f t="shared" si="139"/>
        <v>460</v>
      </c>
      <c r="G854" s="10">
        <f t="shared" si="140"/>
        <v>0.65</v>
      </c>
      <c r="H854" s="12">
        <f t="shared" si="141"/>
        <v>1.4130434782608696</v>
      </c>
      <c r="I854" s="12">
        <v>0.02</v>
      </c>
      <c r="J854" s="12">
        <v>7.0000000000000007E-2</v>
      </c>
      <c r="K854" s="12">
        <f t="shared" si="142"/>
        <v>0.27806304347826089</v>
      </c>
      <c r="L854" s="12">
        <f t="shared" si="143"/>
        <v>1.7811065217391306</v>
      </c>
      <c r="M854" s="2">
        <f>L854*250</f>
        <v>445.27663043478265</v>
      </c>
      <c r="N854" s="2"/>
      <c r="O854" s="2"/>
      <c r="P854" s="2"/>
      <c r="Q854" s="2"/>
      <c r="R854" s="28">
        <v>16.666666666666668</v>
      </c>
    </row>
    <row r="855" spans="1:18" hidden="1" x14ac:dyDescent="0.25">
      <c r="A855" s="16">
        <v>45652</v>
      </c>
      <c r="B855" s="2" t="s">
        <v>106</v>
      </c>
      <c r="C855" s="2">
        <v>180</v>
      </c>
      <c r="D855" s="19">
        <v>0.09</v>
      </c>
      <c r="E855" s="11">
        <v>0.36</v>
      </c>
      <c r="F855" s="10">
        <f t="shared" si="139"/>
        <v>910</v>
      </c>
      <c r="G855" s="10">
        <f t="shared" si="140"/>
        <v>0.18</v>
      </c>
      <c r="H855" s="12">
        <f t="shared" si="141"/>
        <v>0.19780219780219779</v>
      </c>
      <c r="I855" s="12">
        <v>0.02</v>
      </c>
      <c r="J855" s="12">
        <v>7.0000000000000007E-2</v>
      </c>
      <c r="K855" s="12">
        <f t="shared" si="142"/>
        <v>0.1036087912087912</v>
      </c>
      <c r="L855" s="12">
        <f t="shared" si="143"/>
        <v>0.39141098901098897</v>
      </c>
      <c r="M855" s="2"/>
      <c r="N855" s="2"/>
      <c r="O855" s="2">
        <f t="shared" ref="O855:O861" si="144">L855*500</f>
        <v>195.7054945054945</v>
      </c>
      <c r="P855" s="2"/>
      <c r="Q855" s="2"/>
      <c r="R855" s="28">
        <v>16.666666666666668</v>
      </c>
    </row>
    <row r="856" spans="1:18" hidden="1" x14ac:dyDescent="0.25">
      <c r="A856" s="16">
        <v>45652</v>
      </c>
      <c r="B856" s="2" t="s">
        <v>94</v>
      </c>
      <c r="C856" s="2">
        <v>180</v>
      </c>
      <c r="D856" s="19">
        <v>0.17</v>
      </c>
      <c r="E856" s="11">
        <v>0.27</v>
      </c>
      <c r="F856" s="10">
        <f t="shared" si="139"/>
        <v>830</v>
      </c>
      <c r="G856" s="10">
        <f t="shared" si="140"/>
        <v>0.18</v>
      </c>
      <c r="H856" s="12">
        <f t="shared" si="141"/>
        <v>0.21686746987951808</v>
      </c>
      <c r="I856" s="12">
        <v>0.02</v>
      </c>
      <c r="J856" s="12">
        <v>7.0000000000000007E-2</v>
      </c>
      <c r="K856" s="12">
        <f t="shared" si="142"/>
        <v>8.2854216867469882E-2</v>
      </c>
      <c r="L856" s="12">
        <f t="shared" si="143"/>
        <v>0.38972168674698793</v>
      </c>
      <c r="M856" s="2"/>
      <c r="N856" s="2"/>
      <c r="O856" s="2">
        <f t="shared" si="144"/>
        <v>194.86084337349396</v>
      </c>
      <c r="P856" s="2"/>
      <c r="Q856" s="2"/>
      <c r="R856" s="28">
        <v>16.666666666666668</v>
      </c>
    </row>
    <row r="857" spans="1:18" hidden="1" x14ac:dyDescent="0.25">
      <c r="A857" s="16">
        <v>45652</v>
      </c>
      <c r="B857" s="2" t="s">
        <v>95</v>
      </c>
      <c r="C857" s="2">
        <v>180</v>
      </c>
      <c r="D857" s="19">
        <v>0.17</v>
      </c>
      <c r="E857" s="11">
        <v>0.27</v>
      </c>
      <c r="F857" s="10">
        <f t="shared" si="139"/>
        <v>830</v>
      </c>
      <c r="G857" s="10">
        <f t="shared" si="140"/>
        <v>0.18</v>
      </c>
      <c r="H857" s="12">
        <f t="shared" si="141"/>
        <v>0.21686746987951808</v>
      </c>
      <c r="I857" s="12">
        <v>0.02</v>
      </c>
      <c r="J857" s="12">
        <v>7.0000000000000007E-2</v>
      </c>
      <c r="K857" s="12">
        <f t="shared" si="142"/>
        <v>8.2854216867469882E-2</v>
      </c>
      <c r="L857" s="12">
        <f t="shared" si="143"/>
        <v>0.38972168674698793</v>
      </c>
      <c r="M857" s="2"/>
      <c r="N857" s="2"/>
      <c r="O857" s="2">
        <f t="shared" si="144"/>
        <v>194.86084337349396</v>
      </c>
      <c r="P857" s="2"/>
      <c r="Q857" s="2"/>
      <c r="R857" s="28">
        <v>16.666666666666668</v>
      </c>
    </row>
    <row r="858" spans="1:18" hidden="1" x14ac:dyDescent="0.25">
      <c r="A858" s="16">
        <v>45652</v>
      </c>
      <c r="B858" s="2" t="s">
        <v>189</v>
      </c>
      <c r="C858" s="2">
        <v>380</v>
      </c>
      <c r="D858" s="19">
        <v>0.18</v>
      </c>
      <c r="E858" s="11">
        <v>6.5000000000000002E-2</v>
      </c>
      <c r="F858" s="10">
        <f t="shared" si="139"/>
        <v>820</v>
      </c>
      <c r="G858" s="10">
        <f t="shared" si="140"/>
        <v>0.38</v>
      </c>
      <c r="H858" s="12">
        <f t="shared" si="141"/>
        <v>0.46341463414634149</v>
      </c>
      <c r="I858" s="12">
        <v>0.02</v>
      </c>
      <c r="J858" s="12">
        <v>7.0000000000000007E-2</v>
      </c>
      <c r="K858" s="12">
        <f t="shared" si="142"/>
        <v>3.5971951219512202E-2</v>
      </c>
      <c r="L858" s="12">
        <f t="shared" si="143"/>
        <v>0.58938658536585375</v>
      </c>
      <c r="M858" s="2"/>
      <c r="N858" s="2"/>
      <c r="O858" s="2">
        <f t="shared" si="144"/>
        <v>294.69329268292688</v>
      </c>
      <c r="P858" s="2"/>
      <c r="Q858" s="2"/>
      <c r="R858" s="28">
        <v>16.666666666666668</v>
      </c>
    </row>
    <row r="859" spans="1:18" hidden="1" x14ac:dyDescent="0.25">
      <c r="A859" s="16">
        <v>45652</v>
      </c>
      <c r="B859" s="2" t="s">
        <v>91</v>
      </c>
      <c r="C859" s="2">
        <v>380</v>
      </c>
      <c r="D859" s="19">
        <v>0.18</v>
      </c>
      <c r="E859" s="11">
        <v>6.5000000000000002E-2</v>
      </c>
      <c r="F859" s="10">
        <f t="shared" si="139"/>
        <v>820</v>
      </c>
      <c r="G859" s="10">
        <f t="shared" si="140"/>
        <v>0.38</v>
      </c>
      <c r="H859" s="12">
        <f t="shared" si="141"/>
        <v>0.46341463414634149</v>
      </c>
      <c r="I859" s="12">
        <v>0.02</v>
      </c>
      <c r="J859" s="12">
        <v>7.0000000000000007E-2</v>
      </c>
      <c r="K859" s="12">
        <f t="shared" si="142"/>
        <v>3.5971951219512202E-2</v>
      </c>
      <c r="L859" s="12">
        <f t="shared" si="143"/>
        <v>0.58938658536585375</v>
      </c>
      <c r="M859" s="2"/>
      <c r="N859" s="2"/>
      <c r="O859" s="2">
        <f t="shared" si="144"/>
        <v>294.69329268292688</v>
      </c>
      <c r="P859" s="2"/>
      <c r="Q859" s="2"/>
      <c r="R859" s="28">
        <v>16.666666666666668</v>
      </c>
    </row>
    <row r="860" spans="1:18" hidden="1" x14ac:dyDescent="0.25">
      <c r="A860" s="16">
        <v>45652</v>
      </c>
      <c r="B860" s="2" t="s">
        <v>126</v>
      </c>
      <c r="C860" s="2">
        <v>580</v>
      </c>
      <c r="D860" s="19">
        <v>0</v>
      </c>
      <c r="E860" s="11">
        <v>0.12</v>
      </c>
      <c r="F860" s="2">
        <f t="shared" si="139"/>
        <v>1000</v>
      </c>
      <c r="G860" s="10">
        <f t="shared" si="140"/>
        <v>0.57999999999999996</v>
      </c>
      <c r="H860" s="12">
        <f t="shared" si="141"/>
        <v>0.57999999999999996</v>
      </c>
      <c r="I860" s="12">
        <v>0.02</v>
      </c>
      <c r="J860" s="12">
        <v>7.0000000000000007E-2</v>
      </c>
      <c r="K860" s="12">
        <f t="shared" si="142"/>
        <v>8.0399999999999985E-2</v>
      </c>
      <c r="L860" s="12">
        <f t="shared" si="143"/>
        <v>0.75039999999999996</v>
      </c>
      <c r="M860" s="2"/>
      <c r="N860" s="2"/>
      <c r="O860" s="2">
        <f t="shared" si="144"/>
        <v>375.2</v>
      </c>
      <c r="P860" s="2"/>
      <c r="Q860" s="2"/>
      <c r="R860" s="28">
        <f>K860/L860%</f>
        <v>10.714285714285714</v>
      </c>
    </row>
    <row r="861" spans="1:18" hidden="1" x14ac:dyDescent="0.25">
      <c r="A861" s="16">
        <v>45653</v>
      </c>
      <c r="B861" s="2" t="s">
        <v>160</v>
      </c>
      <c r="C861" s="2">
        <v>720</v>
      </c>
      <c r="D861" s="19">
        <v>0.34</v>
      </c>
      <c r="E861" s="11">
        <v>0.17799999999999999</v>
      </c>
      <c r="F861" s="10">
        <f t="shared" si="139"/>
        <v>660</v>
      </c>
      <c r="G861" s="2">
        <f t="shared" si="140"/>
        <v>0.72</v>
      </c>
      <c r="H861" s="12">
        <f t="shared" si="141"/>
        <v>1.0909090909090908</v>
      </c>
      <c r="I861" s="12">
        <v>0.02</v>
      </c>
      <c r="J861" s="12">
        <v>7.0000000000000007E-2</v>
      </c>
      <c r="K861" s="12">
        <f t="shared" si="142"/>
        <v>0.21020181818181818</v>
      </c>
      <c r="L861" s="12">
        <f t="shared" si="143"/>
        <v>1.3911109090909091</v>
      </c>
      <c r="M861" s="2"/>
      <c r="N861" s="2"/>
      <c r="O861" s="2">
        <f t="shared" si="144"/>
        <v>695.5554545454545</v>
      </c>
      <c r="P861" s="2"/>
      <c r="Q861" s="2"/>
      <c r="R861" s="28">
        <v>16.666666666666668</v>
      </c>
    </row>
    <row r="862" spans="1:18" hidden="1" x14ac:dyDescent="0.25">
      <c r="A862" s="16">
        <v>45653</v>
      </c>
      <c r="B862" s="2" t="s">
        <v>111</v>
      </c>
      <c r="C862" s="2">
        <v>720</v>
      </c>
      <c r="D862" s="19">
        <v>0.34</v>
      </c>
      <c r="E862" s="11">
        <v>0.27</v>
      </c>
      <c r="F862" s="10">
        <f t="shared" si="139"/>
        <v>660</v>
      </c>
      <c r="G862" s="2">
        <f t="shared" si="140"/>
        <v>0.72</v>
      </c>
      <c r="H862" s="12">
        <f t="shared" si="141"/>
        <v>1.0909090909090908</v>
      </c>
      <c r="I862" s="12">
        <v>0.02</v>
      </c>
      <c r="J862" s="12">
        <v>7.0000000000000007E-2</v>
      </c>
      <c r="K862" s="12">
        <f t="shared" si="142"/>
        <v>0.31884545454545454</v>
      </c>
      <c r="L862" s="12">
        <f t="shared" si="143"/>
        <v>1.4997545454545453</v>
      </c>
      <c r="M862" s="2">
        <f>L862*250</f>
        <v>374.93863636363636</v>
      </c>
      <c r="N862" s="2"/>
      <c r="O862" s="2"/>
      <c r="P862" s="2"/>
      <c r="Q862" s="2"/>
      <c r="R862" s="28">
        <v>16.666666666666668</v>
      </c>
    </row>
    <row r="863" spans="1:18" hidden="1" x14ac:dyDescent="0.25">
      <c r="A863" s="16">
        <v>45653</v>
      </c>
      <c r="B863" s="2" t="s">
        <v>190</v>
      </c>
      <c r="C863" s="2">
        <v>720</v>
      </c>
      <c r="D863" s="19">
        <v>0.34</v>
      </c>
      <c r="E863" s="11">
        <v>0.26200000000000001</v>
      </c>
      <c r="F863" s="10">
        <f t="shared" si="139"/>
        <v>660</v>
      </c>
      <c r="G863" s="2">
        <f t="shared" si="140"/>
        <v>0.72</v>
      </c>
      <c r="H863" s="12">
        <f t="shared" si="141"/>
        <v>1.0909090909090908</v>
      </c>
      <c r="I863" s="12">
        <v>0.02</v>
      </c>
      <c r="J863" s="12">
        <v>7.0000000000000007E-2</v>
      </c>
      <c r="K863" s="12">
        <f t="shared" si="142"/>
        <v>0.30939818181818185</v>
      </c>
      <c r="L863" s="12">
        <f t="shared" si="143"/>
        <v>1.4903072727272728</v>
      </c>
      <c r="M863" s="2"/>
      <c r="N863" s="2"/>
      <c r="O863" s="2">
        <f t="shared" ref="O863:O871" si="145">L863*500</f>
        <v>745.15363636363645</v>
      </c>
      <c r="P863" s="2"/>
      <c r="Q863" s="2"/>
      <c r="R863" s="28">
        <v>16.666666666666668</v>
      </c>
    </row>
    <row r="864" spans="1:18" hidden="1" x14ac:dyDescent="0.25">
      <c r="A864" s="16">
        <v>45653</v>
      </c>
      <c r="B864" s="2" t="s">
        <v>94</v>
      </c>
      <c r="C864" s="2">
        <v>280</v>
      </c>
      <c r="D864" s="19">
        <v>0.02</v>
      </c>
      <c r="E864" s="11">
        <v>0.04</v>
      </c>
      <c r="F864" s="10">
        <f t="shared" si="139"/>
        <v>980</v>
      </c>
      <c r="G864" s="10">
        <f t="shared" si="140"/>
        <v>0.28000000000000003</v>
      </c>
      <c r="H864" s="12">
        <f t="shared" si="141"/>
        <v>0.2857142857142857</v>
      </c>
      <c r="I864" s="12">
        <v>0.02</v>
      </c>
      <c r="J864" s="12">
        <v>7.0000000000000007E-2</v>
      </c>
      <c r="K864" s="12">
        <f t="shared" si="142"/>
        <v>1.5028571428571429E-2</v>
      </c>
      <c r="L864" s="12">
        <f t="shared" si="143"/>
        <v>0.39074285714285717</v>
      </c>
      <c r="M864" s="2"/>
      <c r="N864" s="2"/>
      <c r="O864" s="2">
        <f t="shared" si="145"/>
        <v>195.37142857142859</v>
      </c>
      <c r="P864" s="2"/>
      <c r="Q864" s="2"/>
      <c r="R864" s="28">
        <v>16.666666666666668</v>
      </c>
    </row>
    <row r="865" spans="1:18" hidden="1" x14ac:dyDescent="0.25">
      <c r="A865" s="16">
        <v>45653</v>
      </c>
      <c r="B865" s="2" t="s">
        <v>95</v>
      </c>
      <c r="C865" s="2">
        <v>280</v>
      </c>
      <c r="D865" s="19">
        <v>0.02</v>
      </c>
      <c r="E865" s="11">
        <v>0.04</v>
      </c>
      <c r="F865" s="10">
        <f t="shared" si="139"/>
        <v>980</v>
      </c>
      <c r="G865" s="10">
        <f t="shared" si="140"/>
        <v>0.28000000000000003</v>
      </c>
      <c r="H865" s="12">
        <f t="shared" si="141"/>
        <v>0.2857142857142857</v>
      </c>
      <c r="I865" s="12">
        <v>0.02</v>
      </c>
      <c r="J865" s="12">
        <v>7.0000000000000007E-2</v>
      </c>
      <c r="K865" s="12">
        <f t="shared" si="142"/>
        <v>1.5028571428571429E-2</v>
      </c>
      <c r="L865" s="12">
        <f t="shared" si="143"/>
        <v>0.39074285714285717</v>
      </c>
      <c r="M865" s="2"/>
      <c r="N865" s="2"/>
      <c r="O865" s="2">
        <f t="shared" si="145"/>
        <v>195.37142857142859</v>
      </c>
      <c r="P865" s="2"/>
      <c r="Q865" s="2"/>
      <c r="R865" s="28">
        <v>16.666666666666668</v>
      </c>
    </row>
    <row r="866" spans="1:18" hidden="1" x14ac:dyDescent="0.25">
      <c r="A866" s="16">
        <v>45654</v>
      </c>
      <c r="B866" s="2" t="s">
        <v>94</v>
      </c>
      <c r="C866" s="2">
        <v>300</v>
      </c>
      <c r="D866" s="19">
        <v>0</v>
      </c>
      <c r="E866" s="11">
        <v>0</v>
      </c>
      <c r="F866" s="10">
        <f t="shared" si="139"/>
        <v>1000</v>
      </c>
      <c r="G866" s="10">
        <f t="shared" si="140"/>
        <v>0.3</v>
      </c>
      <c r="H866" s="12">
        <f t="shared" si="141"/>
        <v>0.3</v>
      </c>
      <c r="I866" s="12">
        <v>0.02</v>
      </c>
      <c r="J866" s="12">
        <v>7.0000000000000007E-2</v>
      </c>
      <c r="K866" s="12">
        <f t="shared" si="142"/>
        <v>0</v>
      </c>
      <c r="L866" s="12">
        <f t="shared" si="143"/>
        <v>0.39</v>
      </c>
      <c r="M866" s="2"/>
      <c r="N866" s="2"/>
      <c r="O866" s="2">
        <f t="shared" si="145"/>
        <v>195</v>
      </c>
      <c r="P866" s="2"/>
      <c r="Q866" s="2"/>
      <c r="R866" s="28">
        <v>16.666666666666668</v>
      </c>
    </row>
    <row r="867" spans="1:18" hidden="1" x14ac:dyDescent="0.25">
      <c r="A867" s="16">
        <v>45654</v>
      </c>
      <c r="B867" s="2" t="s">
        <v>95</v>
      </c>
      <c r="C867" s="2">
        <v>300</v>
      </c>
      <c r="D867" s="19">
        <v>0</v>
      </c>
      <c r="E867" s="11">
        <v>0</v>
      </c>
      <c r="F867" s="10">
        <f t="shared" si="139"/>
        <v>1000</v>
      </c>
      <c r="G867" s="10">
        <f t="shared" si="140"/>
        <v>0.3</v>
      </c>
      <c r="H867" s="12">
        <f t="shared" si="141"/>
        <v>0.3</v>
      </c>
      <c r="I867" s="12">
        <v>0.02</v>
      </c>
      <c r="J867" s="12">
        <v>7.0000000000000007E-2</v>
      </c>
      <c r="K867" s="12">
        <f t="shared" si="142"/>
        <v>0</v>
      </c>
      <c r="L867" s="12">
        <f t="shared" si="143"/>
        <v>0.39</v>
      </c>
      <c r="M867" s="2"/>
      <c r="N867" s="2"/>
      <c r="O867" s="2">
        <f t="shared" si="145"/>
        <v>195</v>
      </c>
      <c r="P867" s="2"/>
      <c r="Q867" s="2"/>
      <c r="R867" s="28">
        <v>16.666666666666668</v>
      </c>
    </row>
    <row r="868" spans="1:18" hidden="1" x14ac:dyDescent="0.25">
      <c r="A868" s="16">
        <v>45654</v>
      </c>
      <c r="B868" s="2" t="s">
        <v>92</v>
      </c>
      <c r="C868" s="2">
        <v>489</v>
      </c>
      <c r="D868" s="19">
        <v>0.04</v>
      </c>
      <c r="E868" s="11">
        <v>8.5000000000000006E-2</v>
      </c>
      <c r="F868" s="10">
        <f t="shared" si="139"/>
        <v>960</v>
      </c>
      <c r="G868" s="2">
        <f t="shared" si="140"/>
        <v>0.48899999999999999</v>
      </c>
      <c r="H868" s="12">
        <f t="shared" si="141"/>
        <v>0.50937500000000002</v>
      </c>
      <c r="I868" s="12">
        <v>0.02</v>
      </c>
      <c r="J868" s="12">
        <v>7.0000000000000007E-2</v>
      </c>
      <c r="K868" s="12">
        <f t="shared" si="142"/>
        <v>5.0946875000000003E-2</v>
      </c>
      <c r="L868" s="12">
        <f t="shared" si="143"/>
        <v>0.65032187499999994</v>
      </c>
      <c r="M868" s="2"/>
      <c r="N868" s="2"/>
      <c r="O868" s="2">
        <f t="shared" si="145"/>
        <v>325.16093749999999</v>
      </c>
      <c r="P868" s="2"/>
      <c r="Q868" s="2"/>
      <c r="R868" s="28">
        <v>16.666666666666668</v>
      </c>
    </row>
    <row r="869" spans="1:18" hidden="1" x14ac:dyDescent="0.25">
      <c r="A869" s="16">
        <v>45654</v>
      </c>
      <c r="B869" s="2" t="s">
        <v>110</v>
      </c>
      <c r="C869" s="2">
        <v>100</v>
      </c>
      <c r="D869" s="19">
        <v>0.01</v>
      </c>
      <c r="E869" s="11">
        <v>0.31</v>
      </c>
      <c r="F869" s="10">
        <f t="shared" si="139"/>
        <v>990</v>
      </c>
      <c r="G869" s="2">
        <f t="shared" si="140"/>
        <v>0.1</v>
      </c>
      <c r="H869" s="12">
        <f t="shared" si="141"/>
        <v>0.10101010101010101</v>
      </c>
      <c r="I869" s="12">
        <v>0.02</v>
      </c>
      <c r="J869" s="12">
        <v>7.0000000000000007E-2</v>
      </c>
      <c r="K869" s="12">
        <f t="shared" si="142"/>
        <v>5.9213131313131315E-2</v>
      </c>
      <c r="L869" s="12">
        <f t="shared" si="143"/>
        <v>0.25022323232323235</v>
      </c>
      <c r="M869" s="2"/>
      <c r="N869" s="2"/>
      <c r="O869" s="2">
        <f t="shared" si="145"/>
        <v>125.11161616161617</v>
      </c>
      <c r="P869" s="2"/>
      <c r="Q869" s="2"/>
      <c r="R869" s="28">
        <v>16.666666666666668</v>
      </c>
    </row>
    <row r="870" spans="1:18" hidden="1" x14ac:dyDescent="0.25">
      <c r="A870" s="16">
        <v>45654</v>
      </c>
      <c r="B870" s="2" t="s">
        <v>128</v>
      </c>
      <c r="C870" s="2">
        <v>300</v>
      </c>
      <c r="D870" s="19">
        <v>0.04</v>
      </c>
      <c r="E870" s="11">
        <v>0.36499999999999999</v>
      </c>
      <c r="F870" s="10">
        <f t="shared" si="139"/>
        <v>960</v>
      </c>
      <c r="G870" s="10">
        <f t="shared" si="140"/>
        <v>0.3</v>
      </c>
      <c r="H870" s="12">
        <f t="shared" si="141"/>
        <v>0.3125</v>
      </c>
      <c r="I870" s="12">
        <v>0.02</v>
      </c>
      <c r="J870" s="12">
        <v>7.0000000000000007E-2</v>
      </c>
      <c r="K870" s="12">
        <f t="shared" si="142"/>
        <v>0.1469125</v>
      </c>
      <c r="L870" s="12">
        <f t="shared" si="143"/>
        <v>0.54941250000000008</v>
      </c>
      <c r="M870" s="2"/>
      <c r="N870" s="2"/>
      <c r="O870" s="12">
        <f t="shared" si="145"/>
        <v>274.70625000000007</v>
      </c>
      <c r="P870" s="2"/>
      <c r="Q870" s="2"/>
      <c r="R870" s="28">
        <v>16.666666666666668</v>
      </c>
    </row>
    <row r="871" spans="1:18" hidden="1" x14ac:dyDescent="0.25">
      <c r="A871" s="16">
        <v>45654</v>
      </c>
      <c r="B871" s="2" t="s">
        <v>191</v>
      </c>
      <c r="C871" s="2">
        <v>1250</v>
      </c>
      <c r="D871" s="19">
        <v>0</v>
      </c>
      <c r="E871" s="11">
        <v>0.113</v>
      </c>
      <c r="F871" s="2">
        <f t="shared" si="139"/>
        <v>1000</v>
      </c>
      <c r="G871" s="2">
        <f t="shared" si="140"/>
        <v>1.25</v>
      </c>
      <c r="H871" s="2">
        <f t="shared" si="141"/>
        <v>1.25</v>
      </c>
      <c r="I871" s="12">
        <v>0.02</v>
      </c>
      <c r="J871" s="12">
        <v>7.0000000000000007E-2</v>
      </c>
      <c r="K871" s="12">
        <f t="shared" si="142"/>
        <v>0.15142000000000003</v>
      </c>
      <c r="L871" s="12">
        <f t="shared" si="143"/>
        <v>1.4914200000000002</v>
      </c>
      <c r="M871" s="2"/>
      <c r="N871" s="2"/>
      <c r="O871" s="12">
        <f t="shared" si="145"/>
        <v>745.71000000000015</v>
      </c>
      <c r="P871" s="2"/>
      <c r="Q871" s="2"/>
      <c r="R871" s="28">
        <v>16.666666666666668</v>
      </c>
    </row>
    <row r="872" spans="1:18" hidden="1" x14ac:dyDescent="0.25">
      <c r="A872" s="16">
        <v>45655</v>
      </c>
      <c r="B872" s="2" t="s">
        <v>111</v>
      </c>
      <c r="C872" s="2">
        <v>620</v>
      </c>
      <c r="D872" s="19">
        <v>0.33</v>
      </c>
      <c r="E872" s="11">
        <v>0.48</v>
      </c>
      <c r="F872" s="10">
        <f t="shared" si="139"/>
        <v>670</v>
      </c>
      <c r="G872" s="2">
        <f t="shared" si="140"/>
        <v>0.62</v>
      </c>
      <c r="H872" s="12">
        <f t="shared" si="141"/>
        <v>0.92537313432835822</v>
      </c>
      <c r="I872" s="12">
        <v>0.02</v>
      </c>
      <c r="J872" s="12">
        <v>7.0000000000000007E-2</v>
      </c>
      <c r="K872" s="12">
        <f t="shared" si="142"/>
        <v>0.48737910447761196</v>
      </c>
      <c r="L872" s="12">
        <f t="shared" si="143"/>
        <v>1.5027522388059702</v>
      </c>
      <c r="M872" s="2">
        <f>L872*250</f>
        <v>375.68805970149253</v>
      </c>
      <c r="N872" s="2"/>
      <c r="O872" s="2"/>
      <c r="P872" s="2"/>
      <c r="Q872" s="2"/>
      <c r="R872" s="28">
        <v>16.666666666666668</v>
      </c>
    </row>
    <row r="873" spans="1:18" hidden="1" x14ac:dyDescent="0.25">
      <c r="A873" s="16">
        <v>45655</v>
      </c>
      <c r="B873" s="2" t="s">
        <v>190</v>
      </c>
      <c r="C873" s="2">
        <v>620</v>
      </c>
      <c r="D873" s="19">
        <v>0.33</v>
      </c>
      <c r="E873" s="11">
        <v>0.46800000000000003</v>
      </c>
      <c r="F873" s="10">
        <f t="shared" si="139"/>
        <v>670</v>
      </c>
      <c r="G873" s="2">
        <f t="shared" si="140"/>
        <v>0.62</v>
      </c>
      <c r="H873" s="12">
        <f t="shared" si="141"/>
        <v>0.92537313432835822</v>
      </c>
      <c r="I873" s="12">
        <v>0.02</v>
      </c>
      <c r="J873" s="12">
        <v>7.0000000000000007E-2</v>
      </c>
      <c r="K873" s="12">
        <f t="shared" si="142"/>
        <v>0.47519462686567171</v>
      </c>
      <c r="L873" s="12">
        <f t="shared" si="143"/>
        <v>1.49056776119403</v>
      </c>
      <c r="M873" s="2"/>
      <c r="N873" s="2"/>
      <c r="O873" s="2">
        <f>L873*500</f>
        <v>745.28388059701501</v>
      </c>
      <c r="P873" s="2"/>
      <c r="Q873" s="2"/>
      <c r="R873" s="28">
        <v>16.666666666666668</v>
      </c>
    </row>
    <row r="874" spans="1:18" hidden="1" x14ac:dyDescent="0.25">
      <c r="A874" s="16">
        <v>45655</v>
      </c>
      <c r="B874" s="2" t="s">
        <v>204</v>
      </c>
      <c r="C874" s="2">
        <v>720</v>
      </c>
      <c r="D874" s="19">
        <v>0.37</v>
      </c>
      <c r="E874" s="11">
        <v>0.28999999999999998</v>
      </c>
      <c r="F874" s="10">
        <f t="shared" si="139"/>
        <v>630</v>
      </c>
      <c r="G874" s="2">
        <f t="shared" si="140"/>
        <v>0.72</v>
      </c>
      <c r="H874" s="12">
        <f t="shared" si="141"/>
        <v>1.1428571428571428</v>
      </c>
      <c r="I874" s="12">
        <v>0.02</v>
      </c>
      <c r="J874" s="12">
        <v>7.0000000000000007E-2</v>
      </c>
      <c r="K874" s="12">
        <f t="shared" si="142"/>
        <v>0.35752857142857142</v>
      </c>
      <c r="L874" s="12">
        <f t="shared" si="143"/>
        <v>1.5903857142857143</v>
      </c>
      <c r="M874" s="2"/>
      <c r="N874" s="2"/>
      <c r="O874" s="2">
        <f>L874*500</f>
        <v>795.19285714285718</v>
      </c>
      <c r="P874" s="2"/>
      <c r="Q874" s="2"/>
      <c r="R874" s="28">
        <v>16.666666666666668</v>
      </c>
    </row>
    <row r="875" spans="1:18" hidden="1" x14ac:dyDescent="0.25">
      <c r="A875" s="16">
        <v>45655</v>
      </c>
      <c r="B875" s="2" t="s">
        <v>205</v>
      </c>
      <c r="C875" s="2">
        <v>720</v>
      </c>
      <c r="D875" s="19">
        <v>0.37</v>
      </c>
      <c r="E875" s="11">
        <v>0.28199999999999997</v>
      </c>
      <c r="F875" s="10">
        <f t="shared" si="139"/>
        <v>630</v>
      </c>
      <c r="G875" s="2">
        <f t="shared" si="140"/>
        <v>0.72</v>
      </c>
      <c r="H875" s="12">
        <f t="shared" si="141"/>
        <v>1.1428571428571428</v>
      </c>
      <c r="I875" s="12">
        <v>0.02</v>
      </c>
      <c r="J875" s="12">
        <v>7.0000000000000007E-2</v>
      </c>
      <c r="K875" s="12">
        <f t="shared" si="142"/>
        <v>0.34766571428571424</v>
      </c>
      <c r="L875" s="12">
        <f t="shared" si="143"/>
        <v>1.5805228571428571</v>
      </c>
      <c r="M875" s="2">
        <f>L875*250</f>
        <v>395.1307142857143</v>
      </c>
      <c r="N875" s="2"/>
      <c r="O875" s="2"/>
      <c r="P875" s="2"/>
      <c r="Q875" s="2"/>
      <c r="R875" s="28">
        <v>16.666666666666668</v>
      </c>
    </row>
    <row r="876" spans="1:18" hidden="1" x14ac:dyDescent="0.25">
      <c r="A876" s="16">
        <v>45655</v>
      </c>
      <c r="B876" s="10" t="s">
        <v>211</v>
      </c>
      <c r="C876" s="2">
        <v>1050</v>
      </c>
      <c r="D876" s="19">
        <v>0.32</v>
      </c>
      <c r="E876" s="11">
        <v>0.09</v>
      </c>
      <c r="F876" s="10">
        <f t="shared" si="139"/>
        <v>680</v>
      </c>
      <c r="G876" s="10">
        <f t="shared" si="140"/>
        <v>1.05</v>
      </c>
      <c r="H876" s="12">
        <f t="shared" si="141"/>
        <v>1.5441176470588236</v>
      </c>
      <c r="I876" s="12">
        <v>0.02</v>
      </c>
      <c r="J876" s="12">
        <v>7.0000000000000007E-2</v>
      </c>
      <c r="K876" s="12">
        <f t="shared" si="142"/>
        <v>0.14707058823529412</v>
      </c>
      <c r="L876" s="12">
        <f t="shared" si="143"/>
        <v>1.7811882352941177</v>
      </c>
      <c r="M876" s="2">
        <f>L876*250</f>
        <v>445.29705882352943</v>
      </c>
      <c r="N876" s="2"/>
      <c r="O876" s="2"/>
      <c r="P876" s="2"/>
      <c r="Q876" s="2"/>
      <c r="R876" s="28">
        <v>16.666666666666668</v>
      </c>
    </row>
    <row r="877" spans="1:18" hidden="1" x14ac:dyDescent="0.25">
      <c r="A877" s="16">
        <v>45655</v>
      </c>
      <c r="B877" s="2" t="s">
        <v>94</v>
      </c>
      <c r="C877" s="2">
        <v>280</v>
      </c>
      <c r="D877" s="19">
        <v>0.09</v>
      </c>
      <c r="E877" s="11">
        <v>-1.4999999999999999E-2</v>
      </c>
      <c r="F877" s="10">
        <f t="shared" si="139"/>
        <v>910</v>
      </c>
      <c r="G877" s="10">
        <f t="shared" si="140"/>
        <v>0.28000000000000003</v>
      </c>
      <c r="H877" s="12">
        <f t="shared" si="141"/>
        <v>0.30769230769230771</v>
      </c>
      <c r="I877" s="12">
        <v>0.02</v>
      </c>
      <c r="J877" s="12">
        <v>7.0000000000000007E-2</v>
      </c>
      <c r="K877" s="12">
        <f t="shared" si="142"/>
        <v>-5.9653846153846155E-3</v>
      </c>
      <c r="L877" s="12">
        <f t="shared" si="143"/>
        <v>0.39172692307692314</v>
      </c>
      <c r="M877" s="2"/>
      <c r="N877" s="2"/>
      <c r="O877" s="2">
        <f t="shared" ref="O877:O888" si="146">L877*500</f>
        <v>195.86346153846156</v>
      </c>
      <c r="P877" s="2"/>
      <c r="Q877" s="2"/>
      <c r="R877" s="28">
        <v>16.666666666666668</v>
      </c>
    </row>
    <row r="878" spans="1:18" hidden="1" x14ac:dyDescent="0.25">
      <c r="A878" s="16">
        <v>45655</v>
      </c>
      <c r="B878" s="2" t="s">
        <v>95</v>
      </c>
      <c r="C878" s="2">
        <v>280</v>
      </c>
      <c r="D878" s="19">
        <v>0.09</v>
      </c>
      <c r="E878" s="11">
        <v>-1.4999999999999999E-2</v>
      </c>
      <c r="F878" s="10">
        <f t="shared" si="139"/>
        <v>910</v>
      </c>
      <c r="G878" s="10">
        <f t="shared" si="140"/>
        <v>0.28000000000000003</v>
      </c>
      <c r="H878" s="12">
        <f t="shared" si="141"/>
        <v>0.30769230769230771</v>
      </c>
      <c r="I878" s="12">
        <v>0.02</v>
      </c>
      <c r="J878" s="12">
        <v>7.0000000000000007E-2</v>
      </c>
      <c r="K878" s="12">
        <f t="shared" si="142"/>
        <v>-5.9653846153846155E-3</v>
      </c>
      <c r="L878" s="12">
        <f t="shared" si="143"/>
        <v>0.39172692307692314</v>
      </c>
      <c r="M878" s="2"/>
      <c r="N878" s="2"/>
      <c r="O878" s="2">
        <f t="shared" si="146"/>
        <v>195.86346153846156</v>
      </c>
      <c r="P878" s="2"/>
      <c r="Q878" s="2"/>
      <c r="R878" s="28">
        <v>16.666666666666668</v>
      </c>
    </row>
    <row r="879" spans="1:18" hidden="1" x14ac:dyDescent="0.25">
      <c r="A879" s="16">
        <v>45655</v>
      </c>
      <c r="B879" s="2" t="s">
        <v>90</v>
      </c>
      <c r="C879" s="2">
        <v>420</v>
      </c>
      <c r="D879" s="19">
        <v>0</v>
      </c>
      <c r="E879" s="11">
        <v>0.27500000000000002</v>
      </c>
      <c r="F879" s="10">
        <f t="shared" si="139"/>
        <v>1000</v>
      </c>
      <c r="G879" s="2">
        <f t="shared" si="140"/>
        <v>0.42</v>
      </c>
      <c r="H879" s="12">
        <f t="shared" si="141"/>
        <v>0.42</v>
      </c>
      <c r="I879" s="12">
        <v>0.02</v>
      </c>
      <c r="J879" s="12">
        <v>7.0000000000000007E-2</v>
      </c>
      <c r="K879" s="12">
        <f t="shared" si="142"/>
        <v>0.14025000000000001</v>
      </c>
      <c r="L879" s="12">
        <f t="shared" si="143"/>
        <v>0.65024999999999999</v>
      </c>
      <c r="M879" s="2"/>
      <c r="N879" s="2"/>
      <c r="O879" s="2">
        <f t="shared" si="146"/>
        <v>325.125</v>
      </c>
      <c r="P879" s="2"/>
      <c r="Q879" s="2"/>
      <c r="R879" s="28">
        <v>16.666666666666668</v>
      </c>
    </row>
    <row r="880" spans="1:18" hidden="1" x14ac:dyDescent="0.25">
      <c r="A880" s="16">
        <v>45655</v>
      </c>
      <c r="B880" s="2" t="s">
        <v>91</v>
      </c>
      <c r="C880" s="2">
        <v>420</v>
      </c>
      <c r="D880" s="19">
        <v>0</v>
      </c>
      <c r="E880" s="11">
        <v>0.27500000000000002</v>
      </c>
      <c r="F880" s="10">
        <f t="shared" si="139"/>
        <v>1000</v>
      </c>
      <c r="G880" s="2">
        <f t="shared" si="140"/>
        <v>0.42</v>
      </c>
      <c r="H880" s="12">
        <f t="shared" si="141"/>
        <v>0.42</v>
      </c>
      <c r="I880" s="12">
        <v>0.02</v>
      </c>
      <c r="J880" s="12">
        <v>7.0000000000000007E-2</v>
      </c>
      <c r="K880" s="12">
        <f t="shared" si="142"/>
        <v>0.14025000000000001</v>
      </c>
      <c r="L880" s="12">
        <f t="shared" si="143"/>
        <v>0.65024999999999999</v>
      </c>
      <c r="M880" s="2"/>
      <c r="N880" s="2"/>
      <c r="O880" s="2">
        <f t="shared" si="146"/>
        <v>325.125</v>
      </c>
      <c r="P880" s="2"/>
      <c r="Q880" s="2"/>
      <c r="R880" s="28">
        <v>16.666666666666668</v>
      </c>
    </row>
    <row r="881" spans="1:18" hidden="1" x14ac:dyDescent="0.25">
      <c r="A881" s="16">
        <v>45655</v>
      </c>
      <c r="B881" s="2" t="s">
        <v>106</v>
      </c>
      <c r="C881" s="2">
        <v>200</v>
      </c>
      <c r="D881" s="19">
        <v>0.16</v>
      </c>
      <c r="E881" s="11">
        <v>0.19</v>
      </c>
      <c r="F881" s="10">
        <f t="shared" si="139"/>
        <v>840</v>
      </c>
      <c r="G881" s="10">
        <f t="shared" si="140"/>
        <v>0.2</v>
      </c>
      <c r="H881" s="12">
        <f t="shared" si="141"/>
        <v>0.23809523809523808</v>
      </c>
      <c r="I881" s="12">
        <v>0.02</v>
      </c>
      <c r="J881" s="12">
        <v>7.0000000000000007E-2</v>
      </c>
      <c r="K881" s="12">
        <f t="shared" si="142"/>
        <v>6.2338095238095241E-2</v>
      </c>
      <c r="L881" s="12">
        <f t="shared" si="143"/>
        <v>0.39043333333333335</v>
      </c>
      <c r="M881" s="2"/>
      <c r="N881" s="2"/>
      <c r="O881" s="2">
        <f t="shared" si="146"/>
        <v>195.21666666666667</v>
      </c>
      <c r="P881" s="2"/>
      <c r="Q881" s="2"/>
      <c r="R881" s="28">
        <v>16.666666666666668</v>
      </c>
    </row>
    <row r="882" spans="1:18" hidden="1" x14ac:dyDescent="0.25">
      <c r="A882" s="16">
        <v>45655</v>
      </c>
      <c r="B882" s="2" t="s">
        <v>92</v>
      </c>
      <c r="C882" s="2">
        <v>480</v>
      </c>
      <c r="D882" s="19">
        <v>0.02</v>
      </c>
      <c r="E882" s="11">
        <v>0.122</v>
      </c>
      <c r="F882" s="2">
        <f t="shared" si="139"/>
        <v>980</v>
      </c>
      <c r="G882" s="2">
        <f t="shared" si="140"/>
        <v>0.48</v>
      </c>
      <c r="H882" s="2">
        <f t="shared" si="141"/>
        <v>0.48979591836734693</v>
      </c>
      <c r="I882" s="12">
        <v>0.02</v>
      </c>
      <c r="J882" s="12">
        <v>7.0000000000000007E-2</v>
      </c>
      <c r="K882" s="12">
        <f t="shared" si="142"/>
        <v>7.0735102040816317E-2</v>
      </c>
      <c r="L882" s="12">
        <f t="shared" si="143"/>
        <v>0.65053102040816324</v>
      </c>
      <c r="M882" s="2"/>
      <c r="N882" s="2"/>
      <c r="O882" s="2">
        <f t="shared" si="146"/>
        <v>325.26551020408164</v>
      </c>
      <c r="P882" s="2"/>
      <c r="Q882" s="2"/>
      <c r="R882" s="28">
        <v>16.666666666666668</v>
      </c>
    </row>
    <row r="883" spans="1:18" hidden="1" x14ac:dyDescent="0.25">
      <c r="A883" s="16">
        <v>45657</v>
      </c>
      <c r="B883" s="2" t="s">
        <v>92</v>
      </c>
      <c r="C883" s="2">
        <v>530</v>
      </c>
      <c r="D883" s="19">
        <v>0.11</v>
      </c>
      <c r="E883" s="11">
        <v>-0.05</v>
      </c>
      <c r="F883" s="2">
        <f t="shared" si="139"/>
        <v>890</v>
      </c>
      <c r="G883" s="2">
        <f t="shared" si="140"/>
        <v>0.53</v>
      </c>
      <c r="H883" s="2">
        <f t="shared" si="141"/>
        <v>0.5955056179775281</v>
      </c>
      <c r="I883" s="12">
        <v>0.02</v>
      </c>
      <c r="J883" s="12">
        <v>7.0000000000000007E-2</v>
      </c>
      <c r="K883" s="12">
        <f t="shared" si="142"/>
        <v>-3.4275280898876402E-2</v>
      </c>
      <c r="L883" s="12">
        <f t="shared" si="143"/>
        <v>0.65123033707865163</v>
      </c>
      <c r="M883" s="2"/>
      <c r="N883" s="2"/>
      <c r="O883" s="2">
        <f t="shared" si="146"/>
        <v>325.61516853932579</v>
      </c>
      <c r="P883" s="2"/>
      <c r="Q883" s="2"/>
      <c r="R883" s="28">
        <v>16.666666666666668</v>
      </c>
    </row>
    <row r="884" spans="1:18" hidden="1" x14ac:dyDescent="0.25">
      <c r="A884" s="16">
        <v>45657</v>
      </c>
      <c r="B884" s="2" t="s">
        <v>191</v>
      </c>
      <c r="C884" s="2">
        <v>1250</v>
      </c>
      <c r="D884" s="19">
        <v>0</v>
      </c>
      <c r="E884" s="11">
        <v>0.112</v>
      </c>
      <c r="F884" s="2">
        <f t="shared" si="139"/>
        <v>1000</v>
      </c>
      <c r="G884" s="2">
        <f t="shared" si="140"/>
        <v>1.25</v>
      </c>
      <c r="H884" s="2">
        <f t="shared" si="141"/>
        <v>1.25</v>
      </c>
      <c r="I884" s="12">
        <v>0.02</v>
      </c>
      <c r="J884" s="12">
        <v>7.0000000000000007E-2</v>
      </c>
      <c r="K884" s="12">
        <f t="shared" si="142"/>
        <v>0.15008000000000002</v>
      </c>
      <c r="L884" s="12">
        <f t="shared" si="143"/>
        <v>1.4900800000000001</v>
      </c>
      <c r="M884" s="2"/>
      <c r="N884" s="2"/>
      <c r="O884" s="2">
        <f t="shared" si="146"/>
        <v>745.04000000000008</v>
      </c>
      <c r="P884" s="2"/>
      <c r="Q884" s="2"/>
      <c r="R884" s="28">
        <v>16.666666666666668</v>
      </c>
    </row>
    <row r="885" spans="1:18" hidden="1" x14ac:dyDescent="0.25">
      <c r="A885" s="16">
        <v>45657</v>
      </c>
      <c r="B885" s="2" t="s">
        <v>106</v>
      </c>
      <c r="C885" s="2">
        <v>200</v>
      </c>
      <c r="D885" s="19">
        <v>0.12</v>
      </c>
      <c r="E885" s="11">
        <v>0.23</v>
      </c>
      <c r="F885" s="2">
        <f t="shared" si="139"/>
        <v>880</v>
      </c>
      <c r="G885" s="2">
        <f t="shared" si="140"/>
        <v>0.2</v>
      </c>
      <c r="H885" s="2">
        <f t="shared" si="141"/>
        <v>0.22727272727272727</v>
      </c>
      <c r="I885" s="12">
        <v>0.02</v>
      </c>
      <c r="J885" s="12">
        <v>7.0000000000000007E-2</v>
      </c>
      <c r="K885" s="12">
        <f t="shared" si="142"/>
        <v>7.2972727272727272E-2</v>
      </c>
      <c r="L885" s="12">
        <f t="shared" si="143"/>
        <v>0.39024545454545456</v>
      </c>
      <c r="M885" s="2"/>
      <c r="N885" s="2"/>
      <c r="O885" s="2">
        <f t="shared" si="146"/>
        <v>195.12272727272727</v>
      </c>
      <c r="P885" s="2"/>
      <c r="Q885" s="2"/>
      <c r="R885" s="28">
        <v>16.666666666666668</v>
      </c>
    </row>
    <row r="886" spans="1:18" hidden="1" x14ac:dyDescent="0.25">
      <c r="A886" s="16">
        <v>45657</v>
      </c>
      <c r="B886" s="2" t="s">
        <v>152</v>
      </c>
      <c r="C886" s="2">
        <v>200</v>
      </c>
      <c r="D886" s="19">
        <v>0.12</v>
      </c>
      <c r="E886" s="11">
        <v>0.23</v>
      </c>
      <c r="F886" s="2">
        <f t="shared" si="139"/>
        <v>880</v>
      </c>
      <c r="G886" s="2">
        <f t="shared" si="140"/>
        <v>0.2</v>
      </c>
      <c r="H886" s="2">
        <f t="shared" si="141"/>
        <v>0.22727272727272727</v>
      </c>
      <c r="I886" s="12">
        <v>0.02</v>
      </c>
      <c r="J886" s="12">
        <v>7.0000000000000007E-2</v>
      </c>
      <c r="K886" s="12">
        <f t="shared" si="142"/>
        <v>7.2972727272727272E-2</v>
      </c>
      <c r="L886" s="12">
        <f t="shared" si="143"/>
        <v>0.39024545454545456</v>
      </c>
      <c r="M886" s="2"/>
      <c r="N886" s="2"/>
      <c r="O886" s="2">
        <f t="shared" si="146"/>
        <v>195.12272727272727</v>
      </c>
      <c r="P886" s="2"/>
      <c r="Q886" s="2"/>
      <c r="R886" s="28">
        <v>16.666666666666668</v>
      </c>
    </row>
    <row r="887" spans="1:18" hidden="1" x14ac:dyDescent="0.25">
      <c r="A887" s="16">
        <v>45657</v>
      </c>
      <c r="B887" s="2" t="s">
        <v>204</v>
      </c>
      <c r="C887" s="2">
        <v>700</v>
      </c>
      <c r="D887" s="19">
        <v>0.39</v>
      </c>
      <c r="E887" s="11">
        <v>0.20499999999999999</v>
      </c>
      <c r="F887" s="2">
        <f t="shared" si="139"/>
        <v>610</v>
      </c>
      <c r="G887" s="2">
        <f t="shared" si="140"/>
        <v>0.7</v>
      </c>
      <c r="H887" s="2">
        <f t="shared" si="141"/>
        <v>1.1475409836065573</v>
      </c>
      <c r="I887" s="12">
        <v>0.02</v>
      </c>
      <c r="J887" s="12">
        <v>7.0000000000000007E-2</v>
      </c>
      <c r="K887" s="12">
        <f t="shared" si="142"/>
        <v>0.25369590163934425</v>
      </c>
      <c r="L887" s="12">
        <f t="shared" si="143"/>
        <v>1.4912368852459017</v>
      </c>
      <c r="M887" s="2"/>
      <c r="N887" s="2"/>
      <c r="O887" s="2">
        <f t="shared" si="146"/>
        <v>745.61844262295085</v>
      </c>
      <c r="P887" s="2"/>
      <c r="Q887" s="2"/>
      <c r="R887" s="28">
        <v>16.666666666666668</v>
      </c>
    </row>
    <row r="888" spans="1:18" hidden="1" x14ac:dyDescent="0.25">
      <c r="A888" s="16">
        <v>45657</v>
      </c>
      <c r="B888" s="2" t="s">
        <v>205</v>
      </c>
      <c r="C888" s="2">
        <v>700</v>
      </c>
      <c r="D888" s="19">
        <v>0.39</v>
      </c>
      <c r="E888" s="11">
        <v>0.27900000000000003</v>
      </c>
      <c r="F888" s="2">
        <f t="shared" si="139"/>
        <v>610</v>
      </c>
      <c r="G888" s="2">
        <f t="shared" si="140"/>
        <v>0.7</v>
      </c>
      <c r="H888" s="2">
        <f t="shared" si="141"/>
        <v>1.1475409836065573</v>
      </c>
      <c r="I888" s="12">
        <v>0.02</v>
      </c>
      <c r="J888" s="12">
        <v>7.0000000000000007E-2</v>
      </c>
      <c r="K888" s="12">
        <f t="shared" si="142"/>
        <v>0.34527393442622956</v>
      </c>
      <c r="L888" s="12">
        <f t="shared" si="143"/>
        <v>1.5828149180327871</v>
      </c>
      <c r="M888" s="2">
        <f>L888*250</f>
        <v>395.70372950819677</v>
      </c>
      <c r="N888" s="2"/>
      <c r="O888" s="2">
        <f t="shared" si="146"/>
        <v>791.40745901639355</v>
      </c>
      <c r="P888" s="2"/>
      <c r="Q888" s="2"/>
      <c r="R888" s="28">
        <v>16.666666666666668</v>
      </c>
    </row>
    <row r="889" spans="1:18" hidden="1" x14ac:dyDescent="0.25">
      <c r="A889" s="16">
        <v>45657</v>
      </c>
      <c r="B889" s="2" t="s">
        <v>138</v>
      </c>
      <c r="C889" s="2">
        <v>430</v>
      </c>
      <c r="D889" s="19">
        <v>0.6</v>
      </c>
      <c r="E889" s="11">
        <v>0.35399999999999998</v>
      </c>
      <c r="F889" s="2">
        <f t="shared" si="139"/>
        <v>400</v>
      </c>
      <c r="G889" s="2">
        <f t="shared" si="140"/>
        <v>0.43</v>
      </c>
      <c r="H889" s="2">
        <f t="shared" si="141"/>
        <v>1.075</v>
      </c>
      <c r="I889" s="12">
        <v>0.02</v>
      </c>
      <c r="J889" s="12">
        <v>7.0000000000000007E-2</v>
      </c>
      <c r="K889" s="12">
        <f t="shared" si="142"/>
        <v>0.41241</v>
      </c>
      <c r="L889" s="12">
        <f t="shared" si="143"/>
        <v>1.57741</v>
      </c>
      <c r="M889" s="2">
        <f>L889*250</f>
        <v>394.35250000000002</v>
      </c>
      <c r="N889" s="2"/>
      <c r="O889" s="2"/>
      <c r="P889" s="2"/>
      <c r="Q889" s="2"/>
      <c r="R889" s="28">
        <v>16.666666666666668</v>
      </c>
    </row>
    <row r="890" spans="1:18" hidden="1" x14ac:dyDescent="0.25">
      <c r="A890" s="16">
        <v>45657</v>
      </c>
      <c r="B890" s="2" t="s">
        <v>143</v>
      </c>
      <c r="C890" s="2">
        <v>430</v>
      </c>
      <c r="D890" s="19">
        <v>0.6</v>
      </c>
      <c r="E890" s="11">
        <v>0.36499999999999999</v>
      </c>
      <c r="F890" s="2">
        <f t="shared" si="139"/>
        <v>400</v>
      </c>
      <c r="G890" s="2">
        <f t="shared" si="140"/>
        <v>0.43</v>
      </c>
      <c r="H890" s="2">
        <f t="shared" si="141"/>
        <v>1.075</v>
      </c>
      <c r="I890" s="12">
        <v>0.02</v>
      </c>
      <c r="J890" s="12">
        <v>7.0000000000000007E-2</v>
      </c>
      <c r="K890" s="12">
        <f t="shared" si="142"/>
        <v>0.42522500000000002</v>
      </c>
      <c r="L890" s="12">
        <f t="shared" si="143"/>
        <v>1.590225</v>
      </c>
      <c r="M890" s="2"/>
      <c r="N890" s="2"/>
      <c r="O890" s="2">
        <f>L890*500</f>
        <v>795.11249999999995</v>
      </c>
      <c r="P890" s="2"/>
      <c r="Q890" s="2"/>
      <c r="R890" s="28">
        <v>16.666666666666668</v>
      </c>
    </row>
    <row r="891" spans="1:18" hidden="1" x14ac:dyDescent="0.25">
      <c r="A891" s="16">
        <v>45657</v>
      </c>
      <c r="B891" s="2" t="s">
        <v>111</v>
      </c>
      <c r="C891" s="2">
        <v>650</v>
      </c>
      <c r="D891" s="19">
        <v>0.34</v>
      </c>
      <c r="E891" s="11">
        <v>0.21</v>
      </c>
      <c r="F891" s="2">
        <f t="shared" si="139"/>
        <v>660</v>
      </c>
      <c r="G891" s="2">
        <f t="shared" si="140"/>
        <v>0.65</v>
      </c>
      <c r="H891" s="2">
        <f t="shared" si="141"/>
        <v>0.98484848484848486</v>
      </c>
      <c r="I891" s="12">
        <v>0.02</v>
      </c>
      <c r="J891" s="12">
        <v>7.0000000000000007E-2</v>
      </c>
      <c r="K891" s="12">
        <f t="shared" si="142"/>
        <v>0.22571818181818182</v>
      </c>
      <c r="L891" s="12">
        <f t="shared" si="143"/>
        <v>1.3005666666666666</v>
      </c>
      <c r="M891" s="2">
        <f>L891*250</f>
        <v>325.14166666666665</v>
      </c>
      <c r="N891" s="2"/>
      <c r="O891" s="2"/>
      <c r="P891" s="2"/>
      <c r="Q891" s="2"/>
      <c r="R891" s="28">
        <v>16.666666666666668</v>
      </c>
    </row>
    <row r="892" spans="1:18" hidden="1" x14ac:dyDescent="0.25">
      <c r="A892" s="16">
        <v>45657</v>
      </c>
      <c r="B892" s="2" t="s">
        <v>190</v>
      </c>
      <c r="C892" s="2">
        <v>650</v>
      </c>
      <c r="D892" s="19">
        <v>0.34</v>
      </c>
      <c r="E892" s="11">
        <v>0.29499999999999998</v>
      </c>
      <c r="F892" s="2">
        <f t="shared" si="139"/>
        <v>660</v>
      </c>
      <c r="G892" s="2">
        <f t="shared" si="140"/>
        <v>0.65</v>
      </c>
      <c r="H892" s="2">
        <f t="shared" si="141"/>
        <v>0.98484848484848486</v>
      </c>
      <c r="I892" s="12">
        <v>0.02</v>
      </c>
      <c r="J892" s="12">
        <v>7.0000000000000007E-2</v>
      </c>
      <c r="K892" s="12">
        <f t="shared" si="142"/>
        <v>0.31708030303030305</v>
      </c>
      <c r="L892" s="12">
        <f t="shared" si="143"/>
        <v>1.391928787878788</v>
      </c>
      <c r="M892" s="2"/>
      <c r="N892" s="2"/>
      <c r="O892" s="2">
        <f t="shared" ref="O892:O898" si="147">L892*500</f>
        <v>695.96439393939397</v>
      </c>
      <c r="P892" s="2"/>
      <c r="Q892" s="2"/>
      <c r="R892" s="28">
        <v>16.666666666666668</v>
      </c>
    </row>
    <row r="893" spans="1:18" hidden="1" x14ac:dyDescent="0.25">
      <c r="A893" s="16">
        <v>45657</v>
      </c>
      <c r="B893" s="2" t="s">
        <v>160</v>
      </c>
      <c r="C893" s="2">
        <v>650</v>
      </c>
      <c r="D893" s="19">
        <v>0.34</v>
      </c>
      <c r="E893" s="11">
        <v>0.38700000000000001</v>
      </c>
      <c r="F893" s="2">
        <f t="shared" si="139"/>
        <v>660</v>
      </c>
      <c r="G893" s="2">
        <f t="shared" si="140"/>
        <v>0.65</v>
      </c>
      <c r="H893" s="2">
        <f t="shared" si="141"/>
        <v>0.98484848484848486</v>
      </c>
      <c r="I893" s="12">
        <v>0.02</v>
      </c>
      <c r="J893" s="12">
        <v>7.0000000000000007E-2</v>
      </c>
      <c r="K893" s="12">
        <f t="shared" si="142"/>
        <v>0.41596636363636369</v>
      </c>
      <c r="L893" s="12">
        <f t="shared" si="143"/>
        <v>1.4908148484848487</v>
      </c>
      <c r="M893" s="2"/>
      <c r="N893" s="2"/>
      <c r="O893" s="2">
        <f t="shared" si="147"/>
        <v>745.40742424242433</v>
      </c>
      <c r="P893" s="2"/>
      <c r="Q893" s="2"/>
      <c r="R893" s="28">
        <v>16.666666666666668</v>
      </c>
    </row>
    <row r="894" spans="1:18" hidden="1" x14ac:dyDescent="0.25">
      <c r="A894" s="16">
        <v>45657</v>
      </c>
      <c r="B894" s="2" t="s">
        <v>90</v>
      </c>
      <c r="C894" s="2">
        <v>440</v>
      </c>
      <c r="D894" s="19">
        <v>0</v>
      </c>
      <c r="E894" s="11">
        <v>0.23</v>
      </c>
      <c r="F894" s="2">
        <f t="shared" si="139"/>
        <v>1000</v>
      </c>
      <c r="G894" s="2">
        <f t="shared" si="140"/>
        <v>0.44</v>
      </c>
      <c r="H894" s="2">
        <f t="shared" si="141"/>
        <v>0.44</v>
      </c>
      <c r="I894" s="12">
        <v>0.02</v>
      </c>
      <c r="J894" s="12">
        <v>7.0000000000000007E-2</v>
      </c>
      <c r="K894" s="12">
        <f t="shared" si="142"/>
        <v>0.12190000000000001</v>
      </c>
      <c r="L894" s="12">
        <f t="shared" si="143"/>
        <v>0.65190000000000003</v>
      </c>
      <c r="M894" s="2"/>
      <c r="N894" s="2"/>
      <c r="O894" s="2">
        <f t="shared" si="147"/>
        <v>325.95000000000005</v>
      </c>
      <c r="P894" s="2"/>
      <c r="Q894" s="2"/>
      <c r="R894" s="28">
        <v>16.666666666666668</v>
      </c>
    </row>
    <row r="895" spans="1:18" hidden="1" x14ac:dyDescent="0.25">
      <c r="A895" s="16">
        <v>45657</v>
      </c>
      <c r="B895" s="2" t="s">
        <v>91</v>
      </c>
      <c r="C895" s="2">
        <v>440</v>
      </c>
      <c r="D895" s="19">
        <v>0</v>
      </c>
      <c r="E895" s="11">
        <v>0.23</v>
      </c>
      <c r="F895" s="2">
        <f t="shared" si="139"/>
        <v>1000</v>
      </c>
      <c r="G895" s="2">
        <f t="shared" si="140"/>
        <v>0.44</v>
      </c>
      <c r="H895" s="2">
        <f t="shared" si="141"/>
        <v>0.44</v>
      </c>
      <c r="I895" s="12">
        <v>0.02</v>
      </c>
      <c r="J895" s="12">
        <v>7.0000000000000007E-2</v>
      </c>
      <c r="K895" s="12">
        <f t="shared" si="142"/>
        <v>0.12190000000000001</v>
      </c>
      <c r="L895" s="12">
        <f t="shared" si="143"/>
        <v>0.65190000000000003</v>
      </c>
      <c r="M895" s="2"/>
      <c r="N895" s="2"/>
      <c r="O895" s="2">
        <f t="shared" si="147"/>
        <v>325.95000000000005</v>
      </c>
      <c r="P895" s="2"/>
      <c r="Q895" s="2"/>
      <c r="R895" s="28">
        <v>16.666666666666668</v>
      </c>
    </row>
    <row r="896" spans="1:18" hidden="1" x14ac:dyDescent="0.25">
      <c r="A896" s="16">
        <v>45657</v>
      </c>
      <c r="B896" s="2" t="s">
        <v>192</v>
      </c>
      <c r="C896" s="2">
        <v>440</v>
      </c>
      <c r="D896" s="19">
        <v>0</v>
      </c>
      <c r="E896" s="11">
        <v>0.30199999999999999</v>
      </c>
      <c r="F896" s="2">
        <f t="shared" si="139"/>
        <v>1000</v>
      </c>
      <c r="G896" s="2">
        <f t="shared" si="140"/>
        <v>0.44</v>
      </c>
      <c r="H896" s="2">
        <f t="shared" si="141"/>
        <v>0.44</v>
      </c>
      <c r="I896" s="12">
        <v>0.02</v>
      </c>
      <c r="J896" s="12">
        <v>7.0000000000000007E-2</v>
      </c>
      <c r="K896" s="12">
        <f t="shared" si="142"/>
        <v>0.16006000000000001</v>
      </c>
      <c r="L896" s="12">
        <f t="shared" si="143"/>
        <v>0.69006000000000001</v>
      </c>
      <c r="M896" s="2"/>
      <c r="N896" s="2"/>
      <c r="O896" s="2">
        <f t="shared" si="147"/>
        <v>345.03000000000003</v>
      </c>
      <c r="P896" s="2"/>
      <c r="Q896" s="2"/>
      <c r="R896" s="28">
        <v>16.666666666666668</v>
      </c>
    </row>
    <row r="897" spans="1:18" hidden="1" x14ac:dyDescent="0.25">
      <c r="A897" s="16">
        <v>45657</v>
      </c>
      <c r="B897" s="2" t="s">
        <v>93</v>
      </c>
      <c r="C897" s="2">
        <v>440</v>
      </c>
      <c r="D897" s="19">
        <v>0</v>
      </c>
      <c r="E897" s="11">
        <v>0.41599999999999998</v>
      </c>
      <c r="F897" s="2">
        <f t="shared" si="139"/>
        <v>1000</v>
      </c>
      <c r="G897" s="2">
        <f t="shared" si="140"/>
        <v>0.44</v>
      </c>
      <c r="H897" s="2">
        <f t="shared" si="141"/>
        <v>0.44</v>
      </c>
      <c r="I897" s="12">
        <v>0.02</v>
      </c>
      <c r="J897" s="12">
        <v>7.0000000000000007E-2</v>
      </c>
      <c r="K897" s="12">
        <f t="shared" si="142"/>
        <v>0.22048000000000001</v>
      </c>
      <c r="L897" s="12">
        <f t="shared" si="143"/>
        <v>0.75048000000000004</v>
      </c>
      <c r="M897" s="2"/>
      <c r="N897" s="2"/>
      <c r="O897" s="2">
        <f t="shared" si="147"/>
        <v>375.24</v>
      </c>
      <c r="P897" s="2"/>
      <c r="Q897" s="2"/>
      <c r="R897" s="28">
        <v>16.666666666666668</v>
      </c>
    </row>
    <row r="898" spans="1:18" hidden="1" x14ac:dyDescent="0.25">
      <c r="A898" s="16">
        <v>45658</v>
      </c>
      <c r="B898" s="2" t="s">
        <v>112</v>
      </c>
      <c r="C898" s="2">
        <v>600</v>
      </c>
      <c r="D898" s="19">
        <v>0.3</v>
      </c>
      <c r="E898" s="11">
        <v>0.46800000000000003</v>
      </c>
      <c r="F898" s="2">
        <f t="shared" si="139"/>
        <v>700</v>
      </c>
      <c r="G898" s="2">
        <f t="shared" si="140"/>
        <v>0.6</v>
      </c>
      <c r="H898" s="2">
        <f t="shared" si="141"/>
        <v>0.8571428571428571</v>
      </c>
      <c r="I898" s="12">
        <v>0.02</v>
      </c>
      <c r="J898" s="12">
        <v>7.0000000000000007E-2</v>
      </c>
      <c r="K898" s="12">
        <f t="shared" si="142"/>
        <v>0.44326285714285713</v>
      </c>
      <c r="L898" s="12">
        <f t="shared" si="143"/>
        <v>1.3904057142857142</v>
      </c>
      <c r="M898" s="2"/>
      <c r="N898" s="2"/>
      <c r="O898" s="2">
        <f t="shared" si="147"/>
        <v>695.20285714285717</v>
      </c>
      <c r="P898" s="2"/>
      <c r="Q898" s="2"/>
      <c r="R898" s="28">
        <v>16.666666666666668</v>
      </c>
    </row>
    <row r="899" spans="1:18" hidden="1" x14ac:dyDescent="0.25">
      <c r="A899" s="16">
        <v>45658</v>
      </c>
      <c r="B899" s="2" t="s">
        <v>111</v>
      </c>
      <c r="C899" s="2">
        <v>600</v>
      </c>
      <c r="D899" s="19">
        <v>0.3</v>
      </c>
      <c r="E899" s="11">
        <v>0.46</v>
      </c>
      <c r="F899" s="2">
        <f t="shared" si="139"/>
        <v>700</v>
      </c>
      <c r="G899" s="2">
        <f t="shared" si="140"/>
        <v>0.6</v>
      </c>
      <c r="H899" s="2">
        <f t="shared" si="141"/>
        <v>0.8571428571428571</v>
      </c>
      <c r="I899" s="12">
        <v>0.02</v>
      </c>
      <c r="J899" s="12">
        <v>7.0000000000000007E-2</v>
      </c>
      <c r="K899" s="12">
        <f t="shared" si="142"/>
        <v>0.43568571428571429</v>
      </c>
      <c r="L899" s="12">
        <f t="shared" si="143"/>
        <v>1.3828285714285713</v>
      </c>
      <c r="M899" s="2">
        <f>L899*250</f>
        <v>345.7071428571428</v>
      </c>
      <c r="N899" s="2"/>
      <c r="O899" s="2"/>
      <c r="P899" s="2"/>
      <c r="Q899" s="2"/>
      <c r="R899" s="28">
        <v>16.666666666666668</v>
      </c>
    </row>
    <row r="900" spans="1:18" hidden="1" x14ac:dyDescent="0.25">
      <c r="A900" s="16">
        <v>45658</v>
      </c>
      <c r="B900" s="2" t="s">
        <v>92</v>
      </c>
      <c r="C900" s="2">
        <v>530</v>
      </c>
      <c r="D900" s="19">
        <v>0.01</v>
      </c>
      <c r="E900" s="11">
        <v>0.04</v>
      </c>
      <c r="F900" s="2">
        <f t="shared" si="139"/>
        <v>990</v>
      </c>
      <c r="G900" s="2">
        <f t="shared" si="140"/>
        <v>0.53</v>
      </c>
      <c r="H900" s="2">
        <f t="shared" si="141"/>
        <v>0.53535353535353536</v>
      </c>
      <c r="I900" s="12">
        <v>0.02</v>
      </c>
      <c r="J900" s="12">
        <v>7.0000000000000007E-2</v>
      </c>
      <c r="K900" s="12">
        <f t="shared" si="142"/>
        <v>2.5014141414141412E-2</v>
      </c>
      <c r="L900" s="12">
        <f t="shared" si="143"/>
        <v>0.65036767676767671</v>
      </c>
      <c r="M900" s="2"/>
      <c r="N900" s="2"/>
      <c r="O900" s="2">
        <f t="shared" ref="O900:O905" si="148">L900*500</f>
        <v>325.18383838383835</v>
      </c>
      <c r="P900" s="2"/>
      <c r="Q900" s="2"/>
      <c r="R900" s="28">
        <v>16.666666666666668</v>
      </c>
    </row>
    <row r="901" spans="1:18" hidden="1" x14ac:dyDescent="0.25">
      <c r="A901" s="16">
        <v>45658</v>
      </c>
      <c r="B901" s="10" t="s">
        <v>197</v>
      </c>
      <c r="C901" s="2">
        <v>470</v>
      </c>
      <c r="D901" s="19">
        <v>7.0000000000000007E-2</v>
      </c>
      <c r="E901" s="11">
        <v>0.16</v>
      </c>
      <c r="F901" s="2">
        <f t="shared" si="139"/>
        <v>930</v>
      </c>
      <c r="G901" s="2">
        <f t="shared" si="140"/>
        <v>0.47</v>
      </c>
      <c r="H901" s="2">
        <f t="shared" si="141"/>
        <v>0.5053763440860215</v>
      </c>
      <c r="I901" s="12">
        <v>0.02</v>
      </c>
      <c r="J901" s="12">
        <v>7.0000000000000007E-2</v>
      </c>
      <c r="K901" s="12">
        <f t="shared" si="142"/>
        <v>9.5260215053763461E-2</v>
      </c>
      <c r="L901" s="12">
        <f t="shared" si="143"/>
        <v>0.69063655913978506</v>
      </c>
      <c r="M901" s="2"/>
      <c r="N901" s="2"/>
      <c r="O901" s="2">
        <f t="shared" si="148"/>
        <v>345.31827956989252</v>
      </c>
      <c r="P901" s="2"/>
      <c r="Q901" s="2"/>
      <c r="R901" s="28">
        <v>16.666666666666668</v>
      </c>
    </row>
    <row r="902" spans="1:18" hidden="1" x14ac:dyDescent="0.25">
      <c r="A902" s="16">
        <v>45658</v>
      </c>
      <c r="B902" s="2" t="s">
        <v>196</v>
      </c>
      <c r="C902" s="2">
        <v>470</v>
      </c>
      <c r="D902" s="19">
        <v>7.0000000000000007E-2</v>
      </c>
      <c r="E902" s="11">
        <v>0.16</v>
      </c>
      <c r="F902" s="2">
        <f t="shared" si="139"/>
        <v>930</v>
      </c>
      <c r="G902" s="2">
        <f t="shared" si="140"/>
        <v>0.47</v>
      </c>
      <c r="H902" s="2">
        <f t="shared" si="141"/>
        <v>0.5053763440860215</v>
      </c>
      <c r="I902" s="12">
        <v>0.02</v>
      </c>
      <c r="J902" s="12">
        <v>7.0000000000000007E-2</v>
      </c>
      <c r="K902" s="12">
        <f t="shared" si="142"/>
        <v>9.5260215053763461E-2</v>
      </c>
      <c r="L902" s="12">
        <f t="shared" si="143"/>
        <v>0.69063655913978506</v>
      </c>
      <c r="M902" s="2"/>
      <c r="N902" s="2"/>
      <c r="O902" s="2">
        <f t="shared" si="148"/>
        <v>345.31827956989252</v>
      </c>
      <c r="P902" s="2"/>
      <c r="Q902" s="2"/>
      <c r="R902" s="28">
        <v>16.666666666666668</v>
      </c>
    </row>
    <row r="903" spans="1:18" hidden="1" x14ac:dyDescent="0.25">
      <c r="A903" s="16">
        <v>45658</v>
      </c>
      <c r="B903" s="2" t="s">
        <v>90</v>
      </c>
      <c r="C903" s="2">
        <v>430</v>
      </c>
      <c r="D903" s="19">
        <v>0.2</v>
      </c>
      <c r="E903" s="11">
        <v>3.5999999999999997E-2</v>
      </c>
      <c r="F903" s="2">
        <f t="shared" ref="F903:F966" si="149">1000-1000*D903</f>
        <v>800</v>
      </c>
      <c r="G903" s="2">
        <f t="shared" ref="G903:G966" si="150">C903/1000</f>
        <v>0.43</v>
      </c>
      <c r="H903" s="2">
        <f t="shared" ref="H903:H966" si="151">C903/F903</f>
        <v>0.53749999999999998</v>
      </c>
      <c r="I903" s="12">
        <v>0.02</v>
      </c>
      <c r="J903" s="12">
        <v>7.0000000000000007E-2</v>
      </c>
      <c r="K903" s="12">
        <f t="shared" ref="K903:K966" si="152">SUM(H903:J903)*E903</f>
        <v>2.2589999999999996E-2</v>
      </c>
      <c r="L903" s="12">
        <f t="shared" ref="L903:L966" si="153">SUM(H903:K903)</f>
        <v>0.65008999999999995</v>
      </c>
      <c r="M903" s="2"/>
      <c r="N903" s="2"/>
      <c r="O903" s="2">
        <f t="shared" si="148"/>
        <v>325.04499999999996</v>
      </c>
      <c r="P903" s="2"/>
      <c r="Q903" s="2"/>
      <c r="R903" s="28">
        <v>16.666666666666668</v>
      </c>
    </row>
    <row r="904" spans="1:18" hidden="1" x14ac:dyDescent="0.25">
      <c r="A904" s="16">
        <v>45658</v>
      </c>
      <c r="B904" s="2" t="s">
        <v>91</v>
      </c>
      <c r="C904" s="2">
        <v>430</v>
      </c>
      <c r="D904" s="19">
        <v>0.2</v>
      </c>
      <c r="E904" s="11">
        <v>3.5999999999999997E-2</v>
      </c>
      <c r="F904" s="2">
        <f t="shared" si="149"/>
        <v>800</v>
      </c>
      <c r="G904" s="2">
        <f t="shared" si="150"/>
        <v>0.43</v>
      </c>
      <c r="H904" s="2">
        <f t="shared" si="151"/>
        <v>0.53749999999999998</v>
      </c>
      <c r="I904" s="12">
        <v>0.02</v>
      </c>
      <c r="J904" s="12">
        <v>7.0000000000000007E-2</v>
      </c>
      <c r="K904" s="12">
        <f t="shared" si="152"/>
        <v>2.2589999999999996E-2</v>
      </c>
      <c r="L904" s="12">
        <f t="shared" si="153"/>
        <v>0.65008999999999995</v>
      </c>
      <c r="M904" s="2"/>
      <c r="N904" s="2"/>
      <c r="O904" s="2">
        <f t="shared" si="148"/>
        <v>325.04499999999996</v>
      </c>
      <c r="P904" s="2"/>
      <c r="Q904" s="2"/>
      <c r="R904" s="28">
        <v>16.666666666666668</v>
      </c>
    </row>
    <row r="905" spans="1:18" hidden="1" x14ac:dyDescent="0.25">
      <c r="A905" s="16">
        <v>45658</v>
      </c>
      <c r="B905" s="2" t="s">
        <v>143</v>
      </c>
      <c r="C905" s="2">
        <v>450</v>
      </c>
      <c r="D905" s="19">
        <v>0.51</v>
      </c>
      <c r="E905" s="11">
        <v>0.57799999999999996</v>
      </c>
      <c r="F905" s="2">
        <f t="shared" si="149"/>
        <v>490</v>
      </c>
      <c r="G905" s="2">
        <f t="shared" si="150"/>
        <v>0.45</v>
      </c>
      <c r="H905" s="2">
        <f t="shared" si="151"/>
        <v>0.91836734693877553</v>
      </c>
      <c r="I905" s="12">
        <v>0.02</v>
      </c>
      <c r="J905" s="12">
        <v>7.0000000000000007E-2</v>
      </c>
      <c r="K905" s="12">
        <f t="shared" si="152"/>
        <v>0.58283632653061224</v>
      </c>
      <c r="L905" s="12">
        <f t="shared" si="153"/>
        <v>1.5912036734693877</v>
      </c>
      <c r="M905" s="2"/>
      <c r="N905" s="2"/>
      <c r="O905" s="2">
        <f t="shared" si="148"/>
        <v>795.60183673469385</v>
      </c>
      <c r="P905" s="2"/>
      <c r="Q905" s="2"/>
      <c r="R905" s="28">
        <v>16.666666666666668</v>
      </c>
    </row>
    <row r="906" spans="1:18" hidden="1" x14ac:dyDescent="0.25">
      <c r="A906" s="16">
        <v>45658</v>
      </c>
      <c r="B906" s="2" t="s">
        <v>138</v>
      </c>
      <c r="C906" s="2">
        <v>450</v>
      </c>
      <c r="D906" s="19">
        <v>0.51</v>
      </c>
      <c r="E906" s="11">
        <v>0.56999999999999995</v>
      </c>
      <c r="F906" s="2">
        <f t="shared" si="149"/>
        <v>490</v>
      </c>
      <c r="G906" s="2">
        <f t="shared" si="150"/>
        <v>0.45</v>
      </c>
      <c r="H906" s="2">
        <f t="shared" si="151"/>
        <v>0.91836734693877553</v>
      </c>
      <c r="I906" s="12">
        <v>0.02</v>
      </c>
      <c r="J906" s="12">
        <v>7.0000000000000007E-2</v>
      </c>
      <c r="K906" s="12">
        <f t="shared" si="152"/>
        <v>0.574769387755102</v>
      </c>
      <c r="L906" s="12">
        <f t="shared" si="153"/>
        <v>1.5831367346938774</v>
      </c>
      <c r="M906" s="2">
        <f>L906*250</f>
        <v>395.78418367346933</v>
      </c>
      <c r="N906" s="2"/>
      <c r="O906" s="2"/>
      <c r="P906" s="2"/>
      <c r="Q906" s="2"/>
      <c r="R906" s="28">
        <v>16.666666666666668</v>
      </c>
    </row>
    <row r="907" spans="1:18" hidden="1" x14ac:dyDescent="0.25">
      <c r="A907" s="16">
        <v>45658</v>
      </c>
      <c r="B907" s="2" t="s">
        <v>205</v>
      </c>
      <c r="C907" s="2">
        <v>720</v>
      </c>
      <c r="D907" s="19">
        <v>0.42</v>
      </c>
      <c r="E907" s="11">
        <v>3.6999999999999998E-2</v>
      </c>
      <c r="F907" s="2">
        <f t="shared" si="149"/>
        <v>580</v>
      </c>
      <c r="G907" s="2">
        <f t="shared" si="150"/>
        <v>0.72</v>
      </c>
      <c r="H907" s="2">
        <f t="shared" si="151"/>
        <v>1.2413793103448276</v>
      </c>
      <c r="I907" s="12">
        <v>0.02</v>
      </c>
      <c r="J907" s="12">
        <v>7.0000000000000007E-2</v>
      </c>
      <c r="K907" s="12">
        <f t="shared" si="152"/>
        <v>4.926103448275862E-2</v>
      </c>
      <c r="L907" s="12">
        <f t="shared" si="153"/>
        <v>1.3806403448275864</v>
      </c>
      <c r="M907" s="2">
        <f>L907*250</f>
        <v>345.16008620689661</v>
      </c>
      <c r="N907" s="2"/>
      <c r="O907" s="2"/>
      <c r="P907" s="2"/>
      <c r="Q907" s="2"/>
      <c r="R907" s="28">
        <v>16.666666666666668</v>
      </c>
    </row>
    <row r="908" spans="1:18" hidden="1" x14ac:dyDescent="0.25">
      <c r="A908" s="16">
        <v>45658</v>
      </c>
      <c r="B908" s="2" t="s">
        <v>118</v>
      </c>
      <c r="C908" s="2">
        <v>300</v>
      </c>
      <c r="D908" s="19">
        <v>0.43</v>
      </c>
      <c r="E908" s="11">
        <v>0.14000000000000001</v>
      </c>
      <c r="F908" s="2">
        <f t="shared" si="149"/>
        <v>570</v>
      </c>
      <c r="G908" s="2">
        <f t="shared" si="150"/>
        <v>0.3</v>
      </c>
      <c r="H908" s="2">
        <f t="shared" si="151"/>
        <v>0.52631578947368418</v>
      </c>
      <c r="I908" s="12">
        <v>0.02</v>
      </c>
      <c r="J908" s="12">
        <v>7.0000000000000007E-2</v>
      </c>
      <c r="K908" s="12">
        <f t="shared" si="152"/>
        <v>8.6284210526315783E-2</v>
      </c>
      <c r="L908" s="12">
        <f t="shared" si="153"/>
        <v>0.70259999999999989</v>
      </c>
      <c r="M908" s="2">
        <f>L908*250</f>
        <v>175.64999999999998</v>
      </c>
      <c r="N908" s="2"/>
      <c r="O908" s="2"/>
      <c r="P908" s="2"/>
      <c r="Q908" s="2"/>
      <c r="R908" s="28">
        <v>16.666666666666668</v>
      </c>
    </row>
    <row r="909" spans="1:18" hidden="1" x14ac:dyDescent="0.25">
      <c r="A909" s="16">
        <v>45659</v>
      </c>
      <c r="B909" s="2" t="s">
        <v>126</v>
      </c>
      <c r="C909" s="2">
        <v>580</v>
      </c>
      <c r="D909" s="19">
        <v>0</v>
      </c>
      <c r="E909" s="11">
        <v>0.12</v>
      </c>
      <c r="F909" s="2">
        <f t="shared" si="149"/>
        <v>1000</v>
      </c>
      <c r="G909" s="2">
        <f t="shared" si="150"/>
        <v>0.57999999999999996</v>
      </c>
      <c r="H909" s="2">
        <f t="shared" si="151"/>
        <v>0.57999999999999996</v>
      </c>
      <c r="I909" s="12">
        <v>0.02</v>
      </c>
      <c r="J909" s="12">
        <v>7.0000000000000007E-2</v>
      </c>
      <c r="K909" s="12">
        <f t="shared" si="152"/>
        <v>8.0399999999999985E-2</v>
      </c>
      <c r="L909" s="12">
        <f t="shared" si="153"/>
        <v>0.75039999999999996</v>
      </c>
      <c r="M909" s="2"/>
      <c r="N909" s="2"/>
      <c r="O909" s="2">
        <f t="shared" ref="O909:O915" si="154">L909*500</f>
        <v>375.2</v>
      </c>
      <c r="P909" s="2"/>
      <c r="Q909" s="2"/>
      <c r="R909" s="28">
        <v>16.666666666666668</v>
      </c>
    </row>
    <row r="910" spans="1:18" hidden="1" x14ac:dyDescent="0.25">
      <c r="A910" s="16">
        <v>45659</v>
      </c>
      <c r="B910" s="2" t="s">
        <v>94</v>
      </c>
      <c r="C910" s="2">
        <v>190</v>
      </c>
      <c r="D910" s="19">
        <v>0.13789999999999999</v>
      </c>
      <c r="E910" s="11">
        <v>0.26</v>
      </c>
      <c r="F910" s="10">
        <f t="shared" si="149"/>
        <v>862.1</v>
      </c>
      <c r="G910" s="10">
        <f t="shared" si="150"/>
        <v>0.19</v>
      </c>
      <c r="H910" s="12">
        <f t="shared" si="151"/>
        <v>0.22039206588562812</v>
      </c>
      <c r="I910" s="12">
        <v>0.02</v>
      </c>
      <c r="J910" s="12">
        <v>7.0000000000000007E-2</v>
      </c>
      <c r="K910" s="12">
        <f t="shared" si="152"/>
        <v>8.0701937130263315E-2</v>
      </c>
      <c r="L910" s="12">
        <f t="shared" si="153"/>
        <v>0.39109400301589142</v>
      </c>
      <c r="M910" s="2"/>
      <c r="N910" s="2"/>
      <c r="O910" s="2">
        <f t="shared" si="154"/>
        <v>195.54700150794571</v>
      </c>
      <c r="P910" s="2"/>
      <c r="Q910" s="2"/>
      <c r="R910" s="28">
        <v>16.666666666666668</v>
      </c>
    </row>
    <row r="911" spans="1:18" hidden="1" x14ac:dyDescent="0.25">
      <c r="A911" s="16">
        <v>45659</v>
      </c>
      <c r="B911" s="2" t="s">
        <v>95</v>
      </c>
      <c r="C911" s="2">
        <v>190</v>
      </c>
      <c r="D911" s="19">
        <v>0.13789999999999999</v>
      </c>
      <c r="E911" s="11">
        <v>0.26</v>
      </c>
      <c r="F911" s="10">
        <f t="shared" si="149"/>
        <v>862.1</v>
      </c>
      <c r="G911" s="10">
        <f t="shared" si="150"/>
        <v>0.19</v>
      </c>
      <c r="H911" s="12">
        <f t="shared" si="151"/>
        <v>0.22039206588562812</v>
      </c>
      <c r="I911" s="12">
        <v>0.02</v>
      </c>
      <c r="J911" s="12">
        <v>7.0000000000000007E-2</v>
      </c>
      <c r="K911" s="12">
        <f t="shared" si="152"/>
        <v>8.0701937130263315E-2</v>
      </c>
      <c r="L911" s="12">
        <f t="shared" si="153"/>
        <v>0.39109400301589142</v>
      </c>
      <c r="M911" s="2"/>
      <c r="N911" s="2"/>
      <c r="O911" s="2">
        <f t="shared" si="154"/>
        <v>195.54700150794571</v>
      </c>
      <c r="P911" s="2"/>
      <c r="Q911" s="2"/>
      <c r="R911" s="28">
        <v>16.666666666666668</v>
      </c>
    </row>
    <row r="912" spans="1:18" hidden="1" x14ac:dyDescent="0.25">
      <c r="A912" s="16">
        <v>45659</v>
      </c>
      <c r="B912" s="2" t="s">
        <v>90</v>
      </c>
      <c r="C912" s="2">
        <v>430</v>
      </c>
      <c r="D912" s="19">
        <v>0</v>
      </c>
      <c r="E912" s="11">
        <v>0.25</v>
      </c>
      <c r="F912" s="2">
        <f t="shared" si="149"/>
        <v>1000</v>
      </c>
      <c r="G912" s="2">
        <f t="shared" si="150"/>
        <v>0.43</v>
      </c>
      <c r="H912" s="2">
        <f t="shared" si="151"/>
        <v>0.43</v>
      </c>
      <c r="I912" s="12">
        <v>0.02</v>
      </c>
      <c r="J912" s="12">
        <v>7.0000000000000007E-2</v>
      </c>
      <c r="K912" s="12">
        <f t="shared" si="152"/>
        <v>0.13</v>
      </c>
      <c r="L912" s="12">
        <f t="shared" si="153"/>
        <v>0.65</v>
      </c>
      <c r="M912" s="2"/>
      <c r="N912" s="2"/>
      <c r="O912" s="2">
        <f t="shared" si="154"/>
        <v>325</v>
      </c>
      <c r="P912" s="2"/>
      <c r="Q912" s="2"/>
      <c r="R912" s="28">
        <v>16.666666666666668</v>
      </c>
    </row>
    <row r="913" spans="1:18" hidden="1" x14ac:dyDescent="0.25">
      <c r="A913" s="16">
        <v>45659</v>
      </c>
      <c r="B913" s="2" t="s">
        <v>91</v>
      </c>
      <c r="C913" s="2">
        <v>430</v>
      </c>
      <c r="D913" s="19">
        <v>0</v>
      </c>
      <c r="E913" s="11">
        <v>0.25</v>
      </c>
      <c r="F913" s="2">
        <f t="shared" si="149"/>
        <v>1000</v>
      </c>
      <c r="G913" s="2">
        <f t="shared" si="150"/>
        <v>0.43</v>
      </c>
      <c r="H913" s="2">
        <f t="shared" si="151"/>
        <v>0.43</v>
      </c>
      <c r="I913" s="12">
        <v>0.02</v>
      </c>
      <c r="J913" s="12">
        <v>7.0000000000000007E-2</v>
      </c>
      <c r="K913" s="12">
        <f t="shared" si="152"/>
        <v>0.13</v>
      </c>
      <c r="L913" s="12">
        <f t="shared" si="153"/>
        <v>0.65</v>
      </c>
      <c r="M913" s="2"/>
      <c r="N913" s="2"/>
      <c r="O913" s="2">
        <f t="shared" si="154"/>
        <v>325</v>
      </c>
      <c r="P913" s="2"/>
      <c r="Q913" s="2"/>
      <c r="R913" s="28">
        <v>16.666666666666668</v>
      </c>
    </row>
    <row r="914" spans="1:18" hidden="1" x14ac:dyDescent="0.25">
      <c r="A914" s="16">
        <v>45660</v>
      </c>
      <c r="B914" s="2" t="s">
        <v>106</v>
      </c>
      <c r="C914" s="2">
        <v>180</v>
      </c>
      <c r="D914" s="19">
        <v>0</v>
      </c>
      <c r="E914" s="11">
        <v>0.45</v>
      </c>
      <c r="F914" s="2">
        <f t="shared" si="149"/>
        <v>1000</v>
      </c>
      <c r="G914" s="2">
        <f t="shared" si="150"/>
        <v>0.18</v>
      </c>
      <c r="H914" s="2">
        <f t="shared" si="151"/>
        <v>0.18</v>
      </c>
      <c r="I914" s="12">
        <v>0.02</v>
      </c>
      <c r="J914" s="12">
        <v>7.0000000000000007E-2</v>
      </c>
      <c r="K914" s="12">
        <f t="shared" si="152"/>
        <v>0.12150000000000001</v>
      </c>
      <c r="L914" s="12">
        <f t="shared" si="153"/>
        <v>0.39150000000000001</v>
      </c>
      <c r="M914" s="2"/>
      <c r="N914" s="2"/>
      <c r="O914" s="2">
        <f t="shared" si="154"/>
        <v>195.75</v>
      </c>
      <c r="P914" s="2"/>
      <c r="Q914" s="2"/>
      <c r="R914" s="28">
        <v>16.666666666666668</v>
      </c>
    </row>
    <row r="915" spans="1:18" hidden="1" x14ac:dyDescent="0.25">
      <c r="A915" s="16">
        <v>45660</v>
      </c>
      <c r="B915" s="2" t="s">
        <v>152</v>
      </c>
      <c r="C915" s="2">
        <v>180</v>
      </c>
      <c r="D915" s="19">
        <v>0</v>
      </c>
      <c r="E915" s="11">
        <v>0.45</v>
      </c>
      <c r="F915" s="2">
        <f t="shared" si="149"/>
        <v>1000</v>
      </c>
      <c r="G915" s="2">
        <f t="shared" si="150"/>
        <v>0.18</v>
      </c>
      <c r="H915" s="2">
        <f t="shared" si="151"/>
        <v>0.18</v>
      </c>
      <c r="I915" s="12">
        <v>0.02</v>
      </c>
      <c r="J915" s="12">
        <v>7.0000000000000007E-2</v>
      </c>
      <c r="K915" s="12">
        <f t="shared" si="152"/>
        <v>0.12150000000000001</v>
      </c>
      <c r="L915" s="12">
        <f t="shared" si="153"/>
        <v>0.39150000000000001</v>
      </c>
      <c r="M915" s="2"/>
      <c r="N915" s="2"/>
      <c r="O915" s="2">
        <f t="shared" si="154"/>
        <v>195.75</v>
      </c>
      <c r="P915" s="2"/>
      <c r="Q915" s="2"/>
      <c r="R915" s="28">
        <v>16.666666666666668</v>
      </c>
    </row>
    <row r="916" spans="1:18" hidden="1" x14ac:dyDescent="0.25">
      <c r="A916" s="16">
        <v>45660</v>
      </c>
      <c r="B916" s="2" t="s">
        <v>111</v>
      </c>
      <c r="C916" s="2">
        <v>600</v>
      </c>
      <c r="D916" s="19">
        <v>0.28999999999999998</v>
      </c>
      <c r="E916" s="11">
        <v>0.48</v>
      </c>
      <c r="F916" s="2">
        <f t="shared" si="149"/>
        <v>710</v>
      </c>
      <c r="G916" s="2">
        <f t="shared" si="150"/>
        <v>0.6</v>
      </c>
      <c r="H916" s="2">
        <f t="shared" si="151"/>
        <v>0.84507042253521125</v>
      </c>
      <c r="I916" s="12">
        <v>0.02</v>
      </c>
      <c r="J916" s="12">
        <v>7.0000000000000007E-2</v>
      </c>
      <c r="K916" s="12">
        <f t="shared" si="152"/>
        <v>0.44883380281690144</v>
      </c>
      <c r="L916" s="12">
        <f t="shared" si="153"/>
        <v>1.3839042253521128</v>
      </c>
      <c r="M916" s="2">
        <f>L916*250</f>
        <v>345.97605633802817</v>
      </c>
      <c r="N916" s="2"/>
      <c r="O916" s="2"/>
      <c r="P916" s="2"/>
      <c r="Q916" s="2"/>
      <c r="R916" s="28">
        <v>16.666666666666668</v>
      </c>
    </row>
    <row r="917" spans="1:18" hidden="1" x14ac:dyDescent="0.25">
      <c r="A917" s="16">
        <v>45660</v>
      </c>
      <c r="B917" s="2" t="s">
        <v>194</v>
      </c>
      <c r="C917" s="2">
        <v>600</v>
      </c>
      <c r="D917" s="19">
        <v>0.28999999999999998</v>
      </c>
      <c r="E917" s="11">
        <v>0.59499999999999997</v>
      </c>
      <c r="F917" s="2">
        <f t="shared" si="149"/>
        <v>710</v>
      </c>
      <c r="G917" s="2">
        <f t="shared" si="150"/>
        <v>0.6</v>
      </c>
      <c r="H917" s="2">
        <f t="shared" si="151"/>
        <v>0.84507042253521125</v>
      </c>
      <c r="I917" s="12">
        <v>0.02</v>
      </c>
      <c r="J917" s="12">
        <v>7.0000000000000007E-2</v>
      </c>
      <c r="K917" s="12">
        <f t="shared" si="152"/>
        <v>0.55636690140845069</v>
      </c>
      <c r="L917" s="12">
        <f t="shared" si="153"/>
        <v>1.491437323943662</v>
      </c>
      <c r="M917" s="2"/>
      <c r="N917" s="2"/>
      <c r="O917" s="2">
        <f>L917*500</f>
        <v>745.71866197183101</v>
      </c>
      <c r="P917" s="2"/>
      <c r="Q917" s="2"/>
      <c r="R917" s="28">
        <v>16.666666666666668</v>
      </c>
    </row>
    <row r="918" spans="1:18" hidden="1" x14ac:dyDescent="0.25">
      <c r="A918" s="16">
        <v>45660</v>
      </c>
      <c r="B918" s="2" t="s">
        <v>118</v>
      </c>
      <c r="C918" s="2">
        <v>270</v>
      </c>
      <c r="D918" s="19">
        <v>0.34</v>
      </c>
      <c r="E918" s="11">
        <v>0.41</v>
      </c>
      <c r="F918" s="2">
        <f t="shared" si="149"/>
        <v>660</v>
      </c>
      <c r="G918" s="2">
        <f t="shared" si="150"/>
        <v>0.27</v>
      </c>
      <c r="H918" s="2">
        <f t="shared" si="151"/>
        <v>0.40909090909090912</v>
      </c>
      <c r="I918" s="12">
        <v>0.02</v>
      </c>
      <c r="J918" s="12">
        <v>7.0000000000000007E-2</v>
      </c>
      <c r="K918" s="12">
        <f t="shared" si="152"/>
        <v>0.20462727272727274</v>
      </c>
      <c r="L918" s="12">
        <f t="shared" si="153"/>
        <v>0.70371818181818191</v>
      </c>
      <c r="M918" s="2">
        <f>L918*250</f>
        <v>175.92954545454549</v>
      </c>
      <c r="N918" s="2"/>
      <c r="O918" s="2"/>
      <c r="P918" s="2"/>
      <c r="Q918" s="2"/>
      <c r="R918" s="28">
        <v>16.666666666666668</v>
      </c>
    </row>
    <row r="919" spans="1:18" hidden="1" x14ac:dyDescent="0.25">
      <c r="A919" s="16">
        <v>45660</v>
      </c>
      <c r="B919" s="2" t="s">
        <v>162</v>
      </c>
      <c r="C919" s="2">
        <v>180</v>
      </c>
      <c r="D919" s="19">
        <v>0.21</v>
      </c>
      <c r="E919" s="11">
        <v>0.23</v>
      </c>
      <c r="F919" s="2">
        <f t="shared" si="149"/>
        <v>790</v>
      </c>
      <c r="G919" s="2">
        <f t="shared" si="150"/>
        <v>0.18</v>
      </c>
      <c r="H919" s="2">
        <f t="shared" si="151"/>
        <v>0.22784810126582278</v>
      </c>
      <c r="I919" s="12">
        <v>0.02</v>
      </c>
      <c r="J919" s="12">
        <v>7.0000000000000007E-2</v>
      </c>
      <c r="K919" s="12">
        <f t="shared" si="152"/>
        <v>7.3105063291139236E-2</v>
      </c>
      <c r="L919" s="12">
        <f t="shared" si="153"/>
        <v>0.390953164556962</v>
      </c>
      <c r="M919" s="2"/>
      <c r="N919" s="2"/>
      <c r="O919" s="2">
        <f t="shared" ref="O919:O926" si="155">L919*500</f>
        <v>195.476582278481</v>
      </c>
      <c r="P919" s="2"/>
      <c r="Q919" s="2"/>
      <c r="R919" s="28">
        <v>16.666666666666668</v>
      </c>
    </row>
    <row r="920" spans="1:18" hidden="1" x14ac:dyDescent="0.25">
      <c r="A920" s="16">
        <v>45660</v>
      </c>
      <c r="B920" s="2" t="s">
        <v>110</v>
      </c>
      <c r="C920" s="2">
        <v>120</v>
      </c>
      <c r="D920" s="19">
        <v>0.01</v>
      </c>
      <c r="E920" s="11">
        <v>0.19</v>
      </c>
      <c r="F920" s="2">
        <f t="shared" si="149"/>
        <v>990</v>
      </c>
      <c r="G920" s="2">
        <f t="shared" si="150"/>
        <v>0.12</v>
      </c>
      <c r="H920" s="2">
        <f t="shared" si="151"/>
        <v>0.12121212121212122</v>
      </c>
      <c r="I920" s="12">
        <v>0.02</v>
      </c>
      <c r="J920" s="12">
        <v>7.0000000000000007E-2</v>
      </c>
      <c r="K920" s="12">
        <f t="shared" si="152"/>
        <v>4.013030303030303E-2</v>
      </c>
      <c r="L920" s="12">
        <f t="shared" si="153"/>
        <v>0.25134242424242426</v>
      </c>
      <c r="M920" s="2"/>
      <c r="N920" s="2"/>
      <c r="O920" s="2">
        <f t="shared" si="155"/>
        <v>125.67121212121212</v>
      </c>
      <c r="P920" s="2"/>
      <c r="Q920" s="2"/>
      <c r="R920" s="28">
        <v>16.666666666666668</v>
      </c>
    </row>
    <row r="921" spans="1:18" hidden="1" x14ac:dyDescent="0.25">
      <c r="A921" s="16">
        <v>45660</v>
      </c>
      <c r="B921" s="2" t="s">
        <v>93</v>
      </c>
      <c r="C921" s="2">
        <v>470</v>
      </c>
      <c r="D921" s="19">
        <v>7.0000000000000007E-2</v>
      </c>
      <c r="E921" s="11">
        <v>0.26</v>
      </c>
      <c r="F921" s="2">
        <f t="shared" si="149"/>
        <v>930</v>
      </c>
      <c r="G921" s="2">
        <f t="shared" si="150"/>
        <v>0.47</v>
      </c>
      <c r="H921" s="2">
        <f t="shared" si="151"/>
        <v>0.5053763440860215</v>
      </c>
      <c r="I921" s="12">
        <v>0.02</v>
      </c>
      <c r="J921" s="12">
        <v>7.0000000000000007E-2</v>
      </c>
      <c r="K921" s="12">
        <f t="shared" si="152"/>
        <v>0.15479784946236561</v>
      </c>
      <c r="L921" s="12">
        <f t="shared" si="153"/>
        <v>0.75017419354838721</v>
      </c>
      <c r="M921" s="2"/>
      <c r="N921" s="2"/>
      <c r="O921" s="2">
        <f t="shared" si="155"/>
        <v>375.08709677419358</v>
      </c>
      <c r="P921" s="2"/>
      <c r="Q921" s="2"/>
      <c r="R921" s="28">
        <v>16.666666666666668</v>
      </c>
    </row>
    <row r="922" spans="1:18" hidden="1" x14ac:dyDescent="0.25">
      <c r="A922" s="16">
        <v>45661</v>
      </c>
      <c r="B922" s="2" t="s">
        <v>125</v>
      </c>
      <c r="C922" s="2">
        <v>230</v>
      </c>
      <c r="D922" s="19">
        <v>0.06</v>
      </c>
      <c r="E922" s="11">
        <v>0.35</v>
      </c>
      <c r="F922" s="2">
        <f t="shared" si="149"/>
        <v>940</v>
      </c>
      <c r="G922" s="2">
        <f t="shared" si="150"/>
        <v>0.23</v>
      </c>
      <c r="H922" s="2">
        <f t="shared" si="151"/>
        <v>0.24468085106382978</v>
      </c>
      <c r="I922" s="12">
        <v>0.02</v>
      </c>
      <c r="J922" s="12">
        <v>7.0000000000000007E-2</v>
      </c>
      <c r="K922" s="12">
        <f t="shared" si="152"/>
        <v>0.11713829787234041</v>
      </c>
      <c r="L922" s="12">
        <f t="shared" si="153"/>
        <v>0.4518191489361702</v>
      </c>
      <c r="M922" s="2"/>
      <c r="N922" s="2"/>
      <c r="O922" s="2">
        <f t="shared" si="155"/>
        <v>225.90957446808511</v>
      </c>
      <c r="P922" s="2"/>
      <c r="Q922" s="2"/>
      <c r="R922" s="28">
        <v>16.666666666666668</v>
      </c>
    </row>
    <row r="923" spans="1:18" hidden="1" x14ac:dyDescent="0.25">
      <c r="A923" s="16">
        <v>45661</v>
      </c>
      <c r="B923" s="2" t="s">
        <v>106</v>
      </c>
      <c r="C923" s="2">
        <v>180</v>
      </c>
      <c r="D923" s="19">
        <v>0</v>
      </c>
      <c r="E923" s="11">
        <v>0.45</v>
      </c>
      <c r="F923" s="2">
        <f t="shared" si="149"/>
        <v>1000</v>
      </c>
      <c r="G923" s="2">
        <f t="shared" si="150"/>
        <v>0.18</v>
      </c>
      <c r="H923" s="2">
        <f t="shared" si="151"/>
        <v>0.18</v>
      </c>
      <c r="I923" s="12">
        <v>0.02</v>
      </c>
      <c r="J923" s="12">
        <v>7.0000000000000007E-2</v>
      </c>
      <c r="K923" s="12">
        <f t="shared" si="152"/>
        <v>0.12150000000000001</v>
      </c>
      <c r="L923" s="12">
        <f t="shared" si="153"/>
        <v>0.39150000000000001</v>
      </c>
      <c r="M923" s="2"/>
      <c r="N923" s="2"/>
      <c r="O923" s="2">
        <f t="shared" si="155"/>
        <v>195.75</v>
      </c>
      <c r="P923" s="2"/>
      <c r="Q923" s="2"/>
      <c r="R923" s="28">
        <v>16.666666666666668</v>
      </c>
    </row>
    <row r="924" spans="1:18" hidden="1" x14ac:dyDescent="0.25">
      <c r="A924" s="16">
        <v>45661</v>
      </c>
      <c r="B924" s="2" t="s">
        <v>152</v>
      </c>
      <c r="C924" s="2">
        <v>180</v>
      </c>
      <c r="D924" s="19">
        <v>0</v>
      </c>
      <c r="E924" s="11">
        <v>0.45</v>
      </c>
      <c r="F924" s="2">
        <f t="shared" si="149"/>
        <v>1000</v>
      </c>
      <c r="G924" s="2">
        <f t="shared" si="150"/>
        <v>0.18</v>
      </c>
      <c r="H924" s="2">
        <f t="shared" si="151"/>
        <v>0.18</v>
      </c>
      <c r="I924" s="12">
        <v>0.02</v>
      </c>
      <c r="J924" s="12">
        <v>7.0000000000000007E-2</v>
      </c>
      <c r="K924" s="12">
        <f t="shared" si="152"/>
        <v>0.12150000000000001</v>
      </c>
      <c r="L924" s="12">
        <f t="shared" si="153"/>
        <v>0.39150000000000001</v>
      </c>
      <c r="M924" s="2"/>
      <c r="N924" s="2"/>
      <c r="O924" s="2">
        <f t="shared" si="155"/>
        <v>195.75</v>
      </c>
      <c r="P924" s="2"/>
      <c r="Q924" s="2"/>
      <c r="R924" s="28">
        <v>16.666666666666668</v>
      </c>
    </row>
    <row r="925" spans="1:18" hidden="1" x14ac:dyDescent="0.25">
      <c r="A925" s="16">
        <v>45661</v>
      </c>
      <c r="B925" s="2" t="s">
        <v>94</v>
      </c>
      <c r="C925" s="2">
        <v>350</v>
      </c>
      <c r="D925" s="19">
        <v>0.12</v>
      </c>
      <c r="E925" s="11">
        <v>5.0000000000000001E-3</v>
      </c>
      <c r="F925" s="2">
        <f t="shared" si="149"/>
        <v>880</v>
      </c>
      <c r="G925" s="2">
        <f t="shared" si="150"/>
        <v>0.35</v>
      </c>
      <c r="H925" s="2">
        <f t="shared" si="151"/>
        <v>0.39772727272727271</v>
      </c>
      <c r="I925" s="12">
        <v>0.02</v>
      </c>
      <c r="J925" s="12">
        <v>7.0000000000000007E-2</v>
      </c>
      <c r="K925" s="12">
        <f t="shared" si="152"/>
        <v>2.4386363636363637E-3</v>
      </c>
      <c r="L925" s="12">
        <f t="shared" si="153"/>
        <v>0.49016590909090907</v>
      </c>
      <c r="M925" s="2"/>
      <c r="N925" s="2"/>
      <c r="O925" s="2">
        <f t="shared" si="155"/>
        <v>245.08295454545453</v>
      </c>
      <c r="P925" s="2"/>
      <c r="Q925" s="2"/>
      <c r="R925" s="28">
        <v>16.666666666666668</v>
      </c>
    </row>
    <row r="926" spans="1:18" hidden="1" x14ac:dyDescent="0.25">
      <c r="A926" s="16">
        <v>45661</v>
      </c>
      <c r="B926" s="2" t="s">
        <v>95</v>
      </c>
      <c r="C926" s="2">
        <v>350</v>
      </c>
      <c r="D926" s="19">
        <v>0.12</v>
      </c>
      <c r="E926" s="11">
        <v>5.0000000000000001E-3</v>
      </c>
      <c r="F926" s="2">
        <f t="shared" si="149"/>
        <v>880</v>
      </c>
      <c r="G926" s="2">
        <f t="shared" si="150"/>
        <v>0.35</v>
      </c>
      <c r="H926" s="2">
        <f t="shared" si="151"/>
        <v>0.39772727272727271</v>
      </c>
      <c r="I926" s="12">
        <v>0.02</v>
      </c>
      <c r="J926" s="12">
        <v>7.0000000000000007E-2</v>
      </c>
      <c r="K926" s="12">
        <f t="shared" si="152"/>
        <v>2.4386363636363637E-3</v>
      </c>
      <c r="L926" s="12">
        <f t="shared" si="153"/>
        <v>0.49016590909090907</v>
      </c>
      <c r="M926" s="2"/>
      <c r="N926" s="2"/>
      <c r="O926" s="2">
        <f t="shared" si="155"/>
        <v>245.08295454545453</v>
      </c>
      <c r="P926" s="2"/>
      <c r="Q926" s="2"/>
      <c r="R926" s="28">
        <v>16.666666666666668</v>
      </c>
    </row>
    <row r="927" spans="1:18" hidden="1" x14ac:dyDescent="0.25">
      <c r="A927" s="16">
        <v>45661</v>
      </c>
      <c r="B927" s="2" t="s">
        <v>205</v>
      </c>
      <c r="C927" s="2">
        <v>650</v>
      </c>
      <c r="D927" s="19">
        <v>0.46</v>
      </c>
      <c r="E927" s="11">
        <v>6.8000000000000005E-2</v>
      </c>
      <c r="F927" s="2">
        <f t="shared" si="149"/>
        <v>540</v>
      </c>
      <c r="G927" s="2">
        <f t="shared" si="150"/>
        <v>0.65</v>
      </c>
      <c r="H927" s="2">
        <f t="shared" si="151"/>
        <v>1.2037037037037037</v>
      </c>
      <c r="I927" s="12">
        <v>0.02</v>
      </c>
      <c r="J927" s="12">
        <v>7.0000000000000007E-2</v>
      </c>
      <c r="K927" s="12">
        <f t="shared" si="152"/>
        <v>8.7971851851851871E-2</v>
      </c>
      <c r="L927" s="12">
        <f t="shared" si="153"/>
        <v>1.3816755555555558</v>
      </c>
      <c r="M927" s="2">
        <f>L927*250</f>
        <v>345.41888888888894</v>
      </c>
      <c r="N927" s="2"/>
      <c r="O927" s="2"/>
      <c r="P927" s="2"/>
      <c r="Q927" s="2"/>
      <c r="R927" s="28">
        <v>16.666666666666668</v>
      </c>
    </row>
    <row r="928" spans="1:18" hidden="1" x14ac:dyDescent="0.25">
      <c r="A928" s="16">
        <v>45661</v>
      </c>
      <c r="B928" s="2" t="s">
        <v>138</v>
      </c>
      <c r="C928" s="2">
        <v>450</v>
      </c>
      <c r="D928" s="19">
        <v>0.55000000000000004</v>
      </c>
      <c r="E928" s="11">
        <v>0.45</v>
      </c>
      <c r="F928" s="2">
        <f t="shared" si="149"/>
        <v>450</v>
      </c>
      <c r="G928" s="2">
        <f t="shared" si="150"/>
        <v>0.45</v>
      </c>
      <c r="H928" s="2">
        <f t="shared" si="151"/>
        <v>1</v>
      </c>
      <c r="I928" s="12">
        <v>0.02</v>
      </c>
      <c r="J928" s="12">
        <v>7.0000000000000007E-2</v>
      </c>
      <c r="K928" s="12">
        <f t="shared" si="152"/>
        <v>0.49050000000000005</v>
      </c>
      <c r="L928" s="12">
        <f t="shared" si="153"/>
        <v>1.5805000000000002</v>
      </c>
      <c r="M928" s="2">
        <f>L928*250</f>
        <v>395.12500000000006</v>
      </c>
      <c r="N928" s="2"/>
      <c r="O928" s="2"/>
      <c r="P928" s="2"/>
      <c r="Q928" s="2"/>
      <c r="R928" s="28">
        <v>16.666666666666668</v>
      </c>
    </row>
    <row r="929" spans="1:18" hidden="1" x14ac:dyDescent="0.25">
      <c r="A929" s="16">
        <v>45661</v>
      </c>
      <c r="B929" s="2" t="s">
        <v>143</v>
      </c>
      <c r="C929" s="2">
        <v>450</v>
      </c>
      <c r="D929" s="19">
        <v>0.55000000000000004</v>
      </c>
      <c r="E929" s="11">
        <v>0.46</v>
      </c>
      <c r="F929" s="2">
        <f t="shared" si="149"/>
        <v>450</v>
      </c>
      <c r="G929" s="2">
        <f t="shared" si="150"/>
        <v>0.45</v>
      </c>
      <c r="H929" s="2">
        <f t="shared" si="151"/>
        <v>1</v>
      </c>
      <c r="I929" s="12">
        <v>0.02</v>
      </c>
      <c r="J929" s="12">
        <v>7.0000000000000007E-2</v>
      </c>
      <c r="K929" s="12">
        <f t="shared" si="152"/>
        <v>0.50140000000000007</v>
      </c>
      <c r="L929" s="12">
        <f t="shared" si="153"/>
        <v>1.5914000000000001</v>
      </c>
      <c r="M929" s="2"/>
      <c r="N929" s="2"/>
      <c r="O929" s="2">
        <f t="shared" ref="O929:O934" si="156">L929*500</f>
        <v>795.7</v>
      </c>
      <c r="P929" s="2"/>
      <c r="Q929" s="2"/>
      <c r="R929" s="28">
        <v>16.666666666666668</v>
      </c>
    </row>
    <row r="930" spans="1:18" hidden="1" x14ac:dyDescent="0.25">
      <c r="A930" s="16">
        <v>45662</v>
      </c>
      <c r="B930" s="2" t="s">
        <v>94</v>
      </c>
      <c r="C930" s="2">
        <v>320</v>
      </c>
      <c r="D930" s="19">
        <v>0</v>
      </c>
      <c r="E930" s="11">
        <v>0.19600000000000001</v>
      </c>
      <c r="F930" s="2">
        <f t="shared" si="149"/>
        <v>1000</v>
      </c>
      <c r="G930" s="2">
        <f t="shared" si="150"/>
        <v>0.32</v>
      </c>
      <c r="H930" s="2">
        <f t="shared" si="151"/>
        <v>0.32</v>
      </c>
      <c r="I930" s="12">
        <v>0.02</v>
      </c>
      <c r="J930" s="12">
        <v>7.0000000000000007E-2</v>
      </c>
      <c r="K930" s="12">
        <f t="shared" si="152"/>
        <v>8.0360000000000015E-2</v>
      </c>
      <c r="L930" s="12">
        <f t="shared" si="153"/>
        <v>0.49036000000000002</v>
      </c>
      <c r="M930" s="2"/>
      <c r="N930" s="2"/>
      <c r="O930" s="2">
        <f t="shared" si="156"/>
        <v>245.18</v>
      </c>
      <c r="P930" s="2"/>
      <c r="Q930" s="2"/>
      <c r="R930" s="28">
        <v>16.666666666666668</v>
      </c>
    </row>
    <row r="931" spans="1:18" hidden="1" x14ac:dyDescent="0.25">
      <c r="A931" s="16">
        <v>45662</v>
      </c>
      <c r="B931" s="2" t="s">
        <v>95</v>
      </c>
      <c r="C931" s="2">
        <v>320</v>
      </c>
      <c r="D931" s="19">
        <v>0</v>
      </c>
      <c r="E931" s="11">
        <v>0.19600000000000001</v>
      </c>
      <c r="F931" s="2">
        <f t="shared" si="149"/>
        <v>1000</v>
      </c>
      <c r="G931" s="2">
        <f t="shared" si="150"/>
        <v>0.32</v>
      </c>
      <c r="H931" s="2">
        <f t="shared" si="151"/>
        <v>0.32</v>
      </c>
      <c r="I931" s="12">
        <v>0.02</v>
      </c>
      <c r="J931" s="12">
        <v>7.0000000000000007E-2</v>
      </c>
      <c r="K931" s="12">
        <f t="shared" si="152"/>
        <v>8.0360000000000015E-2</v>
      </c>
      <c r="L931" s="12">
        <f t="shared" si="153"/>
        <v>0.49036000000000002</v>
      </c>
      <c r="M931" s="2"/>
      <c r="N931" s="2"/>
      <c r="O931" s="2">
        <f t="shared" si="156"/>
        <v>245.18</v>
      </c>
      <c r="P931" s="2"/>
      <c r="Q931" s="2"/>
      <c r="R931" s="28">
        <v>16.666666666666668</v>
      </c>
    </row>
    <row r="932" spans="1:18" hidden="1" x14ac:dyDescent="0.25">
      <c r="A932" s="16">
        <v>45662</v>
      </c>
      <c r="B932" s="2" t="s">
        <v>108</v>
      </c>
      <c r="C932" s="2">
        <v>430</v>
      </c>
      <c r="D932" s="19">
        <v>0.08</v>
      </c>
      <c r="E932" s="11">
        <v>0.16700000000000001</v>
      </c>
      <c r="F932" s="2">
        <f t="shared" si="149"/>
        <v>920</v>
      </c>
      <c r="G932" s="2">
        <f t="shared" si="150"/>
        <v>0.43</v>
      </c>
      <c r="H932" s="2">
        <f t="shared" si="151"/>
        <v>0.46739130434782611</v>
      </c>
      <c r="I932" s="12">
        <v>0.02</v>
      </c>
      <c r="J932" s="12">
        <v>7.0000000000000007E-2</v>
      </c>
      <c r="K932" s="12">
        <f t="shared" si="152"/>
        <v>9.3084347826086974E-2</v>
      </c>
      <c r="L932" s="12">
        <f t="shared" si="153"/>
        <v>0.65047565217391312</v>
      </c>
      <c r="M932" s="2"/>
      <c r="N932" s="2"/>
      <c r="O932" s="2">
        <f t="shared" si="156"/>
        <v>325.23782608695655</v>
      </c>
      <c r="P932" s="2"/>
      <c r="Q932" s="2"/>
      <c r="R932" s="28">
        <v>16.666666666666668</v>
      </c>
    </row>
    <row r="933" spans="1:18" hidden="1" x14ac:dyDescent="0.25">
      <c r="A933" s="16">
        <v>45662</v>
      </c>
      <c r="B933" s="2" t="s">
        <v>192</v>
      </c>
      <c r="C933" s="2">
        <v>500</v>
      </c>
      <c r="D933" s="19">
        <v>0.08</v>
      </c>
      <c r="E933" s="11">
        <v>0.09</v>
      </c>
      <c r="F933" s="2">
        <f t="shared" si="149"/>
        <v>920</v>
      </c>
      <c r="G933" s="2">
        <f t="shared" si="150"/>
        <v>0.5</v>
      </c>
      <c r="H933" s="2">
        <f t="shared" si="151"/>
        <v>0.54347826086956519</v>
      </c>
      <c r="I933" s="12">
        <v>0.02</v>
      </c>
      <c r="J933" s="12">
        <v>7.0000000000000007E-2</v>
      </c>
      <c r="K933" s="12">
        <f t="shared" si="152"/>
        <v>5.7013043478260875E-2</v>
      </c>
      <c r="L933" s="12">
        <f t="shared" si="153"/>
        <v>0.69049130434782613</v>
      </c>
      <c r="M933" s="2"/>
      <c r="N933" s="2"/>
      <c r="O933" s="2">
        <f t="shared" si="156"/>
        <v>345.24565217391307</v>
      </c>
      <c r="P933" s="2"/>
      <c r="Q933" s="2"/>
      <c r="R933" s="28">
        <v>16.666666666666668</v>
      </c>
    </row>
    <row r="934" spans="1:18" hidden="1" x14ac:dyDescent="0.25">
      <c r="A934" s="16">
        <v>45662</v>
      </c>
      <c r="B934" s="2" t="s">
        <v>128</v>
      </c>
      <c r="C934" s="2">
        <v>300</v>
      </c>
      <c r="D934" s="19">
        <v>0.03</v>
      </c>
      <c r="E934" s="11">
        <v>0.38</v>
      </c>
      <c r="F934" s="2">
        <f t="shared" si="149"/>
        <v>970</v>
      </c>
      <c r="G934" s="2">
        <f t="shared" si="150"/>
        <v>0.3</v>
      </c>
      <c r="H934" s="2">
        <f t="shared" si="151"/>
        <v>0.30927835051546393</v>
      </c>
      <c r="I934" s="12">
        <v>0.02</v>
      </c>
      <c r="J934" s="12">
        <v>7.0000000000000007E-2</v>
      </c>
      <c r="K934" s="12">
        <f t="shared" si="152"/>
        <v>0.1517257731958763</v>
      </c>
      <c r="L934" s="12">
        <f t="shared" si="153"/>
        <v>0.55100412371134022</v>
      </c>
      <c r="M934" s="2"/>
      <c r="N934" s="2"/>
      <c r="O934" s="2">
        <f t="shared" si="156"/>
        <v>275.50206185567009</v>
      </c>
      <c r="P934" s="2"/>
      <c r="Q934" s="2"/>
      <c r="R934" s="28">
        <v>16.666666666666668</v>
      </c>
    </row>
    <row r="935" spans="1:18" hidden="1" x14ac:dyDescent="0.25">
      <c r="A935" s="16">
        <v>45662</v>
      </c>
      <c r="B935" s="2" t="s">
        <v>111</v>
      </c>
      <c r="C935" s="2">
        <v>650</v>
      </c>
      <c r="D935" s="19">
        <v>0.34</v>
      </c>
      <c r="E935" s="11">
        <v>0.28399999999999997</v>
      </c>
      <c r="F935" s="2">
        <f t="shared" si="149"/>
        <v>660</v>
      </c>
      <c r="G935" s="2">
        <f t="shared" si="150"/>
        <v>0.65</v>
      </c>
      <c r="H935" s="2">
        <f t="shared" si="151"/>
        <v>0.98484848484848486</v>
      </c>
      <c r="I935" s="12">
        <v>0.02</v>
      </c>
      <c r="J935" s="12">
        <v>7.0000000000000007E-2</v>
      </c>
      <c r="K935" s="12">
        <f t="shared" si="152"/>
        <v>0.30525696969696969</v>
      </c>
      <c r="L935" s="12">
        <f t="shared" si="153"/>
        <v>1.3801054545454545</v>
      </c>
      <c r="M935" s="2">
        <f>L935*250</f>
        <v>345.02636363636361</v>
      </c>
      <c r="N935" s="2"/>
      <c r="O935" s="2"/>
      <c r="P935" s="2"/>
      <c r="Q935" s="2"/>
      <c r="R935" s="28">
        <v>16.666666666666668</v>
      </c>
    </row>
    <row r="936" spans="1:18" hidden="1" x14ac:dyDescent="0.25">
      <c r="A936" s="16">
        <v>45662</v>
      </c>
      <c r="B936" s="2" t="s">
        <v>112</v>
      </c>
      <c r="C936" s="2">
        <v>650</v>
      </c>
      <c r="D936" s="19">
        <v>0.34</v>
      </c>
      <c r="E936" s="11">
        <v>0.29499999999999998</v>
      </c>
      <c r="F936" s="2">
        <f t="shared" si="149"/>
        <v>660</v>
      </c>
      <c r="G936" s="2">
        <f t="shared" si="150"/>
        <v>0.65</v>
      </c>
      <c r="H936" s="2">
        <f t="shared" si="151"/>
        <v>0.98484848484848486</v>
      </c>
      <c r="I936" s="12">
        <v>0.02</v>
      </c>
      <c r="J936" s="12">
        <v>7.0000000000000007E-2</v>
      </c>
      <c r="K936" s="12">
        <f t="shared" si="152"/>
        <v>0.31708030303030305</v>
      </c>
      <c r="L936" s="12">
        <f t="shared" si="153"/>
        <v>1.391928787878788</v>
      </c>
      <c r="M936" s="2"/>
      <c r="N936" s="2"/>
      <c r="O936" s="2">
        <f>L936*500</f>
        <v>695.96439393939397</v>
      </c>
      <c r="P936" s="2"/>
      <c r="Q936" s="2"/>
      <c r="R936" s="28">
        <v>16.666666666666668</v>
      </c>
    </row>
    <row r="937" spans="1:18" hidden="1" x14ac:dyDescent="0.25">
      <c r="A937" s="16">
        <v>45664</v>
      </c>
      <c r="B937" s="2" t="s">
        <v>160</v>
      </c>
      <c r="C937" s="2">
        <v>650</v>
      </c>
      <c r="D937" s="19">
        <v>0.35</v>
      </c>
      <c r="E937" s="11">
        <v>0.27600000000000002</v>
      </c>
      <c r="F937" s="2">
        <f t="shared" si="149"/>
        <v>650</v>
      </c>
      <c r="G937" s="2">
        <f t="shared" si="150"/>
        <v>0.65</v>
      </c>
      <c r="H937" s="2">
        <f t="shared" si="151"/>
        <v>1</v>
      </c>
      <c r="I937" s="12">
        <v>0.02</v>
      </c>
      <c r="J937" s="12">
        <v>7.0000000000000007E-2</v>
      </c>
      <c r="K937" s="12">
        <f t="shared" si="152"/>
        <v>0.30084000000000005</v>
      </c>
      <c r="L937" s="12">
        <f t="shared" si="153"/>
        <v>1.3908400000000001</v>
      </c>
      <c r="M937" s="2"/>
      <c r="N937" s="2"/>
      <c r="O937" s="2">
        <f>L937*500</f>
        <v>695.42000000000007</v>
      </c>
      <c r="P937" s="2"/>
      <c r="Q937" s="2"/>
      <c r="R937" s="28">
        <v>16.666666666666668</v>
      </c>
    </row>
    <row r="938" spans="1:18" hidden="1" x14ac:dyDescent="0.25">
      <c r="A938" s="16">
        <v>45664</v>
      </c>
      <c r="B938" s="2" t="s">
        <v>111</v>
      </c>
      <c r="C938" s="2">
        <v>650</v>
      </c>
      <c r="D938" s="19">
        <v>0.35</v>
      </c>
      <c r="E938" s="11">
        <v>0.26700000000000002</v>
      </c>
      <c r="F938" s="2">
        <f t="shared" si="149"/>
        <v>650</v>
      </c>
      <c r="G938" s="2">
        <f t="shared" si="150"/>
        <v>0.65</v>
      </c>
      <c r="H938" s="2">
        <f t="shared" si="151"/>
        <v>1</v>
      </c>
      <c r="I938" s="12">
        <v>0.02</v>
      </c>
      <c r="J938" s="12">
        <v>7.0000000000000007E-2</v>
      </c>
      <c r="K938" s="12">
        <f t="shared" si="152"/>
        <v>0.29103000000000001</v>
      </c>
      <c r="L938" s="12">
        <f t="shared" si="153"/>
        <v>1.38103</v>
      </c>
      <c r="M938" s="2">
        <f>L938*250</f>
        <v>345.25749999999999</v>
      </c>
      <c r="N938" s="2"/>
      <c r="O938" s="2"/>
      <c r="P938" s="2"/>
      <c r="Q938" s="2"/>
      <c r="R938" s="28">
        <v>16.666666666666668</v>
      </c>
    </row>
    <row r="939" spans="1:18" hidden="1" x14ac:dyDescent="0.25">
      <c r="A939" s="16">
        <v>45664</v>
      </c>
      <c r="B939" s="2" t="s">
        <v>204</v>
      </c>
      <c r="C939" s="2">
        <v>650</v>
      </c>
      <c r="D939" s="19">
        <v>0.4</v>
      </c>
      <c r="E939" s="11">
        <v>0.185</v>
      </c>
      <c r="F939" s="2">
        <f t="shared" si="149"/>
        <v>600</v>
      </c>
      <c r="G939" s="2">
        <f t="shared" si="150"/>
        <v>0.65</v>
      </c>
      <c r="H939" s="2">
        <f t="shared" si="151"/>
        <v>1.0833333333333333</v>
      </c>
      <c r="I939" s="12">
        <v>0.02</v>
      </c>
      <c r="J939" s="12">
        <v>7.0000000000000007E-2</v>
      </c>
      <c r="K939" s="12">
        <f t="shared" si="152"/>
        <v>0.21706666666666666</v>
      </c>
      <c r="L939" s="12">
        <f t="shared" si="153"/>
        <v>1.3904000000000001</v>
      </c>
      <c r="M939" s="2"/>
      <c r="N939" s="2"/>
      <c r="O939" s="2">
        <f>L939*500</f>
        <v>695.2</v>
      </c>
      <c r="P939" s="2"/>
      <c r="Q939" s="2"/>
      <c r="R939" s="28">
        <v>16.666666666666668</v>
      </c>
    </row>
    <row r="940" spans="1:18" hidden="1" x14ac:dyDescent="0.25">
      <c r="A940" s="16">
        <v>45664</v>
      </c>
      <c r="B940" s="2" t="s">
        <v>205</v>
      </c>
      <c r="C940" s="2">
        <v>650</v>
      </c>
      <c r="D940" s="19">
        <v>0.4</v>
      </c>
      <c r="E940" s="11">
        <v>0.17699999999999999</v>
      </c>
      <c r="F940" s="2">
        <f t="shared" si="149"/>
        <v>600</v>
      </c>
      <c r="G940" s="2">
        <f t="shared" si="150"/>
        <v>0.65</v>
      </c>
      <c r="H940" s="2">
        <f t="shared" si="151"/>
        <v>1.0833333333333333</v>
      </c>
      <c r="I940" s="12">
        <v>0.02</v>
      </c>
      <c r="J940" s="12">
        <v>7.0000000000000007E-2</v>
      </c>
      <c r="K940" s="12">
        <f t="shared" si="152"/>
        <v>0.20768</v>
      </c>
      <c r="L940" s="12">
        <f t="shared" si="153"/>
        <v>1.3810133333333334</v>
      </c>
      <c r="M940" s="2">
        <f>L940*250</f>
        <v>345.25333333333333</v>
      </c>
      <c r="N940" s="2"/>
      <c r="O940" s="2"/>
      <c r="P940" s="2"/>
      <c r="Q940" s="2"/>
      <c r="R940" s="28">
        <v>16.666666666666668</v>
      </c>
    </row>
    <row r="941" spans="1:18" hidden="1" x14ac:dyDescent="0.25">
      <c r="A941" s="16">
        <v>45664</v>
      </c>
      <c r="B941" s="2" t="s">
        <v>106</v>
      </c>
      <c r="C941" s="2">
        <v>200</v>
      </c>
      <c r="D941" s="19">
        <v>0.2</v>
      </c>
      <c r="E941" s="11">
        <v>0.15</v>
      </c>
      <c r="F941" s="2">
        <f t="shared" si="149"/>
        <v>800</v>
      </c>
      <c r="G941" s="2">
        <f t="shared" si="150"/>
        <v>0.2</v>
      </c>
      <c r="H941" s="2">
        <f t="shared" si="151"/>
        <v>0.25</v>
      </c>
      <c r="I941" s="12">
        <v>0.02</v>
      </c>
      <c r="J941" s="12">
        <v>7.0000000000000007E-2</v>
      </c>
      <c r="K941" s="12">
        <f t="shared" si="152"/>
        <v>5.1000000000000004E-2</v>
      </c>
      <c r="L941" s="12">
        <f t="shared" si="153"/>
        <v>0.39100000000000001</v>
      </c>
      <c r="M941" s="2"/>
      <c r="N941" s="2"/>
      <c r="O941" s="2">
        <f t="shared" ref="O941:O950" si="157">L941*500</f>
        <v>195.5</v>
      </c>
      <c r="P941" s="2"/>
      <c r="Q941" s="2"/>
      <c r="R941" s="28">
        <v>16.666666666666668</v>
      </c>
    </row>
    <row r="942" spans="1:18" hidden="1" x14ac:dyDescent="0.25">
      <c r="A942" s="16">
        <v>45664</v>
      </c>
      <c r="B942" s="2" t="s">
        <v>191</v>
      </c>
      <c r="C942" s="2">
        <v>1250</v>
      </c>
      <c r="D942" s="19">
        <v>0.1</v>
      </c>
      <c r="E942" s="11">
        <v>0.21099999999999999</v>
      </c>
      <c r="F942" s="2">
        <f t="shared" si="149"/>
        <v>900</v>
      </c>
      <c r="G942" s="2">
        <f t="shared" si="150"/>
        <v>1.25</v>
      </c>
      <c r="H942" s="2">
        <f t="shared" si="151"/>
        <v>1.3888888888888888</v>
      </c>
      <c r="I942" s="12">
        <v>0.02</v>
      </c>
      <c r="J942" s="12">
        <v>7.0000000000000007E-2</v>
      </c>
      <c r="K942" s="12">
        <f t="shared" si="152"/>
        <v>0.31204555555555558</v>
      </c>
      <c r="L942" s="12">
        <f t="shared" si="153"/>
        <v>1.7909344444444444</v>
      </c>
      <c r="M942" s="2"/>
      <c r="N942" s="2"/>
      <c r="O942" s="2">
        <f t="shared" si="157"/>
        <v>895.46722222222218</v>
      </c>
      <c r="P942" s="2"/>
      <c r="Q942" s="2"/>
      <c r="R942" s="28">
        <v>16.666666666666668</v>
      </c>
    </row>
    <row r="943" spans="1:18" hidden="1" x14ac:dyDescent="0.25">
      <c r="A943" s="16">
        <v>45664</v>
      </c>
      <c r="B943" s="2" t="s">
        <v>162</v>
      </c>
      <c r="C943" s="2">
        <v>150</v>
      </c>
      <c r="D943" s="19">
        <v>0</v>
      </c>
      <c r="E943" s="11">
        <v>0.63</v>
      </c>
      <c r="F943" s="2">
        <f t="shared" si="149"/>
        <v>1000</v>
      </c>
      <c r="G943" s="2">
        <f t="shared" si="150"/>
        <v>0.15</v>
      </c>
      <c r="H943" s="2">
        <f t="shared" si="151"/>
        <v>0.15</v>
      </c>
      <c r="I943" s="12">
        <v>0.02</v>
      </c>
      <c r="J943" s="12">
        <v>7.0000000000000007E-2</v>
      </c>
      <c r="K943" s="12">
        <f t="shared" si="152"/>
        <v>0.1512</v>
      </c>
      <c r="L943" s="12">
        <f t="shared" si="153"/>
        <v>0.39119999999999999</v>
      </c>
      <c r="M943" s="2"/>
      <c r="N943" s="2"/>
      <c r="O943" s="2">
        <f t="shared" si="157"/>
        <v>195.6</v>
      </c>
      <c r="P943" s="2"/>
      <c r="Q943" s="2"/>
      <c r="R943" s="28">
        <v>16.666666666666668</v>
      </c>
    </row>
    <row r="944" spans="1:18" hidden="1" x14ac:dyDescent="0.25">
      <c r="A944" s="16">
        <v>45664</v>
      </c>
      <c r="B944" s="2" t="s">
        <v>90</v>
      </c>
      <c r="C944" s="2">
        <v>400</v>
      </c>
      <c r="D944" s="19">
        <v>0.16</v>
      </c>
      <c r="E944" s="11">
        <v>0.15</v>
      </c>
      <c r="F944" s="2">
        <f t="shared" si="149"/>
        <v>840</v>
      </c>
      <c r="G944" s="2">
        <f t="shared" si="150"/>
        <v>0.4</v>
      </c>
      <c r="H944" s="2">
        <f t="shared" si="151"/>
        <v>0.47619047619047616</v>
      </c>
      <c r="I944" s="12">
        <v>0.02</v>
      </c>
      <c r="J944" s="12">
        <v>7.0000000000000007E-2</v>
      </c>
      <c r="K944" s="12">
        <f t="shared" si="152"/>
        <v>8.4928571428571423E-2</v>
      </c>
      <c r="L944" s="12">
        <f t="shared" si="153"/>
        <v>0.6511190476190476</v>
      </c>
      <c r="M944" s="2"/>
      <c r="N944" s="2"/>
      <c r="O944" s="2">
        <f t="shared" si="157"/>
        <v>325.5595238095238</v>
      </c>
      <c r="P944" s="2"/>
      <c r="Q944" s="2"/>
      <c r="R944" s="28">
        <v>16.666666666666668</v>
      </c>
    </row>
    <row r="945" spans="1:18" hidden="1" x14ac:dyDescent="0.25">
      <c r="A945" s="16">
        <v>45664</v>
      </c>
      <c r="B945" s="2" t="s">
        <v>91</v>
      </c>
      <c r="C945" s="2">
        <v>400</v>
      </c>
      <c r="D945" s="19">
        <v>0.16</v>
      </c>
      <c r="E945" s="11">
        <v>0.15</v>
      </c>
      <c r="F945" s="2">
        <f t="shared" si="149"/>
        <v>840</v>
      </c>
      <c r="G945" s="2">
        <f t="shared" si="150"/>
        <v>0.4</v>
      </c>
      <c r="H945" s="2">
        <f t="shared" si="151"/>
        <v>0.47619047619047616</v>
      </c>
      <c r="I945" s="12">
        <v>0.02</v>
      </c>
      <c r="J945" s="12">
        <v>7.0000000000000007E-2</v>
      </c>
      <c r="K945" s="12">
        <f t="shared" si="152"/>
        <v>8.4928571428571423E-2</v>
      </c>
      <c r="L945" s="12">
        <f t="shared" si="153"/>
        <v>0.6511190476190476</v>
      </c>
      <c r="M945" s="2"/>
      <c r="N945" s="2"/>
      <c r="O945" s="2">
        <f t="shared" si="157"/>
        <v>325.5595238095238</v>
      </c>
      <c r="P945" s="2"/>
      <c r="Q945" s="2"/>
      <c r="R945" s="28">
        <v>16.666666666666668</v>
      </c>
    </row>
    <row r="946" spans="1:18" hidden="1" x14ac:dyDescent="0.25">
      <c r="A946" s="16">
        <v>45665</v>
      </c>
      <c r="B946" s="2" t="s">
        <v>94</v>
      </c>
      <c r="C946" s="2">
        <v>230</v>
      </c>
      <c r="D946" s="19">
        <v>0.06</v>
      </c>
      <c r="E946" s="11">
        <v>0.47</v>
      </c>
      <c r="F946" s="2">
        <f t="shared" si="149"/>
        <v>940</v>
      </c>
      <c r="G946" s="2">
        <f t="shared" si="150"/>
        <v>0.23</v>
      </c>
      <c r="H946" s="2">
        <f t="shared" si="151"/>
        <v>0.24468085106382978</v>
      </c>
      <c r="I946" s="12">
        <v>0.02</v>
      </c>
      <c r="J946" s="12">
        <v>7.0000000000000007E-2</v>
      </c>
      <c r="K946" s="12">
        <f t="shared" si="152"/>
        <v>0.1573</v>
      </c>
      <c r="L946" s="12">
        <f t="shared" si="153"/>
        <v>0.49198085106382977</v>
      </c>
      <c r="M946" s="2"/>
      <c r="N946" s="2"/>
      <c r="O946" s="2">
        <f t="shared" si="157"/>
        <v>245.99042553191489</v>
      </c>
      <c r="P946" s="2"/>
      <c r="Q946" s="2"/>
      <c r="R946" s="28">
        <v>16.666666666666668</v>
      </c>
    </row>
    <row r="947" spans="1:18" hidden="1" x14ac:dyDescent="0.25">
      <c r="A947" s="16">
        <v>45665</v>
      </c>
      <c r="B947" s="2" t="s">
        <v>95</v>
      </c>
      <c r="C947" s="2">
        <v>230</v>
      </c>
      <c r="D947" s="19">
        <v>0.06</v>
      </c>
      <c r="E947" s="11">
        <v>0.47</v>
      </c>
      <c r="F947" s="2">
        <f t="shared" si="149"/>
        <v>940</v>
      </c>
      <c r="G947" s="2">
        <f t="shared" si="150"/>
        <v>0.23</v>
      </c>
      <c r="H947" s="2">
        <f t="shared" si="151"/>
        <v>0.24468085106382978</v>
      </c>
      <c r="I947" s="12">
        <v>0.02</v>
      </c>
      <c r="J947" s="12">
        <v>7.0000000000000007E-2</v>
      </c>
      <c r="K947" s="12">
        <f t="shared" si="152"/>
        <v>0.1573</v>
      </c>
      <c r="L947" s="12">
        <f t="shared" si="153"/>
        <v>0.49198085106382977</v>
      </c>
      <c r="M947" s="2"/>
      <c r="N947" s="2"/>
      <c r="O947" s="2">
        <f t="shared" si="157"/>
        <v>245.99042553191489</v>
      </c>
      <c r="P947" s="2"/>
      <c r="Q947" s="2"/>
      <c r="R947" s="28">
        <v>16.666666666666668</v>
      </c>
    </row>
    <row r="948" spans="1:18" hidden="1" x14ac:dyDescent="0.25">
      <c r="A948" s="16">
        <v>45665</v>
      </c>
      <c r="B948" s="2" t="s">
        <v>103</v>
      </c>
      <c r="C948" s="2">
        <v>100</v>
      </c>
      <c r="D948" s="19">
        <v>0</v>
      </c>
      <c r="E948" s="11">
        <v>0.53</v>
      </c>
      <c r="F948" s="2">
        <f t="shared" si="149"/>
        <v>1000</v>
      </c>
      <c r="G948" s="2">
        <f t="shared" si="150"/>
        <v>0.1</v>
      </c>
      <c r="H948" s="2">
        <f t="shared" si="151"/>
        <v>0.1</v>
      </c>
      <c r="I948" s="12">
        <v>0.02</v>
      </c>
      <c r="J948" s="12">
        <v>7.0000000000000007E-2</v>
      </c>
      <c r="K948" s="12">
        <f t="shared" si="152"/>
        <v>0.10070000000000001</v>
      </c>
      <c r="L948" s="12">
        <f t="shared" si="153"/>
        <v>0.29070000000000001</v>
      </c>
      <c r="M948" s="2"/>
      <c r="N948" s="2"/>
      <c r="O948" s="2">
        <f t="shared" si="157"/>
        <v>145.35</v>
      </c>
      <c r="P948" s="2"/>
      <c r="Q948" s="2"/>
      <c r="R948" s="28">
        <v>16.666666666666668</v>
      </c>
    </row>
    <row r="949" spans="1:18" hidden="1" x14ac:dyDescent="0.25">
      <c r="A949" s="16">
        <v>45665</v>
      </c>
      <c r="B949" s="2" t="s">
        <v>93</v>
      </c>
      <c r="C949" s="2">
        <v>600</v>
      </c>
      <c r="D949" s="19">
        <v>0.08</v>
      </c>
      <c r="E949" s="11">
        <v>1.2E-2</v>
      </c>
      <c r="F949" s="2">
        <f t="shared" si="149"/>
        <v>920</v>
      </c>
      <c r="G949" s="2">
        <f t="shared" si="150"/>
        <v>0.6</v>
      </c>
      <c r="H949" s="2">
        <f t="shared" si="151"/>
        <v>0.65217391304347827</v>
      </c>
      <c r="I949" s="12">
        <v>0.02</v>
      </c>
      <c r="J949" s="12">
        <v>7.0000000000000007E-2</v>
      </c>
      <c r="K949" s="12">
        <f t="shared" si="152"/>
        <v>8.9060869565217408E-3</v>
      </c>
      <c r="L949" s="12">
        <f t="shared" si="153"/>
        <v>0.75108000000000008</v>
      </c>
      <c r="M949" s="2"/>
      <c r="N949" s="2"/>
      <c r="O949" s="2">
        <f t="shared" si="157"/>
        <v>375.54</v>
      </c>
      <c r="P949" s="2"/>
      <c r="Q949" s="2"/>
      <c r="R949" s="28">
        <v>16.666666666666668</v>
      </c>
    </row>
    <row r="950" spans="1:18" hidden="1" x14ac:dyDescent="0.25">
      <c r="A950" s="16">
        <v>45665</v>
      </c>
      <c r="B950" s="2" t="s">
        <v>160</v>
      </c>
      <c r="C950" s="2">
        <v>630</v>
      </c>
      <c r="D950" s="19">
        <v>0.38</v>
      </c>
      <c r="E950" s="11">
        <v>0.25700000000000001</v>
      </c>
      <c r="F950" s="2">
        <f t="shared" si="149"/>
        <v>620</v>
      </c>
      <c r="G950" s="2">
        <f t="shared" si="150"/>
        <v>0.63</v>
      </c>
      <c r="H950" s="2">
        <f t="shared" si="151"/>
        <v>1.0161290322580645</v>
      </c>
      <c r="I950" s="12">
        <v>0.02</v>
      </c>
      <c r="J950" s="12">
        <v>7.0000000000000007E-2</v>
      </c>
      <c r="K950" s="12">
        <f t="shared" si="152"/>
        <v>0.2842751612903226</v>
      </c>
      <c r="L950" s="12">
        <f t="shared" si="153"/>
        <v>1.3904041935483873</v>
      </c>
      <c r="M950" s="2"/>
      <c r="N950" s="2"/>
      <c r="O950" s="2">
        <f t="shared" si="157"/>
        <v>695.20209677419359</v>
      </c>
      <c r="P950" s="2"/>
      <c r="Q950" s="2"/>
      <c r="R950" s="28">
        <v>16.666666666666668</v>
      </c>
    </row>
    <row r="951" spans="1:18" hidden="1" x14ac:dyDescent="0.25">
      <c r="A951" s="16">
        <v>45665</v>
      </c>
      <c r="B951" s="2" t="s">
        <v>111</v>
      </c>
      <c r="C951" s="2">
        <v>630</v>
      </c>
      <c r="D951" s="19">
        <v>0.38</v>
      </c>
      <c r="E951" s="11">
        <v>0.25</v>
      </c>
      <c r="F951" s="2">
        <f t="shared" si="149"/>
        <v>620</v>
      </c>
      <c r="G951" s="2">
        <f t="shared" si="150"/>
        <v>0.63</v>
      </c>
      <c r="H951" s="2">
        <f t="shared" si="151"/>
        <v>1.0161290322580645</v>
      </c>
      <c r="I951" s="12">
        <v>0.02</v>
      </c>
      <c r="J951" s="12">
        <v>7.0000000000000007E-2</v>
      </c>
      <c r="K951" s="12">
        <f t="shared" si="152"/>
        <v>0.27653225806451615</v>
      </c>
      <c r="L951" s="12">
        <f t="shared" si="153"/>
        <v>1.3826612903225808</v>
      </c>
      <c r="M951" s="2">
        <f>L951*250</f>
        <v>345.66532258064518</v>
      </c>
      <c r="N951" s="2"/>
      <c r="O951" s="2"/>
      <c r="P951" s="2"/>
      <c r="Q951" s="2"/>
      <c r="R951" s="28">
        <v>16.666666666666668</v>
      </c>
    </row>
    <row r="952" spans="1:18" hidden="1" x14ac:dyDescent="0.25">
      <c r="A952" s="16">
        <v>45665</v>
      </c>
      <c r="B952" s="2" t="s">
        <v>113</v>
      </c>
      <c r="C952" s="2">
        <v>630</v>
      </c>
      <c r="D952" s="19">
        <v>0.38</v>
      </c>
      <c r="E952" s="11">
        <v>0.54</v>
      </c>
      <c r="F952" s="2">
        <f t="shared" si="149"/>
        <v>620</v>
      </c>
      <c r="G952" s="2">
        <f t="shared" si="150"/>
        <v>0.63</v>
      </c>
      <c r="H952" s="2">
        <f t="shared" si="151"/>
        <v>1.0161290322580645</v>
      </c>
      <c r="I952" s="12">
        <v>0.02</v>
      </c>
      <c r="J952" s="12">
        <v>7.0000000000000007E-2</v>
      </c>
      <c r="K952" s="12">
        <f t="shared" si="152"/>
        <v>0.59730967741935492</v>
      </c>
      <c r="L952" s="12">
        <f t="shared" si="153"/>
        <v>1.7034387096774195</v>
      </c>
      <c r="M952" s="2">
        <f>L952*250</f>
        <v>425.85967741935485</v>
      </c>
      <c r="N952" s="2"/>
      <c r="O952" s="2"/>
      <c r="P952" s="2"/>
      <c r="Q952" s="2"/>
      <c r="R952" s="28">
        <v>16.666666666666668</v>
      </c>
    </row>
    <row r="953" spans="1:18" hidden="1" x14ac:dyDescent="0.25">
      <c r="A953" s="16">
        <v>45665</v>
      </c>
      <c r="B953" s="2" t="s">
        <v>90</v>
      </c>
      <c r="C953" s="2">
        <v>370</v>
      </c>
      <c r="D953" s="19">
        <v>0.17</v>
      </c>
      <c r="E953" s="11">
        <v>0.215</v>
      </c>
      <c r="F953" s="2">
        <f t="shared" si="149"/>
        <v>830</v>
      </c>
      <c r="G953" s="2">
        <f t="shared" si="150"/>
        <v>0.37</v>
      </c>
      <c r="H953" s="2">
        <f t="shared" si="151"/>
        <v>0.44578313253012047</v>
      </c>
      <c r="I953" s="12">
        <v>0.02</v>
      </c>
      <c r="J953" s="12">
        <v>7.0000000000000007E-2</v>
      </c>
      <c r="K953" s="12">
        <f t="shared" si="152"/>
        <v>0.11519337349397592</v>
      </c>
      <c r="L953" s="12">
        <f t="shared" si="153"/>
        <v>0.65097650602409651</v>
      </c>
      <c r="M953" s="2"/>
      <c r="N953" s="2"/>
      <c r="O953" s="2">
        <f>L953*500</f>
        <v>325.48825301204823</v>
      </c>
      <c r="P953" s="2"/>
      <c r="Q953" s="2"/>
      <c r="R953" s="28">
        <v>16.666666666666668</v>
      </c>
    </row>
    <row r="954" spans="1:18" hidden="1" x14ac:dyDescent="0.25">
      <c r="A954" s="16">
        <v>45666</v>
      </c>
      <c r="B954" s="2" t="s">
        <v>94</v>
      </c>
      <c r="C954" s="2">
        <v>250</v>
      </c>
      <c r="D954" s="19">
        <v>0.17</v>
      </c>
      <c r="E954" s="11">
        <v>0.255</v>
      </c>
      <c r="F954" s="2">
        <f t="shared" si="149"/>
        <v>830</v>
      </c>
      <c r="G954" s="2">
        <f t="shared" si="150"/>
        <v>0.25</v>
      </c>
      <c r="H954" s="2">
        <f t="shared" si="151"/>
        <v>0.30120481927710846</v>
      </c>
      <c r="I954" s="12">
        <v>0.02</v>
      </c>
      <c r="J954" s="12">
        <v>7.0000000000000007E-2</v>
      </c>
      <c r="K954" s="12">
        <f t="shared" si="152"/>
        <v>9.975722891566266E-2</v>
      </c>
      <c r="L954" s="12">
        <f t="shared" si="153"/>
        <v>0.49096204819277112</v>
      </c>
      <c r="M954" s="2"/>
      <c r="N954" s="2"/>
      <c r="O954" s="2">
        <f>L954*500</f>
        <v>245.48102409638557</v>
      </c>
      <c r="P954" s="2"/>
      <c r="Q954" s="2"/>
      <c r="R954" s="28">
        <v>16.666666666666668</v>
      </c>
    </row>
    <row r="955" spans="1:18" hidden="1" x14ac:dyDescent="0.25">
      <c r="A955" s="16">
        <v>45666</v>
      </c>
      <c r="B955" s="2" t="s">
        <v>154</v>
      </c>
      <c r="C955" s="2">
        <v>250</v>
      </c>
      <c r="D955" s="19">
        <v>0.17</v>
      </c>
      <c r="E955" s="11">
        <v>0.255</v>
      </c>
      <c r="F955" s="2">
        <f t="shared" si="149"/>
        <v>830</v>
      </c>
      <c r="G955" s="2">
        <f t="shared" si="150"/>
        <v>0.25</v>
      </c>
      <c r="H955" s="2">
        <f t="shared" si="151"/>
        <v>0.30120481927710846</v>
      </c>
      <c r="I955" s="12">
        <v>0.02</v>
      </c>
      <c r="J955" s="12">
        <v>7.0000000000000007E-2</v>
      </c>
      <c r="K955" s="12">
        <f t="shared" si="152"/>
        <v>9.975722891566266E-2</v>
      </c>
      <c r="L955" s="12">
        <f t="shared" si="153"/>
        <v>0.49096204819277112</v>
      </c>
      <c r="M955" s="2"/>
      <c r="N955" s="2"/>
      <c r="O955" s="2">
        <f>L955*500</f>
        <v>245.48102409638557</v>
      </c>
      <c r="P955" s="2"/>
      <c r="Q955" s="2"/>
      <c r="R955" s="28">
        <v>16.666666666666668</v>
      </c>
    </row>
    <row r="956" spans="1:18" hidden="1" x14ac:dyDescent="0.25">
      <c r="A956" s="16">
        <v>45666</v>
      </c>
      <c r="B956" s="2" t="s">
        <v>111</v>
      </c>
      <c r="C956" s="2">
        <v>680</v>
      </c>
      <c r="D956" s="19">
        <v>0.38</v>
      </c>
      <c r="E956" s="11">
        <v>0.16500000000000001</v>
      </c>
      <c r="F956" s="2">
        <f t="shared" si="149"/>
        <v>620</v>
      </c>
      <c r="G956" s="2">
        <f t="shared" si="150"/>
        <v>0.68</v>
      </c>
      <c r="H956" s="2">
        <f t="shared" si="151"/>
        <v>1.096774193548387</v>
      </c>
      <c r="I956" s="12">
        <v>0.02</v>
      </c>
      <c r="J956" s="12">
        <v>7.0000000000000007E-2</v>
      </c>
      <c r="K956" s="12">
        <f t="shared" si="152"/>
        <v>0.19581774193548387</v>
      </c>
      <c r="L956" s="12">
        <f t="shared" si="153"/>
        <v>1.3825919354838709</v>
      </c>
      <c r="M956" s="2">
        <f>L956*250</f>
        <v>345.64798387096772</v>
      </c>
      <c r="N956" s="2"/>
      <c r="O956" s="2"/>
      <c r="P956" s="2"/>
      <c r="Q956" s="2"/>
      <c r="R956" s="28">
        <v>16.666666666666668</v>
      </c>
    </row>
    <row r="957" spans="1:18" hidden="1" x14ac:dyDescent="0.25">
      <c r="A957" s="16">
        <v>45666</v>
      </c>
      <c r="B957" s="2" t="s">
        <v>112</v>
      </c>
      <c r="C957" s="2">
        <v>680</v>
      </c>
      <c r="D957" s="19">
        <v>0.38</v>
      </c>
      <c r="E957" s="11">
        <v>0.17199999999999999</v>
      </c>
      <c r="F957" s="2">
        <f t="shared" si="149"/>
        <v>620</v>
      </c>
      <c r="G957" s="2">
        <f t="shared" si="150"/>
        <v>0.68</v>
      </c>
      <c r="H957" s="2">
        <f t="shared" si="151"/>
        <v>1.096774193548387</v>
      </c>
      <c r="I957" s="12">
        <v>0.02</v>
      </c>
      <c r="J957" s="12">
        <v>7.0000000000000007E-2</v>
      </c>
      <c r="K957" s="12">
        <f t="shared" si="152"/>
        <v>0.20412516129032257</v>
      </c>
      <c r="L957" s="12">
        <f t="shared" si="153"/>
        <v>1.3908993548387096</v>
      </c>
      <c r="M957" s="2"/>
      <c r="N957" s="2"/>
      <c r="O957" s="2">
        <f>L957*500</f>
        <v>695.44967741935477</v>
      </c>
      <c r="P957" s="2"/>
      <c r="Q957" s="2"/>
      <c r="R957" s="28">
        <v>16.666666666666668</v>
      </c>
    </row>
    <row r="958" spans="1:18" hidden="1" x14ac:dyDescent="0.25">
      <c r="A958" s="16">
        <v>45666</v>
      </c>
      <c r="B958" s="2" t="s">
        <v>138</v>
      </c>
      <c r="C958" s="2">
        <v>450</v>
      </c>
      <c r="D958" s="19">
        <v>0.55000000000000004</v>
      </c>
      <c r="E958" s="11">
        <v>0.45</v>
      </c>
      <c r="F958" s="2">
        <f t="shared" si="149"/>
        <v>450</v>
      </c>
      <c r="G958" s="2">
        <f t="shared" si="150"/>
        <v>0.45</v>
      </c>
      <c r="H958" s="2">
        <f t="shared" si="151"/>
        <v>1</v>
      </c>
      <c r="I958" s="12">
        <v>0.02</v>
      </c>
      <c r="J958" s="12">
        <v>7.0000000000000007E-2</v>
      </c>
      <c r="K958" s="12">
        <f t="shared" si="152"/>
        <v>0.49050000000000005</v>
      </c>
      <c r="L958" s="12">
        <f t="shared" si="153"/>
        <v>1.5805000000000002</v>
      </c>
      <c r="M958" s="2">
        <f>L958*250</f>
        <v>395.12500000000006</v>
      </c>
      <c r="N958" s="2"/>
      <c r="O958" s="2"/>
      <c r="P958" s="2"/>
      <c r="Q958" s="2"/>
      <c r="R958" s="28">
        <v>16.666666666666668</v>
      </c>
    </row>
    <row r="959" spans="1:18" hidden="1" x14ac:dyDescent="0.25">
      <c r="A959" s="16">
        <v>45666</v>
      </c>
      <c r="B959" s="2" t="s">
        <v>143</v>
      </c>
      <c r="C959" s="2">
        <v>450</v>
      </c>
      <c r="D959" s="19">
        <v>0.55000000000000004</v>
      </c>
      <c r="E959" s="11">
        <v>0.46</v>
      </c>
      <c r="F959" s="2">
        <f t="shared" si="149"/>
        <v>450</v>
      </c>
      <c r="G959" s="2">
        <f t="shared" si="150"/>
        <v>0.45</v>
      </c>
      <c r="H959" s="2">
        <f t="shared" si="151"/>
        <v>1</v>
      </c>
      <c r="I959" s="12">
        <v>0.02</v>
      </c>
      <c r="J959" s="12">
        <v>7.0000000000000007E-2</v>
      </c>
      <c r="K959" s="12">
        <f t="shared" si="152"/>
        <v>0.50140000000000007</v>
      </c>
      <c r="L959" s="12">
        <f t="shared" si="153"/>
        <v>1.5914000000000001</v>
      </c>
      <c r="M959" s="2"/>
      <c r="N959" s="2"/>
      <c r="O959" s="2">
        <f>L959*500</f>
        <v>795.7</v>
      </c>
      <c r="P959" s="2"/>
      <c r="Q959" s="2"/>
      <c r="R959" s="28">
        <v>16.666666666666668</v>
      </c>
    </row>
    <row r="960" spans="1:18" hidden="1" x14ac:dyDescent="0.25">
      <c r="A960" s="16">
        <v>45666</v>
      </c>
      <c r="B960" s="2" t="s">
        <v>205</v>
      </c>
      <c r="C960" s="2">
        <v>650</v>
      </c>
      <c r="D960" s="19">
        <v>0.49</v>
      </c>
      <c r="E960" s="11">
        <v>1.2E-2</v>
      </c>
      <c r="F960" s="2">
        <f t="shared" si="149"/>
        <v>510</v>
      </c>
      <c r="G960" s="2">
        <f t="shared" si="150"/>
        <v>0.65</v>
      </c>
      <c r="H960" s="2">
        <f t="shared" si="151"/>
        <v>1.2745098039215685</v>
      </c>
      <c r="I960" s="12">
        <v>0.02</v>
      </c>
      <c r="J960" s="12">
        <v>7.0000000000000007E-2</v>
      </c>
      <c r="K960" s="12">
        <f t="shared" si="152"/>
        <v>1.6374117647058824E-2</v>
      </c>
      <c r="L960" s="12">
        <f t="shared" si="153"/>
        <v>1.3808839215686275</v>
      </c>
      <c r="M960" s="2">
        <f>L960*250</f>
        <v>345.22098039215689</v>
      </c>
      <c r="N960" s="2"/>
      <c r="O960" s="2"/>
      <c r="P960" s="2"/>
      <c r="Q960" s="2"/>
      <c r="R960" s="28">
        <v>16.666666666666668</v>
      </c>
    </row>
    <row r="961" spans="1:18" hidden="1" x14ac:dyDescent="0.25">
      <c r="A961" s="16">
        <v>45666</v>
      </c>
      <c r="B961" s="2" t="s">
        <v>90</v>
      </c>
      <c r="C961" s="2">
        <v>360</v>
      </c>
      <c r="D961" s="19">
        <v>0.18</v>
      </c>
      <c r="E961" s="11">
        <v>0.23</v>
      </c>
      <c r="F961" s="2">
        <f t="shared" si="149"/>
        <v>820</v>
      </c>
      <c r="G961" s="2">
        <f t="shared" si="150"/>
        <v>0.36</v>
      </c>
      <c r="H961" s="2">
        <f t="shared" si="151"/>
        <v>0.43902439024390244</v>
      </c>
      <c r="I961" s="12">
        <v>0.02</v>
      </c>
      <c r="J961" s="12">
        <v>7.0000000000000007E-2</v>
      </c>
      <c r="K961" s="12">
        <f t="shared" si="152"/>
        <v>0.12167560975609758</v>
      </c>
      <c r="L961" s="12">
        <f t="shared" si="153"/>
        <v>0.65070000000000006</v>
      </c>
      <c r="M961" s="2"/>
      <c r="N961" s="2"/>
      <c r="O961" s="2">
        <f>L961*500</f>
        <v>325.35000000000002</v>
      </c>
      <c r="P961" s="2"/>
      <c r="Q961" s="2"/>
      <c r="R961" s="28">
        <v>16.666666666666668</v>
      </c>
    </row>
    <row r="962" spans="1:18" hidden="1" x14ac:dyDescent="0.25">
      <c r="A962" s="16">
        <v>45667</v>
      </c>
      <c r="B962" s="2" t="s">
        <v>108</v>
      </c>
      <c r="C962" s="2">
        <v>450</v>
      </c>
      <c r="D962" s="19">
        <v>0</v>
      </c>
      <c r="E962" s="11">
        <v>9.2999999999999999E-2</v>
      </c>
      <c r="F962" s="2">
        <f t="shared" si="149"/>
        <v>1000</v>
      </c>
      <c r="G962" s="2">
        <f t="shared" si="150"/>
        <v>0.45</v>
      </c>
      <c r="H962" s="2">
        <f t="shared" si="151"/>
        <v>0.45</v>
      </c>
      <c r="I962" s="12">
        <v>0.02</v>
      </c>
      <c r="J962" s="12">
        <v>7.0000000000000007E-2</v>
      </c>
      <c r="K962" s="12">
        <f t="shared" si="152"/>
        <v>5.0220000000000001E-2</v>
      </c>
      <c r="L962" s="12">
        <f t="shared" si="153"/>
        <v>0.59022000000000008</v>
      </c>
      <c r="M962" s="2"/>
      <c r="N962" s="2"/>
      <c r="O962" s="2">
        <f>L962*500</f>
        <v>295.11</v>
      </c>
      <c r="P962" s="2"/>
      <c r="Q962" s="2"/>
      <c r="R962" s="28">
        <v>16.666666666666668</v>
      </c>
    </row>
    <row r="963" spans="1:18" hidden="1" x14ac:dyDescent="0.25">
      <c r="A963" s="16">
        <v>45667</v>
      </c>
      <c r="B963" s="2" t="s">
        <v>92</v>
      </c>
      <c r="C963" s="2">
        <v>450</v>
      </c>
      <c r="D963" s="19">
        <v>0</v>
      </c>
      <c r="E963" s="11">
        <v>0.20499999999999999</v>
      </c>
      <c r="F963" s="2">
        <f t="shared" si="149"/>
        <v>1000</v>
      </c>
      <c r="G963" s="2">
        <f t="shared" si="150"/>
        <v>0.45</v>
      </c>
      <c r="H963" s="2">
        <f t="shared" si="151"/>
        <v>0.45</v>
      </c>
      <c r="I963" s="12">
        <v>0.02</v>
      </c>
      <c r="J963" s="12">
        <v>7.0000000000000007E-2</v>
      </c>
      <c r="K963" s="12">
        <f t="shared" si="152"/>
        <v>0.11070000000000001</v>
      </c>
      <c r="L963" s="12">
        <f t="shared" si="153"/>
        <v>0.65070000000000006</v>
      </c>
      <c r="M963" s="2"/>
      <c r="N963" s="2"/>
      <c r="O963" s="2">
        <f>L963*500</f>
        <v>325.35000000000002</v>
      </c>
      <c r="P963" s="2"/>
      <c r="Q963" s="2"/>
      <c r="R963" s="28">
        <v>16.666666666666668</v>
      </c>
    </row>
    <row r="964" spans="1:18" hidden="1" x14ac:dyDescent="0.25">
      <c r="A964" s="16">
        <v>45667</v>
      </c>
      <c r="B964" s="2" t="s">
        <v>195</v>
      </c>
      <c r="C964" s="2">
        <v>650</v>
      </c>
      <c r="D964" s="19">
        <v>0.63</v>
      </c>
      <c r="E964" s="11">
        <v>-7.8E-2</v>
      </c>
      <c r="F964" s="2">
        <f t="shared" si="149"/>
        <v>370</v>
      </c>
      <c r="G964" s="2">
        <f t="shared" si="150"/>
        <v>0.65</v>
      </c>
      <c r="H964" s="2">
        <f t="shared" si="151"/>
        <v>1.7567567567567568</v>
      </c>
      <c r="I964" s="12">
        <v>0.02</v>
      </c>
      <c r="J964" s="12">
        <v>7.0000000000000007E-2</v>
      </c>
      <c r="K964" s="12">
        <f t="shared" si="152"/>
        <v>-0.14404702702702704</v>
      </c>
      <c r="L964" s="12">
        <f t="shared" si="153"/>
        <v>1.7027097297297298</v>
      </c>
      <c r="M964" s="2">
        <f>L964*250</f>
        <v>425.67743243243245</v>
      </c>
      <c r="N964" s="2"/>
      <c r="O964" s="2"/>
      <c r="P964" s="2"/>
      <c r="Q964" s="2"/>
      <c r="R964" s="28">
        <v>16.666666666666668</v>
      </c>
    </row>
    <row r="965" spans="1:18" hidden="1" x14ac:dyDescent="0.25">
      <c r="A965" s="16">
        <v>45667</v>
      </c>
      <c r="B965" s="2" t="s">
        <v>111</v>
      </c>
      <c r="C965" s="2">
        <v>650</v>
      </c>
      <c r="D965" s="19">
        <v>0.34</v>
      </c>
      <c r="E965" s="11">
        <v>0.21</v>
      </c>
      <c r="F965" s="2">
        <f t="shared" si="149"/>
        <v>660</v>
      </c>
      <c r="G965" s="2">
        <f t="shared" si="150"/>
        <v>0.65</v>
      </c>
      <c r="H965" s="2">
        <f t="shared" si="151"/>
        <v>0.98484848484848486</v>
      </c>
      <c r="I965" s="12">
        <v>0.02</v>
      </c>
      <c r="J965" s="12">
        <v>7.0000000000000007E-2</v>
      </c>
      <c r="K965" s="12">
        <f t="shared" si="152"/>
        <v>0.22571818181818182</v>
      </c>
      <c r="L965" s="12">
        <f t="shared" si="153"/>
        <v>1.3005666666666666</v>
      </c>
      <c r="M965" s="2">
        <f>L965*250</f>
        <v>325.14166666666665</v>
      </c>
      <c r="N965" s="2"/>
      <c r="O965" s="2"/>
      <c r="P965" s="2"/>
      <c r="Q965" s="2"/>
      <c r="R965" s="28">
        <v>16.666666666666668</v>
      </c>
    </row>
    <row r="966" spans="1:18" hidden="1" x14ac:dyDescent="0.25">
      <c r="A966" s="16">
        <v>45667</v>
      </c>
      <c r="B966" s="2" t="s">
        <v>94</v>
      </c>
      <c r="C966" s="2">
        <v>250</v>
      </c>
      <c r="D966" s="19">
        <v>0.06</v>
      </c>
      <c r="E966" s="11">
        <v>0.38</v>
      </c>
      <c r="F966" s="2">
        <f t="shared" si="149"/>
        <v>940</v>
      </c>
      <c r="G966" s="2">
        <f t="shared" si="150"/>
        <v>0.25</v>
      </c>
      <c r="H966" s="2">
        <f t="shared" si="151"/>
        <v>0.26595744680851063</v>
      </c>
      <c r="I966" s="12">
        <v>0.02</v>
      </c>
      <c r="J966" s="12">
        <v>7.0000000000000007E-2</v>
      </c>
      <c r="K966" s="12">
        <f t="shared" si="152"/>
        <v>0.13526382978723406</v>
      </c>
      <c r="L966" s="12">
        <f t="shared" si="153"/>
        <v>0.49122127659574472</v>
      </c>
      <c r="M966" s="2"/>
      <c r="N966" s="2"/>
      <c r="O966" s="2">
        <f>L966*500</f>
        <v>245.61063829787236</v>
      </c>
      <c r="P966" s="2"/>
      <c r="Q966" s="2"/>
      <c r="R966" s="28">
        <v>16.666666666666668</v>
      </c>
    </row>
    <row r="967" spans="1:18" hidden="1" x14ac:dyDescent="0.25">
      <c r="A967" s="16">
        <v>45667</v>
      </c>
      <c r="B967" s="2" t="s">
        <v>95</v>
      </c>
      <c r="C967" s="2">
        <v>250</v>
      </c>
      <c r="D967" s="19">
        <v>0.06</v>
      </c>
      <c r="E967" s="11">
        <v>0.38</v>
      </c>
      <c r="F967" s="2">
        <f t="shared" ref="F967:F1030" si="158">1000-1000*D967</f>
        <v>940</v>
      </c>
      <c r="G967" s="2">
        <f t="shared" ref="G967:G1030" si="159">C967/1000</f>
        <v>0.25</v>
      </c>
      <c r="H967" s="2">
        <f t="shared" ref="H967:H1030" si="160">C967/F967</f>
        <v>0.26595744680851063</v>
      </c>
      <c r="I967" s="12">
        <v>0.02</v>
      </c>
      <c r="J967" s="12">
        <v>7.0000000000000007E-2</v>
      </c>
      <c r="K967" s="12">
        <f t="shared" ref="K967:K1030" si="161">SUM(H967:J967)*E967</f>
        <v>0.13526382978723406</v>
      </c>
      <c r="L967" s="12">
        <f t="shared" ref="L967:L1030" si="162">SUM(H967:K967)</f>
        <v>0.49122127659574472</v>
      </c>
      <c r="M967" s="2"/>
      <c r="N967" s="2"/>
      <c r="O967" s="2">
        <f>L967*500</f>
        <v>245.61063829787236</v>
      </c>
      <c r="P967" s="2"/>
      <c r="Q967" s="2"/>
      <c r="R967" s="28">
        <v>16.666666666666668</v>
      </c>
    </row>
    <row r="968" spans="1:18" hidden="1" x14ac:dyDescent="0.25">
      <c r="A968" s="16">
        <v>45668</v>
      </c>
      <c r="B968" s="2" t="s">
        <v>120</v>
      </c>
      <c r="C968" s="2">
        <v>200</v>
      </c>
      <c r="D968" s="19">
        <v>0.62</v>
      </c>
      <c r="E968" s="11">
        <v>0.46400000000000002</v>
      </c>
      <c r="F968" s="10">
        <f t="shared" si="158"/>
        <v>380</v>
      </c>
      <c r="G968" s="2">
        <f t="shared" si="159"/>
        <v>0.2</v>
      </c>
      <c r="H968" s="12">
        <f t="shared" si="160"/>
        <v>0.52631578947368418</v>
      </c>
      <c r="I968" s="12">
        <v>0.02</v>
      </c>
      <c r="J968" s="12">
        <v>7.0000000000000007E-2</v>
      </c>
      <c r="K968" s="12">
        <f t="shared" si="161"/>
        <v>0.28597052631578945</v>
      </c>
      <c r="L968" s="12">
        <f t="shared" si="162"/>
        <v>0.9022863157894736</v>
      </c>
      <c r="M968" s="2">
        <f>L968*250</f>
        <v>225.57157894736841</v>
      </c>
      <c r="N968" s="2"/>
      <c r="O968" s="2"/>
      <c r="P968" s="2"/>
      <c r="Q968" s="2"/>
      <c r="R968" s="28">
        <v>16.666666666666668</v>
      </c>
    </row>
    <row r="969" spans="1:18" hidden="1" x14ac:dyDescent="0.25">
      <c r="A969" s="16">
        <v>45668</v>
      </c>
      <c r="B969" s="2" t="s">
        <v>94</v>
      </c>
      <c r="C969" s="2">
        <v>270</v>
      </c>
      <c r="D969" s="19">
        <v>0</v>
      </c>
      <c r="E969" s="11">
        <v>0.36499999999999999</v>
      </c>
      <c r="F969" s="2">
        <f t="shared" si="158"/>
        <v>1000</v>
      </c>
      <c r="G969" s="2">
        <f t="shared" si="159"/>
        <v>0.27</v>
      </c>
      <c r="H969" s="12">
        <f t="shared" si="160"/>
        <v>0.27</v>
      </c>
      <c r="I969" s="12">
        <v>0.02</v>
      </c>
      <c r="J969" s="12">
        <v>7.0000000000000007E-2</v>
      </c>
      <c r="K969" s="12">
        <f t="shared" si="161"/>
        <v>0.13140000000000002</v>
      </c>
      <c r="L969" s="12">
        <f t="shared" si="162"/>
        <v>0.49140000000000006</v>
      </c>
      <c r="M969" s="2"/>
      <c r="N969" s="2"/>
      <c r="O969" s="2">
        <f>L969*500</f>
        <v>245.70000000000002</v>
      </c>
      <c r="P969" s="2"/>
      <c r="Q969" s="2"/>
      <c r="R969" s="28">
        <v>16.666666666666668</v>
      </c>
    </row>
    <row r="970" spans="1:18" hidden="1" x14ac:dyDescent="0.25">
      <c r="A970" s="16">
        <v>45668</v>
      </c>
      <c r="B970" s="2" t="s">
        <v>95</v>
      </c>
      <c r="C970" s="2">
        <v>270</v>
      </c>
      <c r="D970" s="19">
        <v>0</v>
      </c>
      <c r="E970" s="11">
        <v>0.36499999999999999</v>
      </c>
      <c r="F970" s="2">
        <f t="shared" si="158"/>
        <v>1000</v>
      </c>
      <c r="G970" s="2">
        <f t="shared" si="159"/>
        <v>0.27</v>
      </c>
      <c r="H970" s="12">
        <f t="shared" si="160"/>
        <v>0.27</v>
      </c>
      <c r="I970" s="12">
        <v>0.02</v>
      </c>
      <c r="J970" s="12">
        <v>7.0000000000000007E-2</v>
      </c>
      <c r="K970" s="12">
        <f t="shared" si="161"/>
        <v>0.13140000000000002</v>
      </c>
      <c r="L970" s="12">
        <f t="shared" si="162"/>
        <v>0.49140000000000006</v>
      </c>
      <c r="M970" s="2"/>
      <c r="N970" s="2"/>
      <c r="O970" s="2">
        <f>L970*500</f>
        <v>245.70000000000002</v>
      </c>
      <c r="P970" s="2"/>
      <c r="Q970" s="2"/>
      <c r="R970" s="28">
        <v>16.666666666666668</v>
      </c>
    </row>
    <row r="971" spans="1:18" hidden="1" x14ac:dyDescent="0.25">
      <c r="A971" s="16">
        <v>45668</v>
      </c>
      <c r="B971" s="2" t="s">
        <v>152</v>
      </c>
      <c r="C971" s="2">
        <v>220</v>
      </c>
      <c r="D971" s="19">
        <v>0.08</v>
      </c>
      <c r="E971" s="11">
        <v>0.19</v>
      </c>
      <c r="F971" s="2">
        <f t="shared" si="158"/>
        <v>920</v>
      </c>
      <c r="G971" s="2">
        <f t="shared" si="159"/>
        <v>0.22</v>
      </c>
      <c r="H971" s="12">
        <f t="shared" si="160"/>
        <v>0.2391304347826087</v>
      </c>
      <c r="I971" s="12">
        <v>0.02</v>
      </c>
      <c r="J971" s="12">
        <v>7.0000000000000007E-2</v>
      </c>
      <c r="K971" s="12">
        <f t="shared" si="161"/>
        <v>6.253478260869566E-2</v>
      </c>
      <c r="L971" s="12">
        <f t="shared" si="162"/>
        <v>0.39166521739130439</v>
      </c>
      <c r="M971" s="2"/>
      <c r="N971" s="2"/>
      <c r="O971" s="2">
        <f>L971*500</f>
        <v>195.8326086956522</v>
      </c>
      <c r="P971" s="2"/>
      <c r="Q971" s="2"/>
      <c r="R971" s="28">
        <v>16.666666666666668</v>
      </c>
    </row>
    <row r="972" spans="1:18" hidden="1" x14ac:dyDescent="0.25">
      <c r="A972" s="16">
        <v>45668</v>
      </c>
      <c r="B972" s="2" t="s">
        <v>106</v>
      </c>
      <c r="C972" s="2">
        <v>220</v>
      </c>
      <c r="D972" s="19">
        <v>0.08</v>
      </c>
      <c r="E972" s="11">
        <v>6.4000000000000001E-2</v>
      </c>
      <c r="F972" s="2">
        <f t="shared" si="158"/>
        <v>920</v>
      </c>
      <c r="G972" s="2">
        <f t="shared" si="159"/>
        <v>0.22</v>
      </c>
      <c r="H972" s="12">
        <f t="shared" si="160"/>
        <v>0.2391304347826087</v>
      </c>
      <c r="I972" s="12">
        <v>0.02</v>
      </c>
      <c r="J972" s="12">
        <v>7.0000000000000007E-2</v>
      </c>
      <c r="K972" s="12">
        <f t="shared" si="161"/>
        <v>2.106434782608696E-2</v>
      </c>
      <c r="L972" s="12">
        <f t="shared" si="162"/>
        <v>0.35019478260869569</v>
      </c>
      <c r="M972" s="2"/>
      <c r="N972" s="2"/>
      <c r="O972" s="2">
        <f>L972*500</f>
        <v>175.09739130434784</v>
      </c>
      <c r="P972" s="2"/>
      <c r="Q972" s="2"/>
      <c r="R972" s="28">
        <v>16.666666666666668</v>
      </c>
    </row>
    <row r="973" spans="1:18" hidden="1" x14ac:dyDescent="0.25">
      <c r="A973" s="16">
        <v>45668</v>
      </c>
      <c r="B973" s="2" t="s">
        <v>112</v>
      </c>
      <c r="C973" s="2">
        <v>650</v>
      </c>
      <c r="D973" s="19">
        <v>0.42</v>
      </c>
      <c r="E973" s="11">
        <v>0.14899999999999999</v>
      </c>
      <c r="F973" s="2">
        <f t="shared" si="158"/>
        <v>580</v>
      </c>
      <c r="G973" s="2">
        <f t="shared" si="159"/>
        <v>0.65</v>
      </c>
      <c r="H973" s="2">
        <f t="shared" si="160"/>
        <v>1.1206896551724137</v>
      </c>
      <c r="I973" s="12">
        <v>0.02</v>
      </c>
      <c r="J973" s="12">
        <v>7.0000000000000007E-2</v>
      </c>
      <c r="K973" s="12">
        <f t="shared" si="161"/>
        <v>0.18039275862068965</v>
      </c>
      <c r="L973" s="12">
        <f t="shared" si="162"/>
        <v>1.3910824137931035</v>
      </c>
      <c r="M973" s="2"/>
      <c r="N973" s="2"/>
      <c r="O973" s="2">
        <f>L973*500</f>
        <v>695.54120689655178</v>
      </c>
      <c r="P973" s="2"/>
      <c r="Q973" s="2"/>
      <c r="R973" s="28">
        <v>16.666666666666668</v>
      </c>
    </row>
    <row r="974" spans="1:18" hidden="1" x14ac:dyDescent="0.25">
      <c r="A974" s="16">
        <v>45668</v>
      </c>
      <c r="B974" s="2" t="s">
        <v>111</v>
      </c>
      <c r="C974" s="2">
        <v>650</v>
      </c>
      <c r="D974" s="19">
        <v>0.42</v>
      </c>
      <c r="E974" s="11">
        <v>0.14000000000000001</v>
      </c>
      <c r="F974" s="2">
        <f t="shared" si="158"/>
        <v>580</v>
      </c>
      <c r="G974" s="2">
        <f t="shared" si="159"/>
        <v>0.65</v>
      </c>
      <c r="H974" s="2">
        <f t="shared" si="160"/>
        <v>1.1206896551724137</v>
      </c>
      <c r="I974" s="12">
        <v>0.02</v>
      </c>
      <c r="J974" s="12">
        <v>7.0000000000000007E-2</v>
      </c>
      <c r="K974" s="12">
        <f t="shared" si="161"/>
        <v>0.16949655172413794</v>
      </c>
      <c r="L974" s="12">
        <f t="shared" si="162"/>
        <v>1.3801862068965518</v>
      </c>
      <c r="M974" s="2">
        <f>L974*250</f>
        <v>345.04655172413794</v>
      </c>
      <c r="N974" s="2"/>
      <c r="O974" s="2"/>
      <c r="P974" s="2"/>
      <c r="Q974" s="2"/>
      <c r="R974" s="28">
        <v>16.666666666666668</v>
      </c>
    </row>
    <row r="975" spans="1:18" hidden="1" x14ac:dyDescent="0.25">
      <c r="A975" s="16">
        <v>45668</v>
      </c>
      <c r="B975" s="2" t="s">
        <v>113</v>
      </c>
      <c r="C975" s="2">
        <v>650</v>
      </c>
      <c r="D975" s="19">
        <v>0.42</v>
      </c>
      <c r="E975" s="11">
        <v>0.40500000000000003</v>
      </c>
      <c r="F975" s="2">
        <f t="shared" si="158"/>
        <v>580</v>
      </c>
      <c r="G975" s="2">
        <f t="shared" si="159"/>
        <v>0.65</v>
      </c>
      <c r="H975" s="2">
        <f t="shared" si="160"/>
        <v>1.1206896551724137</v>
      </c>
      <c r="I975" s="12">
        <v>0.02</v>
      </c>
      <c r="J975" s="12">
        <v>7.0000000000000007E-2</v>
      </c>
      <c r="K975" s="12">
        <f t="shared" si="161"/>
        <v>0.49032931034482763</v>
      </c>
      <c r="L975" s="12">
        <f t="shared" si="162"/>
        <v>1.7010189655172414</v>
      </c>
      <c r="M975" s="2">
        <f>L975*250</f>
        <v>425.25474137931036</v>
      </c>
      <c r="N975" s="2"/>
      <c r="O975" s="2"/>
      <c r="P975" s="2"/>
      <c r="Q975" s="2"/>
      <c r="R975" s="28">
        <v>16.666666666666668</v>
      </c>
    </row>
    <row r="976" spans="1:18" hidden="1" x14ac:dyDescent="0.25">
      <c r="A976" s="16">
        <v>45668</v>
      </c>
      <c r="B976" s="2" t="s">
        <v>90</v>
      </c>
      <c r="C976" s="2">
        <v>400</v>
      </c>
      <c r="D976" s="19">
        <v>0.23</v>
      </c>
      <c r="E976" s="11">
        <v>6.7000000000000004E-2</v>
      </c>
      <c r="F976" s="2">
        <f t="shared" si="158"/>
        <v>770</v>
      </c>
      <c r="G976" s="2">
        <f t="shared" si="159"/>
        <v>0.4</v>
      </c>
      <c r="H976" s="2">
        <f t="shared" si="160"/>
        <v>0.51948051948051943</v>
      </c>
      <c r="I976" s="12">
        <v>0.02</v>
      </c>
      <c r="J976" s="12">
        <v>7.0000000000000007E-2</v>
      </c>
      <c r="K976" s="12">
        <f t="shared" si="161"/>
        <v>4.0835194805194812E-2</v>
      </c>
      <c r="L976" s="12">
        <f t="shared" si="162"/>
        <v>0.65031571428571433</v>
      </c>
      <c r="M976" s="2"/>
      <c r="N976" s="2"/>
      <c r="O976" s="2">
        <f t="shared" ref="O976:O987" si="163">L976*500</f>
        <v>325.15785714285715</v>
      </c>
      <c r="P976" s="2"/>
      <c r="Q976" s="2"/>
      <c r="R976" s="28">
        <v>16.666666666666668</v>
      </c>
    </row>
    <row r="977" spans="1:18" hidden="1" x14ac:dyDescent="0.25">
      <c r="A977" s="16">
        <v>45668</v>
      </c>
      <c r="B977" s="2" t="s">
        <v>91</v>
      </c>
      <c r="C977" s="2">
        <v>400</v>
      </c>
      <c r="D977" s="19">
        <v>0.23</v>
      </c>
      <c r="E977" s="11">
        <v>6.7000000000000004E-2</v>
      </c>
      <c r="F977" s="2">
        <f t="shared" si="158"/>
        <v>770</v>
      </c>
      <c r="G977" s="2">
        <f t="shared" si="159"/>
        <v>0.4</v>
      </c>
      <c r="H977" s="2">
        <f t="shared" si="160"/>
        <v>0.51948051948051943</v>
      </c>
      <c r="I977" s="12">
        <v>0.02</v>
      </c>
      <c r="J977" s="12">
        <v>7.0000000000000007E-2</v>
      </c>
      <c r="K977" s="12">
        <f t="shared" si="161"/>
        <v>4.0835194805194812E-2</v>
      </c>
      <c r="L977" s="12">
        <f t="shared" si="162"/>
        <v>0.65031571428571433</v>
      </c>
      <c r="M977" s="2"/>
      <c r="N977" s="2"/>
      <c r="O977" s="2">
        <f t="shared" si="163"/>
        <v>325.15785714285715</v>
      </c>
      <c r="P977" s="2"/>
      <c r="Q977" s="2"/>
      <c r="R977" s="28">
        <v>16.666666666666668</v>
      </c>
    </row>
    <row r="978" spans="1:18" hidden="1" x14ac:dyDescent="0.25">
      <c r="A978" s="16">
        <v>45668</v>
      </c>
      <c r="B978" s="2" t="s">
        <v>192</v>
      </c>
      <c r="C978" s="2">
        <v>600</v>
      </c>
      <c r="D978" s="19">
        <v>0.11</v>
      </c>
      <c r="E978" s="11">
        <v>-1.6E-2</v>
      </c>
      <c r="F978" s="2">
        <f t="shared" si="158"/>
        <v>890</v>
      </c>
      <c r="G978" s="2">
        <f t="shared" si="159"/>
        <v>0.6</v>
      </c>
      <c r="H978" s="2">
        <f t="shared" si="160"/>
        <v>0.6741573033707865</v>
      </c>
      <c r="I978" s="12">
        <v>0.02</v>
      </c>
      <c r="J978" s="12">
        <v>7.0000000000000007E-2</v>
      </c>
      <c r="K978" s="12">
        <f t="shared" si="161"/>
        <v>-1.2226516853932584E-2</v>
      </c>
      <c r="L978" s="12">
        <f t="shared" si="162"/>
        <v>0.75193078651685386</v>
      </c>
      <c r="M978" s="2"/>
      <c r="N978" s="2"/>
      <c r="O978" s="2">
        <f t="shared" si="163"/>
        <v>375.9653932584269</v>
      </c>
      <c r="P978" s="2"/>
      <c r="Q978" s="2"/>
      <c r="R978" s="28">
        <v>16.666666666666668</v>
      </c>
    </row>
    <row r="979" spans="1:18" hidden="1" x14ac:dyDescent="0.25">
      <c r="A979" s="16">
        <v>45668</v>
      </c>
      <c r="B979" s="2" t="s">
        <v>93</v>
      </c>
      <c r="C979" s="2">
        <v>600</v>
      </c>
      <c r="D979" s="19">
        <v>0.11</v>
      </c>
      <c r="E979" s="11">
        <v>3.5000000000000003E-2</v>
      </c>
      <c r="F979" s="2">
        <f t="shared" si="158"/>
        <v>890</v>
      </c>
      <c r="G979" s="2">
        <f t="shared" si="159"/>
        <v>0.6</v>
      </c>
      <c r="H979" s="2">
        <f t="shared" si="160"/>
        <v>0.6741573033707865</v>
      </c>
      <c r="I979" s="12">
        <v>0.02</v>
      </c>
      <c r="J979" s="12">
        <v>7.0000000000000007E-2</v>
      </c>
      <c r="K979" s="12">
        <f t="shared" si="161"/>
        <v>2.674550561797753E-2</v>
      </c>
      <c r="L979" s="12">
        <f t="shared" si="162"/>
        <v>0.79090280898876397</v>
      </c>
      <c r="M979" s="2"/>
      <c r="N979" s="2"/>
      <c r="O979" s="2">
        <f t="shared" si="163"/>
        <v>395.45140449438196</v>
      </c>
      <c r="P979" s="2"/>
      <c r="Q979" s="2"/>
      <c r="R979" s="28">
        <v>16.666666666666668</v>
      </c>
    </row>
    <row r="980" spans="1:18" hidden="1" x14ac:dyDescent="0.25">
      <c r="A980" s="16">
        <v>45669</v>
      </c>
      <c r="B980" s="2" t="s">
        <v>116</v>
      </c>
      <c r="C980" s="2">
        <v>200</v>
      </c>
      <c r="D980" s="19">
        <v>0.55000000000000004</v>
      </c>
      <c r="E980" s="11">
        <v>0.29199999999999998</v>
      </c>
      <c r="F980" s="2">
        <f t="shared" si="158"/>
        <v>450</v>
      </c>
      <c r="G980" s="2">
        <f t="shared" si="159"/>
        <v>0.2</v>
      </c>
      <c r="H980" s="2">
        <f t="shared" si="160"/>
        <v>0.44444444444444442</v>
      </c>
      <c r="I980" s="12">
        <v>0.02</v>
      </c>
      <c r="J980" s="12">
        <v>7.0000000000000007E-2</v>
      </c>
      <c r="K980" s="12">
        <f t="shared" si="161"/>
        <v>0.1560577777777778</v>
      </c>
      <c r="L980" s="12">
        <f t="shared" si="162"/>
        <v>0.69050222222222235</v>
      </c>
      <c r="M980" s="2"/>
      <c r="N980" s="2"/>
      <c r="O980" s="2">
        <f t="shared" si="163"/>
        <v>345.25111111111119</v>
      </c>
      <c r="P980" s="2"/>
      <c r="Q980" s="2"/>
      <c r="R980" s="28">
        <v>16.666666666666668</v>
      </c>
    </row>
    <row r="981" spans="1:18" hidden="1" x14ac:dyDescent="0.25">
      <c r="A981" s="16">
        <v>45669</v>
      </c>
      <c r="B981" s="2" t="s">
        <v>110</v>
      </c>
      <c r="C981" s="2">
        <v>150</v>
      </c>
      <c r="D981" s="19">
        <v>0.03</v>
      </c>
      <c r="E981" s="11">
        <v>0.03</v>
      </c>
      <c r="F981" s="2">
        <f t="shared" si="158"/>
        <v>970</v>
      </c>
      <c r="G981" s="2">
        <f t="shared" si="159"/>
        <v>0.15</v>
      </c>
      <c r="H981" s="2">
        <f t="shared" si="160"/>
        <v>0.15463917525773196</v>
      </c>
      <c r="I981" s="12">
        <v>0.02</v>
      </c>
      <c r="J981" s="12">
        <v>7.0000000000000007E-2</v>
      </c>
      <c r="K981" s="12">
        <f t="shared" si="161"/>
        <v>7.3391752577319589E-3</v>
      </c>
      <c r="L981" s="12">
        <f t="shared" si="162"/>
        <v>0.25197835051546391</v>
      </c>
      <c r="M981" s="2"/>
      <c r="N981" s="2"/>
      <c r="O981" s="2">
        <f t="shared" si="163"/>
        <v>125.98917525773196</v>
      </c>
      <c r="P981" s="2"/>
      <c r="Q981" s="2"/>
      <c r="R981" s="28">
        <v>16.666666666666668</v>
      </c>
    </row>
    <row r="982" spans="1:18" hidden="1" x14ac:dyDescent="0.25">
      <c r="A982" s="16">
        <v>45669</v>
      </c>
      <c r="B982" s="2" t="s">
        <v>93</v>
      </c>
      <c r="C982" s="2">
        <v>630</v>
      </c>
      <c r="D982" s="19">
        <v>0</v>
      </c>
      <c r="E982" s="11">
        <v>9.8000000000000004E-2</v>
      </c>
      <c r="F982" s="2">
        <f t="shared" si="158"/>
        <v>1000</v>
      </c>
      <c r="G982" s="2">
        <f t="shared" si="159"/>
        <v>0.63</v>
      </c>
      <c r="H982" s="2">
        <f t="shared" si="160"/>
        <v>0.63</v>
      </c>
      <c r="I982" s="12">
        <v>0.02</v>
      </c>
      <c r="J982" s="12">
        <v>7.0000000000000007E-2</v>
      </c>
      <c r="K982" s="12">
        <f t="shared" si="161"/>
        <v>7.0559999999999998E-2</v>
      </c>
      <c r="L982" s="12">
        <f t="shared" si="162"/>
        <v>0.79055999999999993</v>
      </c>
      <c r="M982" s="2"/>
      <c r="N982" s="2"/>
      <c r="O982" s="2">
        <f t="shared" si="163"/>
        <v>395.28</v>
      </c>
      <c r="P982" s="2"/>
      <c r="Q982" s="2"/>
      <c r="R982" s="28">
        <v>16.666666666666668</v>
      </c>
    </row>
    <row r="983" spans="1:18" hidden="1" x14ac:dyDescent="0.25">
      <c r="A983" s="16">
        <v>45669</v>
      </c>
      <c r="B983" s="2" t="s">
        <v>192</v>
      </c>
      <c r="C983" s="2">
        <v>540</v>
      </c>
      <c r="D983" s="19">
        <v>0</v>
      </c>
      <c r="E983" s="11">
        <v>0.193</v>
      </c>
      <c r="F983" s="2">
        <f t="shared" si="158"/>
        <v>1000</v>
      </c>
      <c r="G983" s="2">
        <f t="shared" si="159"/>
        <v>0.54</v>
      </c>
      <c r="H983" s="2">
        <f t="shared" si="160"/>
        <v>0.54</v>
      </c>
      <c r="I983" s="12">
        <v>0.02</v>
      </c>
      <c r="J983" s="12">
        <v>7.0000000000000007E-2</v>
      </c>
      <c r="K983" s="12">
        <f t="shared" si="161"/>
        <v>0.12159000000000003</v>
      </c>
      <c r="L983" s="12">
        <f t="shared" si="162"/>
        <v>0.7515900000000002</v>
      </c>
      <c r="M983" s="2"/>
      <c r="N983" s="2"/>
      <c r="O983" s="2">
        <f t="shared" si="163"/>
        <v>375.79500000000007</v>
      </c>
      <c r="P983" s="2"/>
      <c r="Q983" s="2"/>
      <c r="R983" s="28">
        <v>16.666666666666668</v>
      </c>
    </row>
    <row r="984" spans="1:18" hidden="1" x14ac:dyDescent="0.25">
      <c r="A984" s="16">
        <v>45669</v>
      </c>
      <c r="B984" s="2" t="s">
        <v>108</v>
      </c>
      <c r="C984" s="2">
        <v>430</v>
      </c>
      <c r="D984" s="19">
        <v>0</v>
      </c>
      <c r="E984" s="11">
        <v>0.13600000000000001</v>
      </c>
      <c r="F984" s="2">
        <f t="shared" si="158"/>
        <v>1000</v>
      </c>
      <c r="G984" s="2">
        <f t="shared" si="159"/>
        <v>0.43</v>
      </c>
      <c r="H984" s="2">
        <f t="shared" si="160"/>
        <v>0.43</v>
      </c>
      <c r="I984" s="12">
        <v>0.02</v>
      </c>
      <c r="J984" s="12">
        <v>7.0000000000000007E-2</v>
      </c>
      <c r="K984" s="12">
        <f t="shared" si="161"/>
        <v>7.0720000000000005E-2</v>
      </c>
      <c r="L984" s="12">
        <f t="shared" si="162"/>
        <v>0.59072000000000002</v>
      </c>
      <c r="M984" s="2"/>
      <c r="N984" s="2"/>
      <c r="O984" s="2">
        <f t="shared" si="163"/>
        <v>295.36</v>
      </c>
      <c r="P984" s="2"/>
      <c r="Q984" s="2"/>
      <c r="R984" s="28">
        <v>16.666666666666668</v>
      </c>
    </row>
    <row r="985" spans="1:18" hidden="1" x14ac:dyDescent="0.25">
      <c r="A985" s="16">
        <v>45669</v>
      </c>
      <c r="B985" s="2" t="s">
        <v>92</v>
      </c>
      <c r="C985" s="2">
        <v>430</v>
      </c>
      <c r="D985" s="19">
        <v>0</v>
      </c>
      <c r="E985" s="11">
        <v>0.25</v>
      </c>
      <c r="F985" s="2">
        <f t="shared" si="158"/>
        <v>1000</v>
      </c>
      <c r="G985" s="2">
        <f t="shared" si="159"/>
        <v>0.43</v>
      </c>
      <c r="H985" s="2">
        <f t="shared" si="160"/>
        <v>0.43</v>
      </c>
      <c r="I985" s="12">
        <v>0.02</v>
      </c>
      <c r="J985" s="12">
        <v>7.0000000000000007E-2</v>
      </c>
      <c r="K985" s="12">
        <f t="shared" si="161"/>
        <v>0.13</v>
      </c>
      <c r="L985" s="12">
        <f t="shared" si="162"/>
        <v>0.65</v>
      </c>
      <c r="M985" s="2"/>
      <c r="N985" s="2"/>
      <c r="O985" s="2">
        <f t="shared" si="163"/>
        <v>325</v>
      </c>
      <c r="P985" s="2"/>
      <c r="Q985" s="2"/>
      <c r="R985" s="28">
        <v>16.666666666666668</v>
      </c>
    </row>
    <row r="986" spans="1:18" hidden="1" x14ac:dyDescent="0.25">
      <c r="A986" s="16">
        <v>45669</v>
      </c>
      <c r="B986" s="2" t="s">
        <v>126</v>
      </c>
      <c r="C986" s="2">
        <v>620</v>
      </c>
      <c r="D986" s="19">
        <v>0</v>
      </c>
      <c r="E986" s="11">
        <v>0</v>
      </c>
      <c r="F986" s="2">
        <f t="shared" si="158"/>
        <v>1000</v>
      </c>
      <c r="G986" s="2">
        <f t="shared" si="159"/>
        <v>0.62</v>
      </c>
      <c r="H986" s="2">
        <f t="shared" si="160"/>
        <v>0.62</v>
      </c>
      <c r="I986" s="12">
        <v>0.02</v>
      </c>
      <c r="J986" s="12">
        <v>7.0000000000000007E-2</v>
      </c>
      <c r="K986" s="12">
        <f t="shared" si="161"/>
        <v>0</v>
      </c>
      <c r="L986" s="12">
        <f t="shared" si="162"/>
        <v>0.71</v>
      </c>
      <c r="M986" s="2"/>
      <c r="N986" s="2"/>
      <c r="O986" s="2">
        <f t="shared" si="163"/>
        <v>355</v>
      </c>
      <c r="P986" s="2"/>
      <c r="Q986" s="2"/>
      <c r="R986" s="28">
        <v>16.666666666666668</v>
      </c>
    </row>
    <row r="987" spans="1:18" hidden="1" x14ac:dyDescent="0.25">
      <c r="A987" s="16">
        <v>45669</v>
      </c>
      <c r="B987" s="2" t="s">
        <v>128</v>
      </c>
      <c r="C987" s="2">
        <v>300</v>
      </c>
      <c r="D987" s="19">
        <v>0.06</v>
      </c>
      <c r="E987" s="11">
        <v>0.44400000000000001</v>
      </c>
      <c r="F987" s="2">
        <f t="shared" si="158"/>
        <v>940</v>
      </c>
      <c r="G987" s="2">
        <f t="shared" si="159"/>
        <v>0.3</v>
      </c>
      <c r="H987" s="2">
        <f t="shared" si="160"/>
        <v>0.31914893617021278</v>
      </c>
      <c r="I987" s="12">
        <v>0.02</v>
      </c>
      <c r="J987" s="12">
        <v>7.0000000000000007E-2</v>
      </c>
      <c r="K987" s="12">
        <f t="shared" si="161"/>
        <v>0.18166212765957448</v>
      </c>
      <c r="L987" s="12">
        <f t="shared" si="162"/>
        <v>0.59081106382978732</v>
      </c>
      <c r="M987" s="2"/>
      <c r="N987" s="2"/>
      <c r="O987" s="2">
        <f t="shared" si="163"/>
        <v>295.40553191489369</v>
      </c>
      <c r="P987" s="2"/>
      <c r="Q987" s="2"/>
      <c r="R987" s="28">
        <v>16.666666666666668</v>
      </c>
    </row>
    <row r="988" spans="1:18" hidden="1" x14ac:dyDescent="0.25">
      <c r="A988" s="16">
        <v>45669</v>
      </c>
      <c r="B988" s="2" t="s">
        <v>111</v>
      </c>
      <c r="C988" s="2">
        <v>650</v>
      </c>
      <c r="D988" s="19">
        <v>0.64</v>
      </c>
      <c r="E988" s="11">
        <v>-0.27</v>
      </c>
      <c r="F988" s="2">
        <f t="shared" si="158"/>
        <v>360</v>
      </c>
      <c r="G988" s="2">
        <f t="shared" si="159"/>
        <v>0.65</v>
      </c>
      <c r="H988" s="2">
        <f t="shared" si="160"/>
        <v>1.8055555555555556</v>
      </c>
      <c r="I988" s="12">
        <v>0.02</v>
      </c>
      <c r="J988" s="12">
        <v>7.0000000000000007E-2</v>
      </c>
      <c r="K988" s="12">
        <f t="shared" si="161"/>
        <v>-0.51180000000000003</v>
      </c>
      <c r="L988" s="12">
        <f t="shared" si="162"/>
        <v>1.3837555555555556</v>
      </c>
      <c r="M988" s="2">
        <f>L988*250</f>
        <v>345.93888888888893</v>
      </c>
      <c r="N988" s="2"/>
      <c r="O988" s="2"/>
      <c r="P988" s="2"/>
      <c r="Q988" s="2"/>
      <c r="R988" s="28">
        <v>16.666666666666668</v>
      </c>
    </row>
    <row r="989" spans="1:18" hidden="1" x14ac:dyDescent="0.25">
      <c r="A989" s="16">
        <v>45669</v>
      </c>
      <c r="B989" s="2" t="s">
        <v>113</v>
      </c>
      <c r="C989" s="2">
        <v>650</v>
      </c>
      <c r="D989" s="19">
        <v>0.64</v>
      </c>
      <c r="E989" s="11">
        <v>-0.10199999999999999</v>
      </c>
      <c r="F989" s="2">
        <f t="shared" si="158"/>
        <v>360</v>
      </c>
      <c r="G989" s="2">
        <f t="shared" si="159"/>
        <v>0.65</v>
      </c>
      <c r="H989" s="2">
        <f t="shared" si="160"/>
        <v>1.8055555555555556</v>
      </c>
      <c r="I989" s="12">
        <v>0.02</v>
      </c>
      <c r="J989" s="12">
        <v>7.0000000000000007E-2</v>
      </c>
      <c r="K989" s="12">
        <f t="shared" si="161"/>
        <v>-0.19334666666666667</v>
      </c>
      <c r="L989" s="12">
        <f t="shared" si="162"/>
        <v>1.7022088888888889</v>
      </c>
      <c r="M989" s="2">
        <f>L989*250</f>
        <v>425.55222222222221</v>
      </c>
      <c r="N989" s="2"/>
      <c r="O989" s="2"/>
      <c r="P989" s="2"/>
      <c r="Q989" s="2"/>
      <c r="R989" s="28">
        <v>16.666666666666668</v>
      </c>
    </row>
    <row r="990" spans="1:18" hidden="1" x14ac:dyDescent="0.25">
      <c r="A990" s="16">
        <v>45669</v>
      </c>
      <c r="B990" s="2" t="s">
        <v>120</v>
      </c>
      <c r="C990" s="2">
        <v>270</v>
      </c>
      <c r="D990" s="19">
        <v>0.5</v>
      </c>
      <c r="E990" s="11">
        <v>0.43</v>
      </c>
      <c r="F990" s="2">
        <f t="shared" si="158"/>
        <v>500</v>
      </c>
      <c r="G990" s="2">
        <f t="shared" si="159"/>
        <v>0.27</v>
      </c>
      <c r="H990" s="2">
        <f t="shared" si="160"/>
        <v>0.54</v>
      </c>
      <c r="I990" s="12">
        <v>0.02</v>
      </c>
      <c r="J990" s="12">
        <v>7.0000000000000007E-2</v>
      </c>
      <c r="K990" s="12">
        <f t="shared" si="161"/>
        <v>0.27090000000000003</v>
      </c>
      <c r="L990" s="12">
        <f t="shared" si="162"/>
        <v>0.90090000000000015</v>
      </c>
      <c r="M990" s="2">
        <f>L990*250</f>
        <v>225.22500000000002</v>
      </c>
      <c r="N990" s="2"/>
      <c r="O990" s="2"/>
      <c r="P990" s="2"/>
      <c r="Q990" s="2"/>
      <c r="R990" s="28">
        <v>16.666666666666668</v>
      </c>
    </row>
    <row r="991" spans="1:18" hidden="1" x14ac:dyDescent="0.25">
      <c r="A991" s="16">
        <v>45669</v>
      </c>
      <c r="B991" s="2" t="s">
        <v>94</v>
      </c>
      <c r="C991" s="2">
        <v>280</v>
      </c>
      <c r="D991" s="19">
        <v>0</v>
      </c>
      <c r="E991" s="11">
        <v>0</v>
      </c>
      <c r="F991" s="2">
        <f t="shared" si="158"/>
        <v>1000</v>
      </c>
      <c r="G991" s="2">
        <f t="shared" si="159"/>
        <v>0.28000000000000003</v>
      </c>
      <c r="H991" s="2">
        <f t="shared" si="160"/>
        <v>0.28000000000000003</v>
      </c>
      <c r="I991" s="12">
        <v>0.02</v>
      </c>
      <c r="J991" s="12">
        <v>7.0000000000000007E-2</v>
      </c>
      <c r="K991" s="12">
        <f t="shared" si="161"/>
        <v>0</v>
      </c>
      <c r="L991" s="12">
        <f t="shared" si="162"/>
        <v>0.37000000000000005</v>
      </c>
      <c r="M991" s="2"/>
      <c r="N991" s="2"/>
      <c r="O991" s="2">
        <f>L991*500</f>
        <v>185.00000000000003</v>
      </c>
      <c r="P991" s="2"/>
      <c r="Q991" s="2"/>
      <c r="R991" s="28">
        <v>16.666666666666668</v>
      </c>
    </row>
    <row r="992" spans="1:18" hidden="1" x14ac:dyDescent="0.25">
      <c r="A992" s="16">
        <v>45669</v>
      </c>
      <c r="B992" s="2" t="s">
        <v>95</v>
      </c>
      <c r="C992" s="2">
        <v>280</v>
      </c>
      <c r="D992" s="19">
        <v>0</v>
      </c>
      <c r="E992" s="11">
        <v>0</v>
      </c>
      <c r="F992" s="2">
        <f t="shared" si="158"/>
        <v>1000</v>
      </c>
      <c r="G992" s="2">
        <f t="shared" si="159"/>
        <v>0.28000000000000003</v>
      </c>
      <c r="H992" s="2">
        <f t="shared" si="160"/>
        <v>0.28000000000000003</v>
      </c>
      <c r="I992" s="12">
        <v>0.02</v>
      </c>
      <c r="J992" s="12">
        <v>7.0000000000000007E-2</v>
      </c>
      <c r="K992" s="12">
        <f t="shared" si="161"/>
        <v>0</v>
      </c>
      <c r="L992" s="12">
        <f t="shared" si="162"/>
        <v>0.37000000000000005</v>
      </c>
      <c r="M992" s="2"/>
      <c r="N992" s="2"/>
      <c r="O992" s="2">
        <f>L992*500</f>
        <v>185.00000000000003</v>
      </c>
      <c r="P992" s="2"/>
      <c r="Q992" s="2"/>
      <c r="R992" s="28">
        <v>16.666666666666668</v>
      </c>
    </row>
    <row r="993" spans="1:18" hidden="1" x14ac:dyDescent="0.25">
      <c r="A993" s="16">
        <v>45671</v>
      </c>
      <c r="B993" s="2" t="s">
        <v>111</v>
      </c>
      <c r="C993" s="2">
        <v>650</v>
      </c>
      <c r="D993" s="19">
        <v>0.37</v>
      </c>
      <c r="E993" s="11">
        <v>0.23200000000000001</v>
      </c>
      <c r="F993" s="2">
        <f t="shared" si="158"/>
        <v>630</v>
      </c>
      <c r="G993" s="2">
        <f t="shared" si="159"/>
        <v>0.65</v>
      </c>
      <c r="H993" s="2">
        <f t="shared" si="160"/>
        <v>1.0317460317460319</v>
      </c>
      <c r="I993" s="12">
        <v>0.02</v>
      </c>
      <c r="J993" s="12">
        <v>7.0000000000000007E-2</v>
      </c>
      <c r="K993" s="12">
        <f t="shared" si="161"/>
        <v>0.2602450793650794</v>
      </c>
      <c r="L993" s="12">
        <f t="shared" si="162"/>
        <v>1.3819911111111114</v>
      </c>
      <c r="M993" s="2">
        <f>L993*250</f>
        <v>345.49777777777786</v>
      </c>
      <c r="N993" s="2"/>
      <c r="O993" s="2"/>
      <c r="P993" s="2"/>
      <c r="Q993" s="2"/>
      <c r="R993" s="28">
        <v>16.666666666666668</v>
      </c>
    </row>
    <row r="994" spans="1:18" hidden="1" x14ac:dyDescent="0.25">
      <c r="A994" s="16">
        <v>45671</v>
      </c>
      <c r="B994" s="2" t="s">
        <v>152</v>
      </c>
      <c r="C994" s="2">
        <v>200</v>
      </c>
      <c r="D994" s="19">
        <v>0.2</v>
      </c>
      <c r="E994" s="11">
        <v>0.15</v>
      </c>
      <c r="F994" s="2">
        <f t="shared" si="158"/>
        <v>800</v>
      </c>
      <c r="G994" s="2">
        <f t="shared" si="159"/>
        <v>0.2</v>
      </c>
      <c r="H994" s="2">
        <f t="shared" si="160"/>
        <v>0.25</v>
      </c>
      <c r="I994" s="12">
        <v>0.02</v>
      </c>
      <c r="J994" s="12">
        <v>7.0000000000000007E-2</v>
      </c>
      <c r="K994" s="12">
        <f t="shared" si="161"/>
        <v>5.1000000000000004E-2</v>
      </c>
      <c r="L994" s="12">
        <f t="shared" si="162"/>
        <v>0.39100000000000001</v>
      </c>
      <c r="M994" s="2"/>
      <c r="N994" s="2"/>
      <c r="O994" s="2">
        <f t="shared" ref="O994:O1003" si="164">L994*500</f>
        <v>195.5</v>
      </c>
      <c r="P994" s="2"/>
      <c r="Q994" s="2"/>
      <c r="R994" s="28">
        <v>16.666666666666668</v>
      </c>
    </row>
    <row r="995" spans="1:18" hidden="1" x14ac:dyDescent="0.25">
      <c r="A995" s="16">
        <v>45671</v>
      </c>
      <c r="B995" s="2" t="s">
        <v>106</v>
      </c>
      <c r="C995" s="2">
        <v>200</v>
      </c>
      <c r="D995" s="19">
        <v>0.2</v>
      </c>
      <c r="E995" s="11">
        <v>0.03</v>
      </c>
      <c r="F995" s="2">
        <f t="shared" si="158"/>
        <v>800</v>
      </c>
      <c r="G995" s="2">
        <f t="shared" si="159"/>
        <v>0.2</v>
      </c>
      <c r="H995" s="2">
        <f t="shared" si="160"/>
        <v>0.25</v>
      </c>
      <c r="I995" s="12">
        <v>0.02</v>
      </c>
      <c r="J995" s="12">
        <v>7.0000000000000007E-2</v>
      </c>
      <c r="K995" s="12">
        <f t="shared" si="161"/>
        <v>1.0200000000000001E-2</v>
      </c>
      <c r="L995" s="12">
        <f t="shared" si="162"/>
        <v>0.35020000000000001</v>
      </c>
      <c r="M995" s="2"/>
      <c r="N995" s="2"/>
      <c r="O995" s="2">
        <f t="shared" si="164"/>
        <v>175.1</v>
      </c>
      <c r="P995" s="2"/>
      <c r="Q995" s="2"/>
      <c r="R995" s="28">
        <v>16.666666666666668</v>
      </c>
    </row>
    <row r="996" spans="1:18" hidden="1" x14ac:dyDescent="0.25">
      <c r="A996" s="16">
        <v>45671</v>
      </c>
      <c r="B996" s="2" t="s">
        <v>94</v>
      </c>
      <c r="C996" s="2">
        <v>280</v>
      </c>
      <c r="D996" s="19">
        <v>0.1</v>
      </c>
      <c r="E996" s="11">
        <v>0.22500000000000001</v>
      </c>
      <c r="F996" s="2">
        <f t="shared" si="158"/>
        <v>900</v>
      </c>
      <c r="G996" s="2">
        <f t="shared" si="159"/>
        <v>0.28000000000000003</v>
      </c>
      <c r="H996" s="2">
        <f t="shared" si="160"/>
        <v>0.31111111111111112</v>
      </c>
      <c r="I996" s="12">
        <v>0.02</v>
      </c>
      <c r="J996" s="12">
        <v>7.0000000000000007E-2</v>
      </c>
      <c r="K996" s="12">
        <f t="shared" si="161"/>
        <v>9.0250000000000011E-2</v>
      </c>
      <c r="L996" s="12">
        <f t="shared" si="162"/>
        <v>0.49136111111111114</v>
      </c>
      <c r="M996" s="2"/>
      <c r="N996" s="2"/>
      <c r="O996" s="2">
        <f t="shared" si="164"/>
        <v>245.68055555555557</v>
      </c>
      <c r="P996" s="2"/>
      <c r="Q996" s="2"/>
      <c r="R996" s="28">
        <v>16.666666666666668</v>
      </c>
    </row>
    <row r="997" spans="1:18" hidden="1" x14ac:dyDescent="0.25">
      <c r="A997" s="16">
        <v>45671</v>
      </c>
      <c r="B997" s="2" t="s">
        <v>95</v>
      </c>
      <c r="C997" s="2">
        <v>280</v>
      </c>
      <c r="D997" s="19">
        <v>0.1</v>
      </c>
      <c r="E997" s="11">
        <v>0.22500000000000001</v>
      </c>
      <c r="F997" s="2">
        <f t="shared" si="158"/>
        <v>900</v>
      </c>
      <c r="G997" s="2">
        <f t="shared" si="159"/>
        <v>0.28000000000000003</v>
      </c>
      <c r="H997" s="2">
        <f t="shared" si="160"/>
        <v>0.31111111111111112</v>
      </c>
      <c r="I997" s="12">
        <v>0.02</v>
      </c>
      <c r="J997" s="12">
        <v>7.0000000000000007E-2</v>
      </c>
      <c r="K997" s="12">
        <f t="shared" si="161"/>
        <v>9.0250000000000011E-2</v>
      </c>
      <c r="L997" s="12">
        <f t="shared" si="162"/>
        <v>0.49136111111111114</v>
      </c>
      <c r="M997" s="2"/>
      <c r="N997" s="2"/>
      <c r="O997" s="2">
        <f t="shared" si="164"/>
        <v>245.68055555555557</v>
      </c>
      <c r="P997" s="2"/>
      <c r="Q997" s="2"/>
      <c r="R997" s="28">
        <v>16.666666666666668</v>
      </c>
    </row>
    <row r="998" spans="1:18" hidden="1" x14ac:dyDescent="0.25">
      <c r="A998" s="16">
        <v>45671</v>
      </c>
      <c r="B998" s="2" t="s">
        <v>90</v>
      </c>
      <c r="C998" s="2">
        <v>400</v>
      </c>
      <c r="D998" s="19">
        <v>0.16</v>
      </c>
      <c r="E998" s="11">
        <v>0.15</v>
      </c>
      <c r="F998" s="2">
        <f t="shared" si="158"/>
        <v>840</v>
      </c>
      <c r="G998" s="2">
        <f t="shared" si="159"/>
        <v>0.4</v>
      </c>
      <c r="H998" s="2">
        <f t="shared" si="160"/>
        <v>0.47619047619047616</v>
      </c>
      <c r="I998" s="12">
        <v>0.02</v>
      </c>
      <c r="J998" s="12">
        <v>7.0000000000000007E-2</v>
      </c>
      <c r="K998" s="12">
        <f t="shared" si="161"/>
        <v>8.4928571428571423E-2</v>
      </c>
      <c r="L998" s="12">
        <f t="shared" si="162"/>
        <v>0.6511190476190476</v>
      </c>
      <c r="M998" s="2"/>
      <c r="N998" s="2"/>
      <c r="O998" s="2">
        <f t="shared" si="164"/>
        <v>325.5595238095238</v>
      </c>
      <c r="P998" s="2"/>
      <c r="Q998" s="2"/>
      <c r="R998" s="28">
        <v>16.666666666666668</v>
      </c>
    </row>
    <row r="999" spans="1:18" hidden="1" x14ac:dyDescent="0.25">
      <c r="A999" s="16">
        <v>45671</v>
      </c>
      <c r="B999" s="2" t="s">
        <v>91</v>
      </c>
      <c r="C999" s="2">
        <v>400</v>
      </c>
      <c r="D999" s="19">
        <v>0.16</v>
      </c>
      <c r="E999" s="11">
        <v>0.15</v>
      </c>
      <c r="F999" s="2">
        <f t="shared" si="158"/>
        <v>840</v>
      </c>
      <c r="G999" s="2">
        <f t="shared" si="159"/>
        <v>0.4</v>
      </c>
      <c r="H999" s="2">
        <f t="shared" si="160"/>
        <v>0.47619047619047616</v>
      </c>
      <c r="I999" s="12">
        <v>0.02</v>
      </c>
      <c r="J999" s="12">
        <v>7.0000000000000007E-2</v>
      </c>
      <c r="K999" s="12">
        <f t="shared" si="161"/>
        <v>8.4928571428571423E-2</v>
      </c>
      <c r="L999" s="12">
        <f t="shared" si="162"/>
        <v>0.6511190476190476</v>
      </c>
      <c r="M999" s="2"/>
      <c r="N999" s="2"/>
      <c r="O999" s="2">
        <f t="shared" si="164"/>
        <v>325.5595238095238</v>
      </c>
      <c r="P999" s="2"/>
      <c r="Q999" s="2"/>
      <c r="R999" s="28">
        <v>16.666666666666668</v>
      </c>
    </row>
    <row r="1000" spans="1:18" hidden="1" x14ac:dyDescent="0.25">
      <c r="A1000" s="16">
        <v>45672</v>
      </c>
      <c r="B1000" s="2" t="s">
        <v>152</v>
      </c>
      <c r="C1000" s="2">
        <v>220</v>
      </c>
      <c r="D1000" s="19">
        <v>0</v>
      </c>
      <c r="E1000" s="11">
        <v>0.26</v>
      </c>
      <c r="F1000" s="2">
        <f t="shared" si="158"/>
        <v>1000</v>
      </c>
      <c r="G1000" s="2">
        <f t="shared" si="159"/>
        <v>0.22</v>
      </c>
      <c r="H1000" s="2">
        <f t="shared" si="160"/>
        <v>0.22</v>
      </c>
      <c r="I1000" s="12">
        <v>0.02</v>
      </c>
      <c r="J1000" s="12">
        <v>7.0000000000000007E-2</v>
      </c>
      <c r="K1000" s="12">
        <f t="shared" si="161"/>
        <v>8.0600000000000005E-2</v>
      </c>
      <c r="L1000" s="12">
        <f t="shared" si="162"/>
        <v>0.3906</v>
      </c>
      <c r="M1000" s="2"/>
      <c r="N1000" s="2"/>
      <c r="O1000" s="2">
        <f t="shared" si="164"/>
        <v>195.3</v>
      </c>
      <c r="P1000" s="2"/>
      <c r="Q1000" s="2"/>
      <c r="R1000" s="28">
        <v>16.666666666666668</v>
      </c>
    </row>
    <row r="1001" spans="1:18" hidden="1" x14ac:dyDescent="0.25">
      <c r="A1001" s="16">
        <v>45672</v>
      </c>
      <c r="B1001" s="2" t="s">
        <v>106</v>
      </c>
      <c r="C1001" s="2">
        <v>220</v>
      </c>
      <c r="D1001" s="19">
        <v>0</v>
      </c>
      <c r="E1001" s="11">
        <v>0.13</v>
      </c>
      <c r="F1001" s="2">
        <f t="shared" si="158"/>
        <v>1000</v>
      </c>
      <c r="G1001" s="2">
        <f t="shared" si="159"/>
        <v>0.22</v>
      </c>
      <c r="H1001" s="2">
        <f t="shared" si="160"/>
        <v>0.22</v>
      </c>
      <c r="I1001" s="12">
        <v>0.02</v>
      </c>
      <c r="J1001" s="12">
        <v>7.0000000000000007E-2</v>
      </c>
      <c r="K1001" s="12">
        <f t="shared" si="161"/>
        <v>4.0300000000000002E-2</v>
      </c>
      <c r="L1001" s="12">
        <f t="shared" si="162"/>
        <v>0.3503</v>
      </c>
      <c r="M1001" s="2"/>
      <c r="N1001" s="2"/>
      <c r="O1001" s="2">
        <f t="shared" si="164"/>
        <v>175.15</v>
      </c>
      <c r="P1001" s="2"/>
      <c r="Q1001" s="2"/>
      <c r="R1001" s="28">
        <v>16.666666666666668</v>
      </c>
    </row>
    <row r="1002" spans="1:18" hidden="1" x14ac:dyDescent="0.25">
      <c r="A1002" s="16">
        <v>45672</v>
      </c>
      <c r="B1002" s="2" t="s">
        <v>94</v>
      </c>
      <c r="C1002" s="2">
        <v>270</v>
      </c>
      <c r="D1002" s="19">
        <v>0</v>
      </c>
      <c r="E1002" s="11">
        <v>0.36499999999999999</v>
      </c>
      <c r="F1002" s="2">
        <f t="shared" si="158"/>
        <v>1000</v>
      </c>
      <c r="G1002" s="2">
        <f t="shared" si="159"/>
        <v>0.27</v>
      </c>
      <c r="H1002" s="2">
        <f t="shared" si="160"/>
        <v>0.27</v>
      </c>
      <c r="I1002" s="12">
        <v>0.02</v>
      </c>
      <c r="J1002" s="12">
        <v>7.0000000000000007E-2</v>
      </c>
      <c r="K1002" s="12">
        <f t="shared" si="161"/>
        <v>0.13140000000000002</v>
      </c>
      <c r="L1002" s="12">
        <f t="shared" si="162"/>
        <v>0.49140000000000006</v>
      </c>
      <c r="M1002" s="2"/>
      <c r="N1002" s="2"/>
      <c r="O1002" s="2">
        <f t="shared" si="164"/>
        <v>245.70000000000002</v>
      </c>
      <c r="P1002" s="2"/>
      <c r="Q1002" s="2"/>
      <c r="R1002" s="28">
        <v>16.666666666666668</v>
      </c>
    </row>
    <row r="1003" spans="1:18" hidden="1" x14ac:dyDescent="0.25">
      <c r="A1003" s="16">
        <v>45672</v>
      </c>
      <c r="B1003" s="2" t="s">
        <v>95</v>
      </c>
      <c r="C1003" s="2">
        <v>270</v>
      </c>
      <c r="D1003" s="19">
        <v>0</v>
      </c>
      <c r="E1003" s="11">
        <v>0.36499999999999999</v>
      </c>
      <c r="F1003" s="2">
        <f t="shared" si="158"/>
        <v>1000</v>
      </c>
      <c r="G1003" s="2">
        <f t="shared" si="159"/>
        <v>0.27</v>
      </c>
      <c r="H1003" s="2">
        <f t="shared" si="160"/>
        <v>0.27</v>
      </c>
      <c r="I1003" s="12">
        <v>0.02</v>
      </c>
      <c r="J1003" s="12">
        <v>7.0000000000000007E-2</v>
      </c>
      <c r="K1003" s="12">
        <f t="shared" si="161"/>
        <v>0.13140000000000002</v>
      </c>
      <c r="L1003" s="12">
        <f t="shared" si="162"/>
        <v>0.49140000000000006</v>
      </c>
      <c r="M1003" s="2"/>
      <c r="N1003" s="2"/>
      <c r="O1003" s="2">
        <f t="shared" si="164"/>
        <v>245.70000000000002</v>
      </c>
      <c r="P1003" s="2"/>
      <c r="Q1003" s="2"/>
      <c r="R1003" s="28">
        <v>16.666666666666668</v>
      </c>
    </row>
    <row r="1004" spans="1:18" hidden="1" x14ac:dyDescent="0.25">
      <c r="A1004" s="16">
        <v>45672</v>
      </c>
      <c r="B1004" s="2" t="s">
        <v>120</v>
      </c>
      <c r="C1004" s="2">
        <v>250</v>
      </c>
      <c r="D1004" s="19">
        <v>0.49</v>
      </c>
      <c r="E1004" s="11">
        <v>0.69</v>
      </c>
      <c r="F1004" s="2">
        <f t="shared" si="158"/>
        <v>510</v>
      </c>
      <c r="G1004" s="2">
        <f t="shared" si="159"/>
        <v>0.25</v>
      </c>
      <c r="H1004" s="2">
        <f t="shared" si="160"/>
        <v>0.49019607843137253</v>
      </c>
      <c r="I1004" s="12">
        <v>0.02</v>
      </c>
      <c r="J1004" s="12">
        <v>7.0000000000000007E-2</v>
      </c>
      <c r="K1004" s="12">
        <f t="shared" si="161"/>
        <v>0.40033529411764696</v>
      </c>
      <c r="L1004" s="12">
        <f t="shared" si="162"/>
        <v>0.98053137254901945</v>
      </c>
      <c r="M1004" s="2">
        <f>L1004*250</f>
        <v>245.13284313725487</v>
      </c>
      <c r="N1004" s="2"/>
      <c r="O1004" s="2"/>
      <c r="P1004" s="2"/>
      <c r="Q1004" s="2"/>
      <c r="R1004" s="28">
        <v>16.666666666666668</v>
      </c>
    </row>
    <row r="1005" spans="1:18" hidden="1" x14ac:dyDescent="0.25">
      <c r="A1005" s="16">
        <v>45672</v>
      </c>
      <c r="B1005" s="2" t="s">
        <v>93</v>
      </c>
      <c r="C1005" s="2">
        <v>520</v>
      </c>
      <c r="D1005" s="19">
        <v>0.04</v>
      </c>
      <c r="E1005" s="11">
        <v>0.252</v>
      </c>
      <c r="F1005" s="2">
        <f t="shared" si="158"/>
        <v>960</v>
      </c>
      <c r="G1005" s="2">
        <f t="shared" si="159"/>
        <v>0.52</v>
      </c>
      <c r="H1005" s="2">
        <f t="shared" si="160"/>
        <v>0.54166666666666663</v>
      </c>
      <c r="I1005" s="12">
        <v>0.02</v>
      </c>
      <c r="J1005" s="12">
        <v>7.0000000000000007E-2</v>
      </c>
      <c r="K1005" s="12">
        <f t="shared" si="161"/>
        <v>0.15917999999999999</v>
      </c>
      <c r="L1005" s="12">
        <f t="shared" si="162"/>
        <v>0.79084666666666659</v>
      </c>
      <c r="M1005" s="2"/>
      <c r="N1005" s="2"/>
      <c r="O1005" s="2">
        <f>L1005*500</f>
        <v>395.42333333333329</v>
      </c>
      <c r="P1005" s="2"/>
      <c r="Q1005" s="2"/>
      <c r="R1005" s="28">
        <v>16.666666666666668</v>
      </c>
    </row>
    <row r="1006" spans="1:18" hidden="1" x14ac:dyDescent="0.25">
      <c r="A1006" s="16">
        <v>45672</v>
      </c>
      <c r="B1006" s="2" t="s">
        <v>192</v>
      </c>
      <c r="C1006" s="2">
        <v>520</v>
      </c>
      <c r="D1006" s="19">
        <v>0.04</v>
      </c>
      <c r="E1006" s="11">
        <v>0.19</v>
      </c>
      <c r="F1006" s="2">
        <f t="shared" si="158"/>
        <v>960</v>
      </c>
      <c r="G1006" s="2">
        <f t="shared" si="159"/>
        <v>0.52</v>
      </c>
      <c r="H1006" s="2">
        <f t="shared" si="160"/>
        <v>0.54166666666666663</v>
      </c>
      <c r="I1006" s="12">
        <v>0.02</v>
      </c>
      <c r="J1006" s="12">
        <v>7.0000000000000007E-2</v>
      </c>
      <c r="K1006" s="12">
        <f t="shared" si="161"/>
        <v>0.12001666666666666</v>
      </c>
      <c r="L1006" s="12">
        <f t="shared" si="162"/>
        <v>0.75168333333333326</v>
      </c>
      <c r="M1006" s="2"/>
      <c r="N1006" s="2"/>
      <c r="O1006" s="2">
        <f>L1006*500</f>
        <v>375.84166666666664</v>
      </c>
      <c r="P1006" s="2"/>
      <c r="Q1006" s="2"/>
      <c r="R1006" s="28">
        <v>16.666666666666668</v>
      </c>
    </row>
    <row r="1007" spans="1:18" hidden="1" x14ac:dyDescent="0.25">
      <c r="A1007" s="16">
        <v>45672</v>
      </c>
      <c r="B1007" s="2" t="s">
        <v>160</v>
      </c>
      <c r="C1007" s="2">
        <v>580</v>
      </c>
      <c r="D1007" s="19">
        <v>0.45</v>
      </c>
      <c r="E1007" s="11">
        <v>0.215</v>
      </c>
      <c r="F1007" s="2">
        <f t="shared" si="158"/>
        <v>550</v>
      </c>
      <c r="G1007" s="2">
        <f t="shared" si="159"/>
        <v>0.57999999999999996</v>
      </c>
      <c r="H1007" s="2">
        <f t="shared" si="160"/>
        <v>1.0545454545454545</v>
      </c>
      <c r="I1007" s="12">
        <v>0.02</v>
      </c>
      <c r="J1007" s="12">
        <v>7.0000000000000007E-2</v>
      </c>
      <c r="K1007" s="12">
        <f t="shared" si="161"/>
        <v>0.24607727272727273</v>
      </c>
      <c r="L1007" s="12">
        <f t="shared" si="162"/>
        <v>1.3906227272727272</v>
      </c>
      <c r="M1007" s="2"/>
      <c r="N1007" s="2"/>
      <c r="O1007" s="2">
        <f>L1007*500</f>
        <v>695.31136363636358</v>
      </c>
      <c r="P1007" s="2"/>
      <c r="Q1007" s="2"/>
      <c r="R1007" s="28">
        <v>16.666666666666668</v>
      </c>
    </row>
    <row r="1008" spans="1:18" hidden="1" x14ac:dyDescent="0.25">
      <c r="A1008" s="16">
        <v>45672</v>
      </c>
      <c r="B1008" s="2" t="s">
        <v>113</v>
      </c>
      <c r="C1008" s="2">
        <v>580</v>
      </c>
      <c r="D1008" s="19">
        <v>0.45</v>
      </c>
      <c r="E1008" s="11">
        <v>0.48599999999999999</v>
      </c>
      <c r="F1008" s="2">
        <f t="shared" si="158"/>
        <v>550</v>
      </c>
      <c r="G1008" s="2">
        <f t="shared" si="159"/>
        <v>0.57999999999999996</v>
      </c>
      <c r="H1008" s="2">
        <f t="shared" si="160"/>
        <v>1.0545454545454545</v>
      </c>
      <c r="I1008" s="12">
        <v>0.02</v>
      </c>
      <c r="J1008" s="12">
        <v>7.0000000000000007E-2</v>
      </c>
      <c r="K1008" s="12">
        <f t="shared" si="161"/>
        <v>0.55624909090909092</v>
      </c>
      <c r="L1008" s="12">
        <f t="shared" si="162"/>
        <v>1.7007945454545454</v>
      </c>
      <c r="M1008" s="2">
        <f>L1008*250</f>
        <v>425.19863636363635</v>
      </c>
      <c r="N1008" s="2"/>
      <c r="O1008" s="2"/>
      <c r="P1008" s="2"/>
      <c r="Q1008" s="2"/>
      <c r="R1008" s="28">
        <v>16.666666666666668</v>
      </c>
    </row>
    <row r="1009" spans="1:20" hidden="1" x14ac:dyDescent="0.25">
      <c r="A1009" s="16">
        <v>45672</v>
      </c>
      <c r="B1009" s="2" t="s">
        <v>111</v>
      </c>
      <c r="C1009" s="2">
        <v>580</v>
      </c>
      <c r="D1009" s="19">
        <v>0.45</v>
      </c>
      <c r="E1009" s="11">
        <v>0.13600000000000001</v>
      </c>
      <c r="F1009" s="2">
        <f t="shared" si="158"/>
        <v>550</v>
      </c>
      <c r="G1009" s="2">
        <f t="shared" si="159"/>
        <v>0.57999999999999996</v>
      </c>
      <c r="H1009" s="2">
        <f t="shared" si="160"/>
        <v>1.0545454545454545</v>
      </c>
      <c r="I1009" s="12">
        <v>0.02</v>
      </c>
      <c r="J1009" s="12">
        <v>7.0000000000000007E-2</v>
      </c>
      <c r="K1009" s="12">
        <f t="shared" si="161"/>
        <v>0.15565818181818183</v>
      </c>
      <c r="L1009" s="12">
        <f t="shared" si="162"/>
        <v>1.3002036363636365</v>
      </c>
      <c r="M1009" s="2">
        <f>L1009*250</f>
        <v>325.0509090909091</v>
      </c>
      <c r="N1009" s="2"/>
      <c r="O1009" s="2"/>
      <c r="P1009" s="2"/>
      <c r="Q1009" s="2"/>
      <c r="R1009" s="28">
        <v>16.666666666666668</v>
      </c>
    </row>
    <row r="1010" spans="1:20" hidden="1" x14ac:dyDescent="0.25">
      <c r="A1010" s="16">
        <v>45672</v>
      </c>
      <c r="B1010" s="2" t="s">
        <v>90</v>
      </c>
      <c r="C1010" s="2">
        <v>390</v>
      </c>
      <c r="D1010" s="19">
        <v>0.2</v>
      </c>
      <c r="E1010" s="11">
        <v>0.126</v>
      </c>
      <c r="F1010" s="2">
        <f t="shared" si="158"/>
        <v>800</v>
      </c>
      <c r="G1010" s="2">
        <f t="shared" si="159"/>
        <v>0.39</v>
      </c>
      <c r="H1010" s="2">
        <f t="shared" si="160"/>
        <v>0.48749999999999999</v>
      </c>
      <c r="I1010" s="12">
        <v>0.02</v>
      </c>
      <c r="J1010" s="12">
        <v>7.0000000000000007E-2</v>
      </c>
      <c r="K1010" s="12">
        <f t="shared" si="161"/>
        <v>7.2764999999999982E-2</v>
      </c>
      <c r="L1010" s="12">
        <f t="shared" si="162"/>
        <v>0.65026499999999987</v>
      </c>
      <c r="M1010" s="2"/>
      <c r="N1010" s="2"/>
      <c r="O1010" s="2">
        <f>L1010*500</f>
        <v>325.13249999999994</v>
      </c>
      <c r="P1010" s="2"/>
      <c r="Q1010" s="2"/>
      <c r="R1010" s="28">
        <v>16.666666666666668</v>
      </c>
    </row>
    <row r="1011" spans="1:20" hidden="1" x14ac:dyDescent="0.25">
      <c r="A1011" s="16">
        <v>45672</v>
      </c>
      <c r="B1011" s="2" t="s">
        <v>91</v>
      </c>
      <c r="C1011" s="2">
        <v>390</v>
      </c>
      <c r="D1011" s="19">
        <v>0.2</v>
      </c>
      <c r="E1011" s="11">
        <v>0.126</v>
      </c>
      <c r="F1011" s="2">
        <f t="shared" si="158"/>
        <v>800</v>
      </c>
      <c r="G1011" s="2">
        <f t="shared" si="159"/>
        <v>0.39</v>
      </c>
      <c r="H1011" s="2">
        <f t="shared" si="160"/>
        <v>0.48749999999999999</v>
      </c>
      <c r="I1011" s="12">
        <v>0.02</v>
      </c>
      <c r="J1011" s="12">
        <v>7.0000000000000007E-2</v>
      </c>
      <c r="K1011" s="12">
        <f t="shared" si="161"/>
        <v>7.2764999999999982E-2</v>
      </c>
      <c r="L1011" s="12">
        <f t="shared" si="162"/>
        <v>0.65026499999999987</v>
      </c>
      <c r="M1011" s="2"/>
      <c r="N1011" s="2"/>
      <c r="O1011" s="2">
        <f>L1011*500</f>
        <v>325.13249999999994</v>
      </c>
      <c r="P1011" s="2"/>
      <c r="Q1011" s="2"/>
      <c r="R1011" s="28">
        <v>16.666666666666668</v>
      </c>
    </row>
    <row r="1012" spans="1:20" hidden="1" x14ac:dyDescent="0.25">
      <c r="A1012" s="16">
        <v>45672</v>
      </c>
      <c r="B1012" s="2" t="s">
        <v>110</v>
      </c>
      <c r="C1012" s="2">
        <v>140</v>
      </c>
      <c r="D1012" s="19">
        <v>0</v>
      </c>
      <c r="E1012" s="11">
        <v>0.09</v>
      </c>
      <c r="F1012" s="2">
        <f t="shared" si="158"/>
        <v>1000</v>
      </c>
      <c r="G1012" s="2">
        <f t="shared" si="159"/>
        <v>0.14000000000000001</v>
      </c>
      <c r="H1012" s="2">
        <f t="shared" si="160"/>
        <v>0.14000000000000001</v>
      </c>
      <c r="I1012" s="12">
        <v>0.02</v>
      </c>
      <c r="J1012" s="12">
        <v>7.0000000000000007E-2</v>
      </c>
      <c r="K1012" s="12">
        <f t="shared" si="161"/>
        <v>2.07E-2</v>
      </c>
      <c r="L1012" s="12">
        <f t="shared" si="162"/>
        <v>0.25070000000000003</v>
      </c>
      <c r="M1012" s="2"/>
      <c r="N1012" s="2"/>
      <c r="O1012" s="2">
        <f>L1012*500</f>
        <v>125.35000000000002</v>
      </c>
      <c r="P1012" s="2"/>
      <c r="Q1012" s="2"/>
      <c r="R1012" s="28">
        <v>16.666666666666668</v>
      </c>
    </row>
    <row r="1013" spans="1:20" hidden="1" x14ac:dyDescent="0.25">
      <c r="A1013" s="16">
        <v>45673</v>
      </c>
      <c r="B1013" s="2" t="s">
        <v>102</v>
      </c>
      <c r="C1013" s="2">
        <v>550</v>
      </c>
      <c r="D1013" s="19">
        <v>0.62</v>
      </c>
      <c r="E1013" s="11">
        <v>0.3</v>
      </c>
      <c r="F1013" s="2">
        <f t="shared" si="158"/>
        <v>380</v>
      </c>
      <c r="G1013" s="2">
        <f t="shared" si="159"/>
        <v>0.55000000000000004</v>
      </c>
      <c r="H1013" s="2">
        <f t="shared" si="160"/>
        <v>1.4473684210526316</v>
      </c>
      <c r="I1013" s="12">
        <v>0.02</v>
      </c>
      <c r="J1013" s="12">
        <v>7.0000000000000007E-2</v>
      </c>
      <c r="K1013" s="12">
        <f t="shared" si="161"/>
        <v>0.46121052631578952</v>
      </c>
      <c r="L1013" s="12">
        <f t="shared" si="162"/>
        <v>1.9985789473684212</v>
      </c>
      <c r="M1013" s="2">
        <f>L1013*250</f>
        <v>499.64473684210532</v>
      </c>
      <c r="N1013" s="2"/>
      <c r="O1013" s="2"/>
      <c r="P1013" s="2"/>
      <c r="Q1013" s="2"/>
      <c r="R1013" s="28">
        <v>16.666666666666668</v>
      </c>
    </row>
    <row r="1014" spans="1:20" hidden="1" x14ac:dyDescent="0.25">
      <c r="A1014" s="16">
        <v>45673</v>
      </c>
      <c r="B1014" s="2" t="s">
        <v>90</v>
      </c>
      <c r="C1014" s="2">
        <v>370</v>
      </c>
      <c r="D1014" s="19">
        <v>0.17</v>
      </c>
      <c r="E1014" s="11">
        <v>0.215</v>
      </c>
      <c r="F1014" s="2">
        <f t="shared" si="158"/>
        <v>830</v>
      </c>
      <c r="G1014" s="2">
        <f t="shared" si="159"/>
        <v>0.37</v>
      </c>
      <c r="H1014" s="2">
        <f t="shared" si="160"/>
        <v>0.44578313253012047</v>
      </c>
      <c r="I1014" s="12">
        <v>0.02</v>
      </c>
      <c r="J1014" s="12">
        <v>7.0000000000000007E-2</v>
      </c>
      <c r="K1014" s="12">
        <f t="shared" si="161"/>
        <v>0.11519337349397592</v>
      </c>
      <c r="L1014" s="12">
        <f t="shared" si="162"/>
        <v>0.65097650602409651</v>
      </c>
      <c r="M1014" s="2"/>
      <c r="N1014" s="2"/>
      <c r="O1014" s="2">
        <f>L1014*500</f>
        <v>325.48825301204823</v>
      </c>
      <c r="P1014" s="2"/>
      <c r="Q1014" s="2"/>
      <c r="R1014" s="28">
        <v>16.666666666666668</v>
      </c>
    </row>
    <row r="1015" spans="1:20" hidden="1" x14ac:dyDescent="0.25">
      <c r="A1015" s="16">
        <v>45673</v>
      </c>
      <c r="B1015" s="2" t="s">
        <v>91</v>
      </c>
      <c r="C1015" s="2">
        <v>370</v>
      </c>
      <c r="D1015" s="19">
        <v>0.17</v>
      </c>
      <c r="E1015" s="11">
        <v>0.215</v>
      </c>
      <c r="F1015" s="2">
        <f t="shared" si="158"/>
        <v>830</v>
      </c>
      <c r="G1015" s="2">
        <f t="shared" si="159"/>
        <v>0.37</v>
      </c>
      <c r="H1015" s="2">
        <f t="shared" si="160"/>
        <v>0.44578313253012047</v>
      </c>
      <c r="I1015" s="12">
        <v>0.02</v>
      </c>
      <c r="J1015" s="12">
        <v>7.0000000000000007E-2</v>
      </c>
      <c r="K1015" s="12">
        <f t="shared" si="161"/>
        <v>0.11519337349397592</v>
      </c>
      <c r="L1015" s="12">
        <f t="shared" si="162"/>
        <v>0.65097650602409651</v>
      </c>
      <c r="M1015" s="2"/>
      <c r="N1015" s="2"/>
      <c r="O1015" s="2">
        <f>L1015*500</f>
        <v>325.48825301204823</v>
      </c>
      <c r="P1015" s="2"/>
      <c r="Q1015" s="2"/>
      <c r="R1015" s="28">
        <v>16.666666666666668</v>
      </c>
    </row>
    <row r="1016" spans="1:20" hidden="1" x14ac:dyDescent="0.25">
      <c r="A1016" s="16">
        <v>45673</v>
      </c>
      <c r="B1016" s="2" t="s">
        <v>160</v>
      </c>
      <c r="C1016" s="2">
        <v>650</v>
      </c>
      <c r="D1016" s="19">
        <v>0.37</v>
      </c>
      <c r="E1016" s="11">
        <v>0.24</v>
      </c>
      <c r="F1016" s="2">
        <f t="shared" si="158"/>
        <v>630</v>
      </c>
      <c r="G1016" s="2">
        <f t="shared" si="159"/>
        <v>0.65</v>
      </c>
      <c r="H1016" s="2">
        <f t="shared" si="160"/>
        <v>1.0317460317460319</v>
      </c>
      <c r="I1016" s="12">
        <v>0.02</v>
      </c>
      <c r="J1016" s="12">
        <v>7.0000000000000007E-2</v>
      </c>
      <c r="K1016" s="12">
        <f t="shared" si="161"/>
        <v>0.26921904761904764</v>
      </c>
      <c r="L1016" s="12">
        <f t="shared" si="162"/>
        <v>1.3909650793650796</v>
      </c>
      <c r="M1016" s="2"/>
      <c r="N1016" s="2"/>
      <c r="O1016" s="2">
        <f>L1016*500</f>
        <v>695.48253968253982</v>
      </c>
      <c r="P1016" s="2"/>
      <c r="Q1016" s="2"/>
      <c r="R1016" s="28">
        <v>16.666666666666668</v>
      </c>
      <c r="T1016" t="s">
        <v>72</v>
      </c>
    </row>
    <row r="1017" spans="1:20" hidden="1" x14ac:dyDescent="0.25">
      <c r="A1017" s="16">
        <v>45673</v>
      </c>
      <c r="B1017" s="2" t="s">
        <v>113</v>
      </c>
      <c r="C1017" s="2">
        <v>650</v>
      </c>
      <c r="D1017" s="19">
        <v>0.37</v>
      </c>
      <c r="E1017" s="11">
        <v>0.51600000000000001</v>
      </c>
      <c r="F1017" s="2">
        <f t="shared" si="158"/>
        <v>630</v>
      </c>
      <c r="G1017" s="2">
        <f t="shared" si="159"/>
        <v>0.65</v>
      </c>
      <c r="H1017" s="2">
        <f t="shared" si="160"/>
        <v>1.0317460317460319</v>
      </c>
      <c r="I1017" s="12">
        <v>0.02</v>
      </c>
      <c r="J1017" s="12">
        <v>7.0000000000000007E-2</v>
      </c>
      <c r="K1017" s="12">
        <f t="shared" si="161"/>
        <v>0.57882095238095255</v>
      </c>
      <c r="L1017" s="12">
        <f t="shared" si="162"/>
        <v>1.7005669841269846</v>
      </c>
      <c r="M1017" s="2">
        <f>L1017*250</f>
        <v>425.14174603174615</v>
      </c>
      <c r="N1017" s="2"/>
      <c r="O1017" s="2"/>
      <c r="P1017" s="2"/>
      <c r="Q1017" s="2"/>
      <c r="R1017" s="28">
        <v>16.666666666666668</v>
      </c>
    </row>
    <row r="1018" spans="1:20" hidden="1" x14ac:dyDescent="0.25">
      <c r="A1018" s="16">
        <v>45673</v>
      </c>
      <c r="B1018" s="2" t="s">
        <v>111</v>
      </c>
      <c r="C1018" s="2">
        <v>650</v>
      </c>
      <c r="D1018" s="19">
        <v>0.37</v>
      </c>
      <c r="E1018" s="11">
        <v>0.23200000000000001</v>
      </c>
      <c r="F1018" s="2">
        <f t="shared" si="158"/>
        <v>630</v>
      </c>
      <c r="G1018" s="2">
        <f t="shared" si="159"/>
        <v>0.65</v>
      </c>
      <c r="H1018" s="2">
        <f t="shared" si="160"/>
        <v>1.0317460317460319</v>
      </c>
      <c r="I1018" s="12">
        <v>0.02</v>
      </c>
      <c r="J1018" s="12">
        <v>7.0000000000000007E-2</v>
      </c>
      <c r="K1018" s="12">
        <f t="shared" si="161"/>
        <v>0.2602450793650794</v>
      </c>
      <c r="L1018" s="12">
        <f t="shared" si="162"/>
        <v>1.3819911111111114</v>
      </c>
      <c r="M1018" s="2">
        <f>L1018*250</f>
        <v>345.49777777777786</v>
      </c>
      <c r="N1018" s="2"/>
      <c r="O1018" s="2"/>
      <c r="P1018" s="2"/>
      <c r="Q1018" s="2"/>
      <c r="R1018" s="28">
        <v>16.666666666666668</v>
      </c>
    </row>
    <row r="1019" spans="1:20" hidden="1" x14ac:dyDescent="0.25">
      <c r="A1019" s="16">
        <v>45673</v>
      </c>
      <c r="B1019" s="2" t="s">
        <v>94</v>
      </c>
      <c r="C1019" s="2">
        <v>280</v>
      </c>
      <c r="D1019" s="19">
        <v>0.03</v>
      </c>
      <c r="E1019" s="11">
        <v>0.29499999999999998</v>
      </c>
      <c r="F1019" s="2">
        <f t="shared" si="158"/>
        <v>970</v>
      </c>
      <c r="G1019" s="2">
        <f t="shared" si="159"/>
        <v>0.28000000000000003</v>
      </c>
      <c r="H1019" s="2">
        <f t="shared" si="160"/>
        <v>0.28865979381443296</v>
      </c>
      <c r="I1019" s="12">
        <v>0.02</v>
      </c>
      <c r="J1019" s="12">
        <v>7.0000000000000007E-2</v>
      </c>
      <c r="K1019" s="12">
        <f t="shared" si="161"/>
        <v>0.11170463917525772</v>
      </c>
      <c r="L1019" s="12">
        <f t="shared" si="162"/>
        <v>0.49036443298969068</v>
      </c>
      <c r="M1019" s="2"/>
      <c r="N1019" s="2"/>
      <c r="O1019" s="2">
        <f t="shared" ref="O1019:O1024" si="165">L1019*500</f>
        <v>245.18221649484533</v>
      </c>
      <c r="P1019" s="2"/>
      <c r="Q1019" s="2"/>
      <c r="R1019" s="28">
        <v>16.666666666666668</v>
      </c>
    </row>
    <row r="1020" spans="1:20" hidden="1" x14ac:dyDescent="0.25">
      <c r="A1020" s="16">
        <v>45673</v>
      </c>
      <c r="B1020" s="2" t="s">
        <v>95</v>
      </c>
      <c r="C1020" s="2">
        <v>280</v>
      </c>
      <c r="D1020" s="19">
        <v>0.03</v>
      </c>
      <c r="E1020" s="11">
        <v>0.29499999999999998</v>
      </c>
      <c r="F1020" s="2">
        <f t="shared" si="158"/>
        <v>970</v>
      </c>
      <c r="G1020" s="2">
        <f t="shared" si="159"/>
        <v>0.28000000000000003</v>
      </c>
      <c r="H1020" s="2">
        <f t="shared" si="160"/>
        <v>0.28865979381443296</v>
      </c>
      <c r="I1020" s="12">
        <v>0.02</v>
      </c>
      <c r="J1020" s="12">
        <v>7.0000000000000007E-2</v>
      </c>
      <c r="K1020" s="12">
        <f t="shared" si="161"/>
        <v>0.11170463917525772</v>
      </c>
      <c r="L1020" s="12">
        <f t="shared" si="162"/>
        <v>0.49036443298969068</v>
      </c>
      <c r="M1020" s="2"/>
      <c r="N1020" s="2"/>
      <c r="O1020" s="2">
        <f t="shared" si="165"/>
        <v>245.18221649484533</v>
      </c>
      <c r="P1020" s="2"/>
      <c r="Q1020" s="2"/>
      <c r="R1020" s="28">
        <v>16.666666666666668</v>
      </c>
    </row>
    <row r="1021" spans="1:20" hidden="1" x14ac:dyDescent="0.25">
      <c r="A1021" s="16">
        <v>45673</v>
      </c>
      <c r="B1021" s="2" t="s">
        <v>110</v>
      </c>
      <c r="C1021" s="2">
        <v>120</v>
      </c>
      <c r="D1021" s="19">
        <v>0.03</v>
      </c>
      <c r="E1021" s="11">
        <v>0.17</v>
      </c>
      <c r="F1021" s="2">
        <f t="shared" si="158"/>
        <v>970</v>
      </c>
      <c r="G1021" s="2">
        <f t="shared" si="159"/>
        <v>0.12</v>
      </c>
      <c r="H1021" s="2">
        <f t="shared" si="160"/>
        <v>0.12371134020618557</v>
      </c>
      <c r="I1021" s="12">
        <v>0.02</v>
      </c>
      <c r="J1021" s="12">
        <v>7.0000000000000007E-2</v>
      </c>
      <c r="K1021" s="12">
        <f t="shared" si="161"/>
        <v>3.6330927835051548E-2</v>
      </c>
      <c r="L1021" s="12">
        <f t="shared" si="162"/>
        <v>0.25004226804123714</v>
      </c>
      <c r="M1021" s="2"/>
      <c r="N1021" s="2"/>
      <c r="O1021" s="2">
        <f t="shared" si="165"/>
        <v>125.02113402061858</v>
      </c>
      <c r="P1021" s="2"/>
      <c r="Q1021" s="2"/>
      <c r="R1021" s="28">
        <v>16.666666666666668</v>
      </c>
    </row>
    <row r="1022" spans="1:20" hidden="1" x14ac:dyDescent="0.25">
      <c r="A1022" s="16">
        <v>45674</v>
      </c>
      <c r="B1022" s="2" t="s">
        <v>192</v>
      </c>
      <c r="C1022" s="2">
        <v>550</v>
      </c>
      <c r="D1022" s="19">
        <v>0.09</v>
      </c>
      <c r="E1022" s="11">
        <v>0.08</v>
      </c>
      <c r="F1022" s="2">
        <f t="shared" si="158"/>
        <v>910</v>
      </c>
      <c r="G1022" s="2">
        <f t="shared" si="159"/>
        <v>0.55000000000000004</v>
      </c>
      <c r="H1022" s="2">
        <f t="shared" si="160"/>
        <v>0.60439560439560436</v>
      </c>
      <c r="I1022" s="12">
        <v>0.02</v>
      </c>
      <c r="J1022" s="12">
        <v>7.0000000000000007E-2</v>
      </c>
      <c r="K1022" s="12">
        <f t="shared" si="161"/>
        <v>5.5551648351648344E-2</v>
      </c>
      <c r="L1022" s="12">
        <f t="shared" si="162"/>
        <v>0.74994725274725271</v>
      </c>
      <c r="M1022" s="2"/>
      <c r="N1022" s="2"/>
      <c r="O1022" s="2">
        <f t="shared" si="165"/>
        <v>374.97362637362636</v>
      </c>
      <c r="P1022" s="2"/>
      <c r="Q1022" s="2"/>
      <c r="R1022" s="28">
        <v>16.666666666666668</v>
      </c>
    </row>
    <row r="1023" spans="1:20" hidden="1" x14ac:dyDescent="0.25">
      <c r="A1023" s="16">
        <v>45674</v>
      </c>
      <c r="B1023" s="2" t="s">
        <v>93</v>
      </c>
      <c r="C1023" s="2">
        <v>550</v>
      </c>
      <c r="D1023" s="19">
        <v>0.09</v>
      </c>
      <c r="E1023" s="11">
        <v>0.14000000000000001</v>
      </c>
      <c r="F1023" s="2">
        <f t="shared" si="158"/>
        <v>910</v>
      </c>
      <c r="G1023" s="2">
        <f t="shared" si="159"/>
        <v>0.55000000000000004</v>
      </c>
      <c r="H1023" s="2">
        <f t="shared" si="160"/>
        <v>0.60439560439560436</v>
      </c>
      <c r="I1023" s="12">
        <v>0.02</v>
      </c>
      <c r="J1023" s="12">
        <v>7.0000000000000007E-2</v>
      </c>
      <c r="K1023" s="12">
        <f t="shared" si="161"/>
        <v>9.721538461538462E-2</v>
      </c>
      <c r="L1023" s="12">
        <f t="shared" si="162"/>
        <v>0.79161098901098892</v>
      </c>
      <c r="M1023" s="2"/>
      <c r="N1023" s="2"/>
      <c r="O1023" s="2">
        <f t="shared" si="165"/>
        <v>395.80549450549444</v>
      </c>
      <c r="P1023" s="2"/>
      <c r="Q1023" s="2"/>
      <c r="R1023" s="28">
        <v>16.666666666666668</v>
      </c>
    </row>
    <row r="1024" spans="1:20" hidden="1" x14ac:dyDescent="0.25">
      <c r="A1024" s="16">
        <v>45674</v>
      </c>
      <c r="B1024" s="2" t="s">
        <v>106</v>
      </c>
      <c r="C1024" s="2">
        <v>220</v>
      </c>
      <c r="D1024" s="19">
        <v>7.0000000000000007E-2</v>
      </c>
      <c r="E1024" s="11">
        <v>0.2</v>
      </c>
      <c r="F1024" s="2">
        <f t="shared" si="158"/>
        <v>930</v>
      </c>
      <c r="G1024" s="2">
        <f t="shared" si="159"/>
        <v>0.22</v>
      </c>
      <c r="H1024" s="2">
        <f t="shared" si="160"/>
        <v>0.23655913978494625</v>
      </c>
      <c r="I1024" s="12">
        <v>0.02</v>
      </c>
      <c r="J1024" s="12">
        <v>7.0000000000000007E-2</v>
      </c>
      <c r="K1024" s="12">
        <f t="shared" si="161"/>
        <v>6.5311827956989255E-2</v>
      </c>
      <c r="L1024" s="12">
        <f t="shared" si="162"/>
        <v>0.39187096774193553</v>
      </c>
      <c r="M1024" s="2"/>
      <c r="N1024" s="2"/>
      <c r="O1024" s="2">
        <f t="shared" si="165"/>
        <v>195.93548387096777</v>
      </c>
      <c r="P1024" s="2"/>
      <c r="Q1024" s="2"/>
      <c r="R1024" s="28">
        <v>16.666666666666668</v>
      </c>
    </row>
    <row r="1025" spans="1:18" hidden="1" x14ac:dyDescent="0.25">
      <c r="A1025" s="16">
        <v>45674</v>
      </c>
      <c r="B1025" s="2" t="s">
        <v>118</v>
      </c>
      <c r="C1025" s="2">
        <v>280</v>
      </c>
      <c r="D1025" s="19">
        <v>0.33</v>
      </c>
      <c r="E1025" s="11">
        <v>0.54</v>
      </c>
      <c r="F1025" s="2">
        <f t="shared" si="158"/>
        <v>670</v>
      </c>
      <c r="G1025" s="2">
        <f t="shared" si="159"/>
        <v>0.28000000000000003</v>
      </c>
      <c r="H1025" s="2">
        <f t="shared" si="160"/>
        <v>0.41791044776119401</v>
      </c>
      <c r="I1025" s="12">
        <v>0.02</v>
      </c>
      <c r="J1025" s="12">
        <v>7.0000000000000007E-2</v>
      </c>
      <c r="K1025" s="12">
        <f t="shared" si="161"/>
        <v>0.2742716417910448</v>
      </c>
      <c r="L1025" s="12">
        <f t="shared" si="162"/>
        <v>0.78218208955223878</v>
      </c>
      <c r="M1025" s="2">
        <f>L1025*250</f>
        <v>195.54552238805971</v>
      </c>
      <c r="N1025" s="2"/>
      <c r="O1025" s="2"/>
      <c r="P1025" s="2"/>
      <c r="Q1025" s="2"/>
      <c r="R1025" s="28">
        <v>16.666666666666668</v>
      </c>
    </row>
    <row r="1026" spans="1:18" hidden="1" x14ac:dyDescent="0.25">
      <c r="A1026" s="16">
        <v>45674</v>
      </c>
      <c r="B1026" s="2" t="s">
        <v>111</v>
      </c>
      <c r="C1026" s="2">
        <v>600</v>
      </c>
      <c r="D1026" s="19">
        <v>0.43</v>
      </c>
      <c r="E1026" s="11">
        <v>0.21</v>
      </c>
      <c r="F1026" s="2">
        <f t="shared" si="158"/>
        <v>570</v>
      </c>
      <c r="G1026" s="2">
        <f t="shared" si="159"/>
        <v>0.6</v>
      </c>
      <c r="H1026" s="2">
        <f t="shared" si="160"/>
        <v>1.0526315789473684</v>
      </c>
      <c r="I1026" s="12">
        <v>0.02</v>
      </c>
      <c r="J1026" s="12">
        <v>7.0000000000000007E-2</v>
      </c>
      <c r="K1026" s="12">
        <f t="shared" si="161"/>
        <v>0.23995263157894736</v>
      </c>
      <c r="L1026" s="12">
        <f t="shared" si="162"/>
        <v>1.3825842105263157</v>
      </c>
      <c r="M1026" s="2">
        <f>L1026*250</f>
        <v>345.64605263157893</v>
      </c>
      <c r="N1026" s="2"/>
      <c r="O1026" s="2"/>
      <c r="P1026" s="2"/>
      <c r="Q1026" s="2"/>
      <c r="R1026" s="28">
        <v>16.666666666666668</v>
      </c>
    </row>
    <row r="1027" spans="1:18" hidden="1" x14ac:dyDescent="0.25">
      <c r="A1027" s="16">
        <v>45674</v>
      </c>
      <c r="B1027" s="2" t="s">
        <v>120</v>
      </c>
      <c r="C1027" s="2">
        <v>300</v>
      </c>
      <c r="D1027" s="19">
        <v>0.51</v>
      </c>
      <c r="E1027" s="11">
        <v>0.4</v>
      </c>
      <c r="F1027" s="2">
        <f t="shared" si="158"/>
        <v>490</v>
      </c>
      <c r="G1027" s="2">
        <f t="shared" si="159"/>
        <v>0.3</v>
      </c>
      <c r="H1027" s="2">
        <f t="shared" si="160"/>
        <v>0.61224489795918369</v>
      </c>
      <c r="I1027" s="12">
        <v>0.02</v>
      </c>
      <c r="J1027" s="12">
        <v>7.0000000000000007E-2</v>
      </c>
      <c r="K1027" s="12">
        <f t="shared" si="161"/>
        <v>0.2808979591836735</v>
      </c>
      <c r="L1027" s="12">
        <f t="shared" si="162"/>
        <v>0.98314285714285732</v>
      </c>
      <c r="M1027" s="2">
        <f>L1027*250</f>
        <v>245.78571428571433</v>
      </c>
      <c r="N1027" s="2"/>
      <c r="O1027" s="2"/>
      <c r="P1027" s="2"/>
      <c r="Q1027" s="2"/>
      <c r="R1027" s="28">
        <v>16.666666666666668</v>
      </c>
    </row>
    <row r="1028" spans="1:18" hidden="1" x14ac:dyDescent="0.25">
      <c r="A1028" s="16">
        <v>45674</v>
      </c>
      <c r="B1028" s="2" t="s">
        <v>103</v>
      </c>
      <c r="C1028" s="2">
        <v>170</v>
      </c>
      <c r="D1028" s="19">
        <v>0.05</v>
      </c>
      <c r="E1028" s="11">
        <v>0.08</v>
      </c>
      <c r="F1028" s="2">
        <f t="shared" si="158"/>
        <v>950</v>
      </c>
      <c r="G1028" s="2">
        <f t="shared" si="159"/>
        <v>0.17</v>
      </c>
      <c r="H1028" s="2">
        <f t="shared" si="160"/>
        <v>0.17894736842105263</v>
      </c>
      <c r="I1028" s="12">
        <v>0.02</v>
      </c>
      <c r="J1028" s="12">
        <v>7.0000000000000007E-2</v>
      </c>
      <c r="K1028" s="12">
        <f t="shared" si="161"/>
        <v>2.1515789473684207E-2</v>
      </c>
      <c r="L1028" s="12">
        <f t="shared" si="162"/>
        <v>0.29046315789473681</v>
      </c>
      <c r="M1028" s="2">
        <f>L1028*250</f>
        <v>72.615789473684202</v>
      </c>
      <c r="N1028" s="2"/>
      <c r="O1028" s="2">
        <f>L1028*500</f>
        <v>145.2315789473684</v>
      </c>
      <c r="P1028" s="2"/>
      <c r="Q1028" s="2"/>
      <c r="R1028" s="28">
        <v>16.666666666666668</v>
      </c>
    </row>
    <row r="1029" spans="1:18" hidden="1" x14ac:dyDescent="0.25">
      <c r="A1029" s="16">
        <v>45674</v>
      </c>
      <c r="B1029" s="2" t="s">
        <v>95</v>
      </c>
      <c r="C1029" s="2">
        <v>250</v>
      </c>
      <c r="D1029" s="19">
        <v>0.03</v>
      </c>
      <c r="E1029" s="11">
        <v>0.41</v>
      </c>
      <c r="F1029" s="2">
        <f t="shared" si="158"/>
        <v>970</v>
      </c>
      <c r="G1029" s="2">
        <f t="shared" si="159"/>
        <v>0.25</v>
      </c>
      <c r="H1029" s="2">
        <f t="shared" si="160"/>
        <v>0.25773195876288657</v>
      </c>
      <c r="I1029" s="12">
        <v>0.02</v>
      </c>
      <c r="J1029" s="12">
        <v>7.0000000000000007E-2</v>
      </c>
      <c r="K1029" s="12">
        <f t="shared" si="161"/>
        <v>0.14257010309278351</v>
      </c>
      <c r="L1029" s="12">
        <f t="shared" si="162"/>
        <v>0.4903020618556701</v>
      </c>
      <c r="M1029" s="2"/>
      <c r="N1029" s="2"/>
      <c r="O1029" s="2">
        <f>L1029*500</f>
        <v>245.15103092783505</v>
      </c>
      <c r="P1029" s="2"/>
      <c r="Q1029" s="2"/>
      <c r="R1029" s="28">
        <v>16.666666666666668</v>
      </c>
    </row>
    <row r="1030" spans="1:18" hidden="1" x14ac:dyDescent="0.25">
      <c r="A1030" s="16">
        <v>45308</v>
      </c>
      <c r="B1030" s="2" t="s">
        <v>130</v>
      </c>
      <c r="C1030" s="2">
        <v>320</v>
      </c>
      <c r="D1030" s="19">
        <v>0.12</v>
      </c>
      <c r="E1030" s="11">
        <v>0.08</v>
      </c>
      <c r="F1030" s="10">
        <f t="shared" si="158"/>
        <v>880</v>
      </c>
      <c r="G1030" s="10">
        <f t="shared" si="159"/>
        <v>0.32</v>
      </c>
      <c r="H1030" s="12">
        <f t="shared" si="160"/>
        <v>0.36363636363636365</v>
      </c>
      <c r="I1030" s="12">
        <v>0.02</v>
      </c>
      <c r="J1030" s="12">
        <v>7.0000000000000007E-2</v>
      </c>
      <c r="K1030" s="12">
        <f t="shared" si="161"/>
        <v>3.6290909090909096E-2</v>
      </c>
      <c r="L1030" s="12">
        <f t="shared" si="162"/>
        <v>0.48992727272727277</v>
      </c>
      <c r="M1030" s="2"/>
      <c r="N1030" s="2"/>
      <c r="O1030" s="2">
        <f>L1030*500</f>
        <v>244.9636363636364</v>
      </c>
      <c r="P1030" s="2"/>
      <c r="Q1030" s="2"/>
      <c r="R1030" s="28">
        <v>16.666666666666668</v>
      </c>
    </row>
    <row r="1031" spans="1:18" hidden="1" x14ac:dyDescent="0.25">
      <c r="A1031" s="16">
        <v>45675</v>
      </c>
      <c r="B1031" s="2" t="s">
        <v>138</v>
      </c>
      <c r="C1031" s="2">
        <v>460</v>
      </c>
      <c r="D1031" s="19">
        <v>0.55000000000000004</v>
      </c>
      <c r="E1031" s="11">
        <v>0.42</v>
      </c>
      <c r="F1031" s="2">
        <f t="shared" ref="F1031:F1095" si="166">1000-1000*D1031</f>
        <v>450</v>
      </c>
      <c r="G1031" s="2">
        <f t="shared" ref="G1031:G1095" si="167">C1031/1000</f>
        <v>0.46</v>
      </c>
      <c r="H1031" s="2">
        <f t="shared" ref="H1031:H1095" si="168">C1031/F1031</f>
        <v>1.0222222222222221</v>
      </c>
      <c r="I1031" s="12">
        <v>0.02</v>
      </c>
      <c r="J1031" s="12">
        <v>7.0000000000000007E-2</v>
      </c>
      <c r="K1031" s="12">
        <f t="shared" ref="K1031:K1095" si="169">SUM(H1031:J1031)*E1031</f>
        <v>0.46713333333333329</v>
      </c>
      <c r="L1031" s="12">
        <f t="shared" ref="L1031:L1095" si="170">SUM(H1031:K1031)</f>
        <v>1.5793555555555554</v>
      </c>
      <c r="M1031" s="2">
        <f>L1031*250</f>
        <v>394.83888888888885</v>
      </c>
      <c r="N1031" s="2"/>
      <c r="O1031" s="2"/>
      <c r="P1031" s="2"/>
      <c r="Q1031" s="2"/>
      <c r="R1031" s="28">
        <v>16.666666666666668</v>
      </c>
    </row>
    <row r="1032" spans="1:18" hidden="1" x14ac:dyDescent="0.25">
      <c r="A1032" s="16">
        <v>45675</v>
      </c>
      <c r="B1032" s="2" t="s">
        <v>143</v>
      </c>
      <c r="C1032" s="2">
        <v>460</v>
      </c>
      <c r="D1032" s="19">
        <v>0.55000000000000004</v>
      </c>
      <c r="E1032" s="11">
        <v>0.43</v>
      </c>
      <c r="F1032" s="2">
        <f t="shared" si="166"/>
        <v>450</v>
      </c>
      <c r="G1032" s="2">
        <f t="shared" si="167"/>
        <v>0.46</v>
      </c>
      <c r="H1032" s="2">
        <f t="shared" si="168"/>
        <v>1.0222222222222221</v>
      </c>
      <c r="I1032" s="12">
        <v>0.02</v>
      </c>
      <c r="J1032" s="12">
        <v>7.0000000000000007E-2</v>
      </c>
      <c r="K1032" s="12">
        <f t="shared" si="169"/>
        <v>0.47825555555555554</v>
      </c>
      <c r="L1032" s="12">
        <f t="shared" si="170"/>
        <v>1.5904777777777777</v>
      </c>
      <c r="M1032" s="2"/>
      <c r="N1032" s="2"/>
      <c r="O1032" s="2">
        <f>L1032*500</f>
        <v>795.23888888888882</v>
      </c>
      <c r="P1032" s="2"/>
      <c r="Q1032" s="2"/>
      <c r="R1032" s="28">
        <v>16.666666666666668</v>
      </c>
    </row>
    <row r="1033" spans="1:18" hidden="1" x14ac:dyDescent="0.25">
      <c r="A1033" s="16">
        <v>45675</v>
      </c>
      <c r="B1033" s="2" t="s">
        <v>90</v>
      </c>
      <c r="C1033" s="2">
        <v>400</v>
      </c>
      <c r="D1033" s="19">
        <v>0.01</v>
      </c>
      <c r="E1033" s="11">
        <v>0.316</v>
      </c>
      <c r="F1033" s="2">
        <f t="shared" si="166"/>
        <v>990</v>
      </c>
      <c r="G1033" s="2">
        <f t="shared" si="167"/>
        <v>0.4</v>
      </c>
      <c r="H1033" s="2">
        <f t="shared" si="168"/>
        <v>0.40404040404040403</v>
      </c>
      <c r="I1033" s="12">
        <v>0.02</v>
      </c>
      <c r="J1033" s="12">
        <v>7.0000000000000007E-2</v>
      </c>
      <c r="K1033" s="12">
        <f t="shared" si="169"/>
        <v>0.15611676767676769</v>
      </c>
      <c r="L1033" s="12">
        <f t="shared" si="170"/>
        <v>0.65015717171717169</v>
      </c>
      <c r="M1033" s="2"/>
      <c r="N1033" s="2"/>
      <c r="O1033" s="2">
        <f>L1033*500</f>
        <v>325.07858585858583</v>
      </c>
      <c r="P1033" s="2"/>
      <c r="Q1033" s="2"/>
      <c r="R1033" s="28">
        <v>16.666666666666668</v>
      </c>
    </row>
    <row r="1034" spans="1:18" hidden="1" x14ac:dyDescent="0.25">
      <c r="A1034" s="16">
        <v>45675</v>
      </c>
      <c r="B1034" s="2" t="s">
        <v>91</v>
      </c>
      <c r="C1034" s="2">
        <v>400</v>
      </c>
      <c r="D1034" s="19">
        <v>0.01</v>
      </c>
      <c r="E1034" s="11">
        <v>0.316</v>
      </c>
      <c r="F1034" s="2">
        <f t="shared" si="166"/>
        <v>990</v>
      </c>
      <c r="G1034" s="2">
        <f t="shared" si="167"/>
        <v>0.4</v>
      </c>
      <c r="H1034" s="2">
        <f t="shared" si="168"/>
        <v>0.40404040404040403</v>
      </c>
      <c r="I1034" s="12">
        <v>0.02</v>
      </c>
      <c r="J1034" s="12">
        <v>7.0000000000000007E-2</v>
      </c>
      <c r="K1034" s="12">
        <f t="shared" si="169"/>
        <v>0.15611676767676769</v>
      </c>
      <c r="L1034" s="12">
        <f t="shared" si="170"/>
        <v>0.65015717171717169</v>
      </c>
      <c r="M1034" s="2"/>
      <c r="N1034" s="2"/>
      <c r="O1034" s="2">
        <f>L1034*500</f>
        <v>325.07858585858583</v>
      </c>
      <c r="P1034" s="2"/>
      <c r="Q1034" s="2"/>
      <c r="R1034" s="28">
        <v>16.666666666666668</v>
      </c>
    </row>
    <row r="1035" spans="1:18" hidden="1" x14ac:dyDescent="0.25">
      <c r="A1035" s="16">
        <v>45675</v>
      </c>
      <c r="B1035" s="2" t="s">
        <v>192</v>
      </c>
      <c r="C1035" s="2">
        <v>330</v>
      </c>
      <c r="D1035" s="19">
        <v>0.08</v>
      </c>
      <c r="E1035" s="11">
        <v>0.315</v>
      </c>
      <c r="F1035" s="2">
        <f t="shared" si="166"/>
        <v>920</v>
      </c>
      <c r="G1035" s="2">
        <f t="shared" si="167"/>
        <v>0.33</v>
      </c>
      <c r="H1035" s="2">
        <f t="shared" si="168"/>
        <v>0.35869565217391303</v>
      </c>
      <c r="I1035" s="12">
        <v>0.02</v>
      </c>
      <c r="J1035" s="12">
        <v>7.0000000000000007E-2</v>
      </c>
      <c r="K1035" s="12">
        <f t="shared" si="169"/>
        <v>0.14133913043478261</v>
      </c>
      <c r="L1035" s="12">
        <f t="shared" si="170"/>
        <v>0.59003478260869568</v>
      </c>
      <c r="M1035" s="2"/>
      <c r="N1035" s="2"/>
      <c r="O1035" s="2">
        <f>L1035*500</f>
        <v>295.01739130434783</v>
      </c>
      <c r="P1035" s="2"/>
      <c r="Q1035" s="2"/>
      <c r="R1035" s="28">
        <v>16.666666666666668</v>
      </c>
    </row>
    <row r="1036" spans="1:18" hidden="1" x14ac:dyDescent="0.25">
      <c r="A1036" s="16">
        <v>45675</v>
      </c>
      <c r="B1036" s="2" t="s">
        <v>185</v>
      </c>
      <c r="C1036" s="2">
        <v>330</v>
      </c>
      <c r="D1036" s="19">
        <v>0.08</v>
      </c>
      <c r="E1036" s="11">
        <v>0.315</v>
      </c>
      <c r="F1036" s="2">
        <f t="shared" si="166"/>
        <v>920</v>
      </c>
      <c r="G1036" s="2">
        <f t="shared" si="167"/>
        <v>0.33</v>
      </c>
      <c r="H1036" s="2">
        <f t="shared" si="168"/>
        <v>0.35869565217391303</v>
      </c>
      <c r="I1036" s="12">
        <v>0.02</v>
      </c>
      <c r="J1036" s="12">
        <v>7.0000000000000007E-2</v>
      </c>
      <c r="K1036" s="12">
        <f t="shared" si="169"/>
        <v>0.14133913043478261</v>
      </c>
      <c r="L1036" s="12">
        <f t="shared" si="170"/>
        <v>0.59003478260869568</v>
      </c>
      <c r="M1036" s="2"/>
      <c r="N1036" s="2"/>
      <c r="O1036" s="2">
        <f>L1036*500</f>
        <v>295.01739130434783</v>
      </c>
      <c r="P1036" s="2"/>
      <c r="Q1036" s="2"/>
      <c r="R1036" s="28">
        <v>16.666666666666668</v>
      </c>
    </row>
    <row r="1037" spans="1:18" hidden="1" x14ac:dyDescent="0.25">
      <c r="A1037" s="16">
        <v>45676</v>
      </c>
      <c r="B1037" s="2" t="s">
        <v>102</v>
      </c>
      <c r="C1037" s="2">
        <v>550</v>
      </c>
      <c r="D1037" s="19">
        <v>0.59</v>
      </c>
      <c r="E1037" s="11">
        <v>0.38500000000000001</v>
      </c>
      <c r="F1037" s="2">
        <f t="shared" si="166"/>
        <v>410</v>
      </c>
      <c r="G1037" s="2">
        <f t="shared" si="167"/>
        <v>0.55000000000000004</v>
      </c>
      <c r="H1037" s="2">
        <f t="shared" si="168"/>
        <v>1.3414634146341464</v>
      </c>
      <c r="I1037" s="12">
        <v>0.02</v>
      </c>
      <c r="J1037" s="12">
        <v>7.0000000000000007E-2</v>
      </c>
      <c r="K1037" s="12">
        <f t="shared" si="169"/>
        <v>0.55111341463414643</v>
      </c>
      <c r="L1037" s="12">
        <f t="shared" si="170"/>
        <v>1.982576829268293</v>
      </c>
      <c r="M1037" s="2">
        <f>L1037*250</f>
        <v>495.64420731707327</v>
      </c>
      <c r="N1037" s="2"/>
      <c r="O1037" s="2"/>
      <c r="P1037" s="2"/>
      <c r="Q1037" s="2"/>
      <c r="R1037" s="28">
        <v>16.666666666666668</v>
      </c>
    </row>
    <row r="1038" spans="1:18" hidden="1" x14ac:dyDescent="0.25">
      <c r="A1038" s="16">
        <v>45676</v>
      </c>
      <c r="B1038" s="2" t="s">
        <v>130</v>
      </c>
      <c r="C1038" s="2">
        <v>300</v>
      </c>
      <c r="D1038" s="19">
        <v>0</v>
      </c>
      <c r="E1038" s="11">
        <v>0.155</v>
      </c>
      <c r="F1038" s="10">
        <f t="shared" si="166"/>
        <v>1000</v>
      </c>
      <c r="G1038" s="10">
        <f t="shared" si="167"/>
        <v>0.3</v>
      </c>
      <c r="H1038" s="12">
        <f t="shared" si="168"/>
        <v>0.3</v>
      </c>
      <c r="I1038" s="12">
        <v>0.02</v>
      </c>
      <c r="J1038" s="12">
        <v>7.0000000000000007E-2</v>
      </c>
      <c r="K1038" s="12">
        <f t="shared" si="169"/>
        <v>6.0450000000000004E-2</v>
      </c>
      <c r="L1038" s="12">
        <f t="shared" si="170"/>
        <v>0.45045000000000002</v>
      </c>
      <c r="M1038" s="2"/>
      <c r="N1038" s="2"/>
      <c r="O1038" s="2">
        <f>L1038*500</f>
        <v>225.22500000000002</v>
      </c>
      <c r="P1038" s="2"/>
      <c r="Q1038" s="2"/>
      <c r="R1038" s="28">
        <v>16.666666666666668</v>
      </c>
    </row>
    <row r="1039" spans="1:18" hidden="1" x14ac:dyDescent="0.25">
      <c r="A1039" s="16">
        <v>45676</v>
      </c>
      <c r="B1039" s="2" t="s">
        <v>40</v>
      </c>
      <c r="C1039" s="2">
        <v>230</v>
      </c>
      <c r="D1039" s="19">
        <v>0.17</v>
      </c>
      <c r="E1039" s="11">
        <v>0.06</v>
      </c>
      <c r="F1039" s="10">
        <f t="shared" si="166"/>
        <v>830</v>
      </c>
      <c r="G1039" s="10">
        <f t="shared" si="167"/>
        <v>0.23</v>
      </c>
      <c r="H1039" s="12">
        <f t="shared" si="168"/>
        <v>0.27710843373493976</v>
      </c>
      <c r="I1039" s="12">
        <v>0.02</v>
      </c>
      <c r="J1039" s="12">
        <v>7.0000000000000007E-2</v>
      </c>
      <c r="K1039" s="12">
        <f t="shared" si="169"/>
        <v>2.2026506024096386E-2</v>
      </c>
      <c r="L1039" s="12">
        <f t="shared" si="170"/>
        <v>0.38913493975903618</v>
      </c>
      <c r="M1039" s="2"/>
      <c r="N1039" s="2"/>
      <c r="O1039" s="12">
        <f>L1039*500</f>
        <v>194.56746987951809</v>
      </c>
      <c r="P1039" s="2"/>
      <c r="Q1039" s="2"/>
      <c r="R1039" s="28">
        <v>16.666666666666668</v>
      </c>
    </row>
    <row r="1040" spans="1:18" hidden="1" x14ac:dyDescent="0.25">
      <c r="A1040" s="16">
        <v>45676</v>
      </c>
      <c r="B1040" s="2" t="s">
        <v>92</v>
      </c>
      <c r="C1040" s="2">
        <v>420</v>
      </c>
      <c r="D1040" s="19">
        <v>0</v>
      </c>
      <c r="E1040" s="11">
        <v>0.27500000000000002</v>
      </c>
      <c r="F1040" s="2">
        <f t="shared" si="166"/>
        <v>1000</v>
      </c>
      <c r="G1040" s="2">
        <f t="shared" si="167"/>
        <v>0.42</v>
      </c>
      <c r="H1040" s="2">
        <f t="shared" si="168"/>
        <v>0.42</v>
      </c>
      <c r="I1040" s="12">
        <v>0.02</v>
      </c>
      <c r="J1040" s="12">
        <v>7.0000000000000007E-2</v>
      </c>
      <c r="K1040" s="12">
        <f t="shared" si="169"/>
        <v>0.14025000000000001</v>
      </c>
      <c r="L1040" s="12">
        <f t="shared" si="170"/>
        <v>0.65024999999999999</v>
      </c>
      <c r="M1040" s="2"/>
      <c r="N1040" s="2"/>
      <c r="O1040" s="2">
        <f>L1040*500</f>
        <v>325.125</v>
      </c>
      <c r="P1040" s="2"/>
      <c r="Q1040" s="2"/>
      <c r="R1040" s="28">
        <v>16.666666666666668</v>
      </c>
    </row>
    <row r="1041" spans="1:18" hidden="1" x14ac:dyDescent="0.25">
      <c r="A1041" s="16">
        <v>45676</v>
      </c>
      <c r="B1041" s="2" t="s">
        <v>94</v>
      </c>
      <c r="C1041" s="2">
        <v>280</v>
      </c>
      <c r="D1041" s="19">
        <v>0.03</v>
      </c>
      <c r="E1041" s="11">
        <v>0.29499999999999998</v>
      </c>
      <c r="F1041" s="2">
        <f t="shared" si="166"/>
        <v>970</v>
      </c>
      <c r="G1041" s="2">
        <f t="shared" si="167"/>
        <v>0.28000000000000003</v>
      </c>
      <c r="H1041" s="2">
        <f t="shared" si="168"/>
        <v>0.28865979381443296</v>
      </c>
      <c r="I1041" s="12">
        <v>0.02</v>
      </c>
      <c r="J1041" s="12">
        <v>7.0000000000000007E-2</v>
      </c>
      <c r="K1041" s="12">
        <f t="shared" si="169"/>
        <v>0.11170463917525772</v>
      </c>
      <c r="L1041" s="12">
        <f t="shared" si="170"/>
        <v>0.49036443298969068</v>
      </c>
      <c r="M1041" s="2"/>
      <c r="N1041" s="2"/>
      <c r="O1041" s="2">
        <f>L1041*500</f>
        <v>245.18221649484533</v>
      </c>
      <c r="P1041" s="2"/>
      <c r="Q1041" s="2"/>
      <c r="R1041" s="28">
        <v>16.666666666666668</v>
      </c>
    </row>
    <row r="1042" spans="1:18" hidden="1" x14ac:dyDescent="0.25">
      <c r="A1042" s="16">
        <v>45676</v>
      </c>
      <c r="B1042" s="2" t="s">
        <v>95</v>
      </c>
      <c r="C1042" s="2">
        <v>280</v>
      </c>
      <c r="D1042" s="19">
        <v>0.03</v>
      </c>
      <c r="E1042" s="11">
        <v>0.29499999999999998</v>
      </c>
      <c r="F1042" s="2">
        <f t="shared" si="166"/>
        <v>970</v>
      </c>
      <c r="G1042" s="2">
        <f t="shared" si="167"/>
        <v>0.28000000000000003</v>
      </c>
      <c r="H1042" s="2">
        <f t="shared" si="168"/>
        <v>0.28865979381443296</v>
      </c>
      <c r="I1042" s="12">
        <v>0.02</v>
      </c>
      <c r="J1042" s="12">
        <v>7.0000000000000007E-2</v>
      </c>
      <c r="K1042" s="12">
        <f t="shared" si="169"/>
        <v>0.11170463917525772</v>
      </c>
      <c r="L1042" s="12">
        <f t="shared" si="170"/>
        <v>0.49036443298969068</v>
      </c>
      <c r="M1042" s="2"/>
      <c r="N1042" s="2"/>
      <c r="O1042" s="2">
        <f>L1042*500</f>
        <v>245.18221649484533</v>
      </c>
      <c r="P1042" s="2"/>
      <c r="Q1042" s="2"/>
      <c r="R1042" s="28">
        <v>16.666666666666668</v>
      </c>
    </row>
    <row r="1043" spans="1:18" hidden="1" x14ac:dyDescent="0.25">
      <c r="A1043" s="16">
        <v>45676</v>
      </c>
      <c r="B1043" s="2" t="s">
        <v>118</v>
      </c>
      <c r="C1043" s="2">
        <v>250</v>
      </c>
      <c r="D1043" s="19">
        <v>0.39</v>
      </c>
      <c r="E1043" s="11">
        <v>0.56000000000000005</v>
      </c>
      <c r="F1043" s="2">
        <f t="shared" si="166"/>
        <v>610</v>
      </c>
      <c r="G1043" s="2">
        <f t="shared" si="167"/>
        <v>0.25</v>
      </c>
      <c r="H1043" s="2">
        <f t="shared" si="168"/>
        <v>0.4098360655737705</v>
      </c>
      <c r="I1043" s="12">
        <v>0.02</v>
      </c>
      <c r="J1043" s="12">
        <v>7.0000000000000007E-2</v>
      </c>
      <c r="K1043" s="12">
        <f t="shared" si="169"/>
        <v>0.27990819672131151</v>
      </c>
      <c r="L1043" s="12">
        <f t="shared" si="170"/>
        <v>0.77974426229508209</v>
      </c>
      <c r="M1043" s="2">
        <f>L1043*250</f>
        <v>194.93606557377052</v>
      </c>
      <c r="N1043" s="2"/>
      <c r="O1043" s="2"/>
      <c r="P1043" s="2"/>
      <c r="Q1043" s="2"/>
      <c r="R1043" s="28">
        <v>16.666666666666668</v>
      </c>
    </row>
    <row r="1044" spans="1:18" hidden="1" x14ac:dyDescent="0.25">
      <c r="A1044" s="16">
        <v>45676</v>
      </c>
      <c r="B1044" s="2" t="s">
        <v>192</v>
      </c>
      <c r="C1044" s="2">
        <v>550</v>
      </c>
      <c r="D1044" s="19">
        <v>0</v>
      </c>
      <c r="E1044" s="11">
        <v>0.17299999999999999</v>
      </c>
      <c r="F1044" s="2">
        <f t="shared" si="166"/>
        <v>1000</v>
      </c>
      <c r="G1044" s="2">
        <f t="shared" si="167"/>
        <v>0.55000000000000004</v>
      </c>
      <c r="H1044" s="2">
        <f t="shared" si="168"/>
        <v>0.55000000000000004</v>
      </c>
      <c r="I1044" s="12">
        <v>0.02</v>
      </c>
      <c r="J1044" s="12">
        <v>7.0000000000000007E-2</v>
      </c>
      <c r="K1044" s="12">
        <f t="shared" si="169"/>
        <v>0.11072000000000001</v>
      </c>
      <c r="L1044" s="12">
        <f t="shared" si="170"/>
        <v>0.75072000000000016</v>
      </c>
      <c r="M1044" s="2"/>
      <c r="N1044" s="2"/>
      <c r="O1044" s="2">
        <f>L1044*500</f>
        <v>375.36000000000007</v>
      </c>
      <c r="P1044" s="2"/>
      <c r="Q1044" s="2"/>
      <c r="R1044" s="28">
        <v>16.666666666666668</v>
      </c>
    </row>
    <row r="1045" spans="1:18" hidden="1" x14ac:dyDescent="0.25">
      <c r="A1045" s="16">
        <v>45676</v>
      </c>
      <c r="B1045" s="2" t="s">
        <v>93</v>
      </c>
      <c r="C1045" s="2">
        <v>550</v>
      </c>
      <c r="D1045" s="19">
        <v>0</v>
      </c>
      <c r="E1045" s="11">
        <v>0.23499999999999999</v>
      </c>
      <c r="F1045" s="2">
        <f t="shared" si="166"/>
        <v>1000</v>
      </c>
      <c r="G1045" s="2">
        <f t="shared" si="167"/>
        <v>0.55000000000000004</v>
      </c>
      <c r="H1045" s="2">
        <f t="shared" si="168"/>
        <v>0.55000000000000004</v>
      </c>
      <c r="I1045" s="12">
        <v>0.02</v>
      </c>
      <c r="J1045" s="12">
        <v>7.0000000000000007E-2</v>
      </c>
      <c r="K1045" s="12">
        <f t="shared" si="169"/>
        <v>0.15040000000000003</v>
      </c>
      <c r="L1045" s="12">
        <f t="shared" si="170"/>
        <v>0.79040000000000021</v>
      </c>
      <c r="M1045" s="2"/>
      <c r="N1045" s="2"/>
      <c r="O1045" s="2">
        <f>L1045*500</f>
        <v>395.2000000000001</v>
      </c>
      <c r="P1045" s="2"/>
      <c r="Q1045" s="2"/>
      <c r="R1045" s="28">
        <v>16.666666666666668</v>
      </c>
    </row>
    <row r="1046" spans="1:18" hidden="1" x14ac:dyDescent="0.25">
      <c r="A1046" s="16">
        <v>45678</v>
      </c>
      <c r="B1046" s="2" t="s">
        <v>112</v>
      </c>
      <c r="C1046" s="2">
        <v>800</v>
      </c>
      <c r="D1046" s="19">
        <v>0.38</v>
      </c>
      <c r="E1046" s="11">
        <v>0.15</v>
      </c>
      <c r="F1046" s="2">
        <f t="shared" si="166"/>
        <v>620</v>
      </c>
      <c r="G1046" s="2">
        <f t="shared" si="167"/>
        <v>0.8</v>
      </c>
      <c r="H1046" s="2">
        <f t="shared" si="168"/>
        <v>1.2903225806451613</v>
      </c>
      <c r="I1046" s="12">
        <v>0.02</v>
      </c>
      <c r="J1046" s="12">
        <v>7.0000000000000007E-2</v>
      </c>
      <c r="K1046" s="12">
        <f t="shared" si="169"/>
        <v>0.2070483870967742</v>
      </c>
      <c r="L1046" s="12">
        <f t="shared" si="170"/>
        <v>1.5873709677419354</v>
      </c>
      <c r="M1046" s="2"/>
      <c r="N1046" s="2"/>
      <c r="O1046" s="2">
        <f>L1046*500</f>
        <v>793.68548387096769</v>
      </c>
      <c r="P1046" s="2"/>
      <c r="Q1046" s="2"/>
      <c r="R1046" s="28">
        <v>16.666666666666668</v>
      </c>
    </row>
    <row r="1047" spans="1:18" hidden="1" x14ac:dyDescent="0.25">
      <c r="A1047" s="16">
        <v>45678</v>
      </c>
      <c r="B1047" s="2" t="s">
        <v>111</v>
      </c>
      <c r="C1047" s="2">
        <v>800</v>
      </c>
      <c r="D1047" s="19">
        <v>0.38</v>
      </c>
      <c r="E1047" s="11">
        <v>0.14499999999999999</v>
      </c>
      <c r="F1047" s="2">
        <f t="shared" si="166"/>
        <v>620</v>
      </c>
      <c r="G1047" s="2">
        <f t="shared" si="167"/>
        <v>0.8</v>
      </c>
      <c r="H1047" s="2">
        <f t="shared" si="168"/>
        <v>1.2903225806451613</v>
      </c>
      <c r="I1047" s="12">
        <v>0.02</v>
      </c>
      <c r="J1047" s="12">
        <v>7.0000000000000007E-2</v>
      </c>
      <c r="K1047" s="12">
        <f t="shared" si="169"/>
        <v>0.20014677419354837</v>
      </c>
      <c r="L1047" s="12">
        <f t="shared" si="170"/>
        <v>1.5804693548387097</v>
      </c>
      <c r="M1047" s="2">
        <f>L1047*250</f>
        <v>395.11733870967743</v>
      </c>
      <c r="N1047" s="2"/>
      <c r="O1047" s="2"/>
      <c r="P1047" s="2"/>
      <c r="Q1047" s="2"/>
      <c r="R1047" s="28">
        <v>16.666666666666668</v>
      </c>
    </row>
    <row r="1048" spans="1:18" hidden="1" x14ac:dyDescent="0.25">
      <c r="A1048" s="16">
        <v>45678</v>
      </c>
      <c r="B1048" s="2" t="s">
        <v>204</v>
      </c>
      <c r="C1048" s="2">
        <v>700</v>
      </c>
      <c r="D1048" s="19">
        <v>0.48</v>
      </c>
      <c r="E1048" s="11">
        <v>0.107</v>
      </c>
      <c r="F1048" s="2">
        <f t="shared" si="166"/>
        <v>520</v>
      </c>
      <c r="G1048" s="2">
        <f t="shared" si="167"/>
        <v>0.7</v>
      </c>
      <c r="H1048" s="2">
        <f t="shared" si="168"/>
        <v>1.3461538461538463</v>
      </c>
      <c r="I1048" s="12">
        <v>0.02</v>
      </c>
      <c r="J1048" s="12">
        <v>7.0000000000000007E-2</v>
      </c>
      <c r="K1048" s="12">
        <f t="shared" si="169"/>
        <v>0.15366846153846156</v>
      </c>
      <c r="L1048" s="12">
        <f t="shared" si="170"/>
        <v>1.5898223076923079</v>
      </c>
      <c r="M1048" s="2" t="s">
        <v>72</v>
      </c>
      <c r="N1048" s="2"/>
      <c r="O1048" s="2">
        <f>L1048*500</f>
        <v>794.91115384615398</v>
      </c>
      <c r="P1048" s="2"/>
      <c r="Q1048" s="2">
        <f>L1048*1000</f>
        <v>1589.822307692308</v>
      </c>
      <c r="R1048" s="28">
        <f>K1048/L1048%</f>
        <v>9.6657633242999097</v>
      </c>
    </row>
    <row r="1049" spans="1:18" hidden="1" x14ac:dyDescent="0.25">
      <c r="A1049" s="16">
        <v>45678</v>
      </c>
      <c r="B1049" s="2" t="s">
        <v>205</v>
      </c>
      <c r="C1049" s="2">
        <v>700</v>
      </c>
      <c r="D1049" s="19">
        <v>0.48</v>
      </c>
      <c r="E1049" s="11">
        <v>0.10199999999999999</v>
      </c>
      <c r="F1049" s="2">
        <f t="shared" si="166"/>
        <v>520</v>
      </c>
      <c r="G1049" s="2">
        <f t="shared" si="167"/>
        <v>0.7</v>
      </c>
      <c r="H1049" s="2">
        <f t="shared" si="168"/>
        <v>1.3461538461538463</v>
      </c>
      <c r="I1049" s="12">
        <v>0.02</v>
      </c>
      <c r="J1049" s="12">
        <v>7.0000000000000007E-2</v>
      </c>
      <c r="K1049" s="12">
        <f t="shared" si="169"/>
        <v>0.14648769230769232</v>
      </c>
      <c r="L1049" s="12">
        <f t="shared" si="170"/>
        <v>1.5826415384615387</v>
      </c>
      <c r="M1049" s="2">
        <f>L1049*250</f>
        <v>395.66038461538466</v>
      </c>
      <c r="N1049" s="2"/>
      <c r="O1049" s="2"/>
      <c r="P1049" s="2"/>
      <c r="Q1049" s="2">
        <f>L1049*1000</f>
        <v>1582.6415384615386</v>
      </c>
      <c r="R1049" s="28">
        <f>K1049/L1049%</f>
        <v>9.2558983666061696</v>
      </c>
    </row>
    <row r="1050" spans="1:18" hidden="1" x14ac:dyDescent="0.25">
      <c r="A1050" s="16">
        <v>45678</v>
      </c>
      <c r="B1050" s="2" t="s">
        <v>94</v>
      </c>
      <c r="C1050" s="2">
        <v>300</v>
      </c>
      <c r="D1050" s="19">
        <v>0.11</v>
      </c>
      <c r="E1050" s="11">
        <v>0.15</v>
      </c>
      <c r="F1050" s="2">
        <f t="shared" si="166"/>
        <v>890</v>
      </c>
      <c r="G1050" s="2">
        <f t="shared" si="167"/>
        <v>0.3</v>
      </c>
      <c r="H1050" s="2">
        <f t="shared" si="168"/>
        <v>0.33707865168539325</v>
      </c>
      <c r="I1050" s="12">
        <v>0.02</v>
      </c>
      <c r="J1050" s="12">
        <v>7.0000000000000007E-2</v>
      </c>
      <c r="K1050" s="12">
        <f t="shared" si="169"/>
        <v>6.4061797752808985E-2</v>
      </c>
      <c r="L1050" s="12">
        <f t="shared" si="170"/>
        <v>0.49114044943820223</v>
      </c>
      <c r="M1050" s="2"/>
      <c r="N1050" s="2"/>
      <c r="O1050" s="2">
        <f>L1050*500</f>
        <v>245.57022471910111</v>
      </c>
      <c r="P1050" s="2"/>
      <c r="Q1050" s="2"/>
      <c r="R1050" s="28">
        <v>16.666666666666668</v>
      </c>
    </row>
    <row r="1051" spans="1:18" hidden="1" x14ac:dyDescent="0.25">
      <c r="A1051" s="16">
        <v>45678</v>
      </c>
      <c r="B1051" s="2" t="s">
        <v>95</v>
      </c>
      <c r="C1051" s="2">
        <v>300</v>
      </c>
      <c r="D1051" s="19">
        <v>0.11</v>
      </c>
      <c r="E1051" s="11">
        <v>0.15</v>
      </c>
      <c r="F1051" s="2">
        <f t="shared" si="166"/>
        <v>890</v>
      </c>
      <c r="G1051" s="2">
        <f t="shared" si="167"/>
        <v>0.3</v>
      </c>
      <c r="H1051" s="2">
        <f t="shared" si="168"/>
        <v>0.33707865168539325</v>
      </c>
      <c r="I1051" s="12">
        <v>0.02</v>
      </c>
      <c r="J1051" s="12">
        <v>7.0000000000000007E-2</v>
      </c>
      <c r="K1051" s="12">
        <f t="shared" si="169"/>
        <v>6.4061797752808985E-2</v>
      </c>
      <c r="L1051" s="12">
        <f t="shared" si="170"/>
        <v>0.49114044943820223</v>
      </c>
      <c r="M1051" s="2"/>
      <c r="N1051" s="2"/>
      <c r="O1051" s="2">
        <f>L1051*500</f>
        <v>245.57022471910111</v>
      </c>
      <c r="P1051" s="2"/>
      <c r="Q1051" s="2"/>
      <c r="R1051" s="28">
        <v>16.666666666666668</v>
      </c>
    </row>
    <row r="1052" spans="1:18" hidden="1" x14ac:dyDescent="0.25">
      <c r="A1052" s="16">
        <v>45678</v>
      </c>
      <c r="B1052" s="2" t="s">
        <v>106</v>
      </c>
      <c r="C1052" s="2">
        <v>230</v>
      </c>
      <c r="D1052" s="19">
        <v>0</v>
      </c>
      <c r="E1052" s="11">
        <v>0.14000000000000001</v>
      </c>
      <c r="F1052" s="2">
        <f t="shared" si="166"/>
        <v>1000</v>
      </c>
      <c r="G1052" s="2">
        <f t="shared" si="167"/>
        <v>0.23</v>
      </c>
      <c r="H1052" s="2">
        <f t="shared" si="168"/>
        <v>0.23</v>
      </c>
      <c r="I1052" s="12">
        <v>0.02</v>
      </c>
      <c r="J1052" s="12">
        <v>7.0000000000000007E-2</v>
      </c>
      <c r="K1052" s="12">
        <f t="shared" si="169"/>
        <v>4.4800000000000006E-2</v>
      </c>
      <c r="L1052" s="12">
        <f t="shared" si="170"/>
        <v>0.36480000000000001</v>
      </c>
      <c r="M1052" s="2"/>
      <c r="N1052" s="2"/>
      <c r="O1052" s="2">
        <f>L1052*400</f>
        <v>145.92000000000002</v>
      </c>
      <c r="P1052" s="2"/>
      <c r="Q1052" s="2"/>
      <c r="R1052" s="28">
        <v>16.666666666666668</v>
      </c>
    </row>
    <row r="1053" spans="1:18" hidden="1" x14ac:dyDescent="0.25">
      <c r="A1053" s="16">
        <v>45678</v>
      </c>
      <c r="B1053" s="2" t="s">
        <v>90</v>
      </c>
      <c r="C1053" s="2">
        <v>360</v>
      </c>
      <c r="D1053" s="19">
        <v>0.21</v>
      </c>
      <c r="E1053" s="11">
        <v>0.19</v>
      </c>
      <c r="F1053" s="2">
        <f t="shared" si="166"/>
        <v>790</v>
      </c>
      <c r="G1053" s="2">
        <f t="shared" si="167"/>
        <v>0.36</v>
      </c>
      <c r="H1053" s="2">
        <f t="shared" si="168"/>
        <v>0.45569620253164556</v>
      </c>
      <c r="I1053" s="12">
        <v>0.02</v>
      </c>
      <c r="J1053" s="12">
        <v>7.0000000000000007E-2</v>
      </c>
      <c r="K1053" s="12">
        <f t="shared" si="169"/>
        <v>0.10368227848101268</v>
      </c>
      <c r="L1053" s="12">
        <f t="shared" si="170"/>
        <v>0.64937848101265827</v>
      </c>
      <c r="M1053" s="2"/>
      <c r="N1053" s="2"/>
      <c r="O1053" s="2">
        <f>L1053*500</f>
        <v>324.68924050632916</v>
      </c>
      <c r="P1053" s="2"/>
      <c r="Q1053" s="2"/>
      <c r="R1053" s="28">
        <v>16.666666666666668</v>
      </c>
    </row>
    <row r="1054" spans="1:18" hidden="1" x14ac:dyDescent="0.25">
      <c r="A1054" s="16">
        <v>45678</v>
      </c>
      <c r="B1054" s="2" t="s">
        <v>92</v>
      </c>
      <c r="C1054" s="2">
        <v>430</v>
      </c>
      <c r="D1054" s="19">
        <v>0</v>
      </c>
      <c r="E1054" s="11">
        <v>0.253</v>
      </c>
      <c r="F1054" s="2">
        <f t="shared" si="166"/>
        <v>1000</v>
      </c>
      <c r="G1054" s="2">
        <f t="shared" si="167"/>
        <v>0.43</v>
      </c>
      <c r="H1054" s="2">
        <f t="shared" si="168"/>
        <v>0.43</v>
      </c>
      <c r="I1054" s="12">
        <v>0.02</v>
      </c>
      <c r="J1054" s="12">
        <v>7.0000000000000007E-2</v>
      </c>
      <c r="K1054" s="12">
        <f t="shared" si="169"/>
        <v>0.13156000000000001</v>
      </c>
      <c r="L1054" s="12">
        <f t="shared" si="170"/>
        <v>0.65156000000000003</v>
      </c>
      <c r="M1054" s="2"/>
      <c r="N1054" s="2"/>
      <c r="O1054" s="2">
        <f>L1054*500</f>
        <v>325.78000000000003</v>
      </c>
      <c r="P1054" s="2"/>
      <c r="Q1054" s="2"/>
      <c r="R1054" s="28">
        <v>16.666666666666668</v>
      </c>
    </row>
    <row r="1055" spans="1:18" hidden="1" x14ac:dyDescent="0.25">
      <c r="A1055" s="16">
        <v>45678</v>
      </c>
      <c r="B1055" s="2" t="s">
        <v>39</v>
      </c>
      <c r="C1055" s="2">
        <v>430</v>
      </c>
      <c r="D1055" s="19">
        <v>0</v>
      </c>
      <c r="E1055" s="11">
        <v>0.253</v>
      </c>
      <c r="F1055" s="2">
        <f t="shared" si="166"/>
        <v>1000</v>
      </c>
      <c r="G1055" s="2">
        <f t="shared" si="167"/>
        <v>0.43</v>
      </c>
      <c r="H1055" s="2">
        <f t="shared" si="168"/>
        <v>0.43</v>
      </c>
      <c r="I1055" s="12">
        <v>0.02</v>
      </c>
      <c r="J1055" s="12">
        <v>7.0000000000000007E-2</v>
      </c>
      <c r="K1055" s="12">
        <f t="shared" si="169"/>
        <v>0.13156000000000001</v>
      </c>
      <c r="L1055" s="12">
        <f t="shared" si="170"/>
        <v>0.65156000000000003</v>
      </c>
      <c r="M1055" s="2"/>
      <c r="N1055" s="2"/>
      <c r="O1055" s="2">
        <f>L1055*500</f>
        <v>325.78000000000003</v>
      </c>
      <c r="P1055" s="2"/>
      <c r="Q1055" s="2"/>
      <c r="R1055" s="28">
        <v>16.666666666666668</v>
      </c>
    </row>
    <row r="1056" spans="1:18" hidden="1" x14ac:dyDescent="0.25">
      <c r="A1056" s="16">
        <v>45679</v>
      </c>
      <c r="B1056" s="2" t="s">
        <v>90</v>
      </c>
      <c r="C1056" s="2">
        <v>380</v>
      </c>
      <c r="D1056" s="19">
        <v>0.1</v>
      </c>
      <c r="E1056" s="11">
        <v>0.27</v>
      </c>
      <c r="F1056" s="2">
        <f t="shared" si="166"/>
        <v>900</v>
      </c>
      <c r="G1056" s="2">
        <f t="shared" si="167"/>
        <v>0.38</v>
      </c>
      <c r="H1056" s="2">
        <f t="shared" si="168"/>
        <v>0.42222222222222222</v>
      </c>
      <c r="I1056" s="12">
        <v>0.02</v>
      </c>
      <c r="J1056" s="12">
        <v>7.0000000000000007E-2</v>
      </c>
      <c r="K1056" s="12">
        <f t="shared" si="169"/>
        <v>0.13830000000000001</v>
      </c>
      <c r="L1056" s="12">
        <f t="shared" si="170"/>
        <v>0.65052222222222222</v>
      </c>
      <c r="M1056" s="2"/>
      <c r="N1056" s="2"/>
      <c r="O1056" s="2">
        <f>L1056*500</f>
        <v>325.26111111111112</v>
      </c>
      <c r="P1056" s="2"/>
      <c r="Q1056" s="2"/>
      <c r="R1056" s="28">
        <v>16.666666666666668</v>
      </c>
    </row>
    <row r="1057" spans="1:18" hidden="1" x14ac:dyDescent="0.25">
      <c r="A1057" s="16">
        <v>45679</v>
      </c>
      <c r="B1057" s="2" t="s">
        <v>152</v>
      </c>
      <c r="C1057" s="2">
        <v>230</v>
      </c>
      <c r="D1057" s="19">
        <v>0</v>
      </c>
      <c r="E1057" s="11">
        <v>0.14000000000000001</v>
      </c>
      <c r="F1057" s="2">
        <f t="shared" si="166"/>
        <v>1000</v>
      </c>
      <c r="G1057" s="2">
        <f t="shared" si="167"/>
        <v>0.23</v>
      </c>
      <c r="H1057" s="2">
        <f t="shared" si="168"/>
        <v>0.23</v>
      </c>
      <c r="I1057" s="12">
        <v>0.02</v>
      </c>
      <c r="J1057" s="12">
        <v>7.0000000000000007E-2</v>
      </c>
      <c r="K1057" s="12">
        <f t="shared" si="169"/>
        <v>4.4800000000000006E-2</v>
      </c>
      <c r="L1057" s="12">
        <f t="shared" si="170"/>
        <v>0.36480000000000001</v>
      </c>
      <c r="M1057" s="2"/>
      <c r="N1057" s="2"/>
      <c r="O1057" s="2">
        <f>L1057*400</f>
        <v>145.92000000000002</v>
      </c>
      <c r="P1057" s="2"/>
      <c r="Q1057" s="2"/>
      <c r="R1057" s="28">
        <v>16.666666666666668</v>
      </c>
    </row>
    <row r="1058" spans="1:18" hidden="1" x14ac:dyDescent="0.25">
      <c r="A1058" s="16">
        <v>45679</v>
      </c>
      <c r="B1058" s="2" t="s">
        <v>94</v>
      </c>
      <c r="C1058" s="2">
        <v>280</v>
      </c>
      <c r="D1058" s="19">
        <v>0.19</v>
      </c>
      <c r="E1058" s="11">
        <v>0.125</v>
      </c>
      <c r="F1058" s="2">
        <f t="shared" si="166"/>
        <v>810</v>
      </c>
      <c r="G1058" s="2">
        <f t="shared" si="167"/>
        <v>0.28000000000000003</v>
      </c>
      <c r="H1058" s="2">
        <f t="shared" si="168"/>
        <v>0.34567901234567899</v>
      </c>
      <c r="I1058" s="12">
        <v>0.02</v>
      </c>
      <c r="J1058" s="12">
        <v>7.0000000000000007E-2</v>
      </c>
      <c r="K1058" s="12">
        <f t="shared" si="169"/>
        <v>5.4459876543209877E-2</v>
      </c>
      <c r="L1058" s="12">
        <f t="shared" si="170"/>
        <v>0.4901388888888889</v>
      </c>
      <c r="M1058" s="2"/>
      <c r="N1058" s="2"/>
      <c r="O1058" s="2">
        <f>L1058*500</f>
        <v>245.06944444444446</v>
      </c>
      <c r="P1058" s="2"/>
      <c r="Q1058" s="2"/>
      <c r="R1058" s="28">
        <v>16.666666666666668</v>
      </c>
    </row>
    <row r="1059" spans="1:18" hidden="1" x14ac:dyDescent="0.25">
      <c r="A1059" s="16">
        <v>45679</v>
      </c>
      <c r="B1059" s="2" t="s">
        <v>95</v>
      </c>
      <c r="C1059" s="2">
        <v>280</v>
      </c>
      <c r="D1059" s="19">
        <v>0.19</v>
      </c>
      <c r="E1059" s="11">
        <v>0.125</v>
      </c>
      <c r="F1059" s="2">
        <f t="shared" si="166"/>
        <v>810</v>
      </c>
      <c r="G1059" s="2">
        <f t="shared" si="167"/>
        <v>0.28000000000000003</v>
      </c>
      <c r="H1059" s="2">
        <f t="shared" si="168"/>
        <v>0.34567901234567899</v>
      </c>
      <c r="I1059" s="12">
        <v>0.02</v>
      </c>
      <c r="J1059" s="12">
        <v>7.0000000000000007E-2</v>
      </c>
      <c r="K1059" s="12">
        <f t="shared" si="169"/>
        <v>5.4459876543209877E-2</v>
      </c>
      <c r="L1059" s="12">
        <f t="shared" si="170"/>
        <v>0.4901388888888889</v>
      </c>
      <c r="M1059" s="2"/>
      <c r="N1059" s="2"/>
      <c r="O1059" s="2">
        <f>L1059*500</f>
        <v>245.06944444444446</v>
      </c>
      <c r="P1059" s="2"/>
      <c r="Q1059" s="2"/>
      <c r="R1059" s="28">
        <v>16.666666666666668</v>
      </c>
    </row>
    <row r="1060" spans="1:18" hidden="1" x14ac:dyDescent="0.25">
      <c r="A1060" s="16">
        <v>45679</v>
      </c>
      <c r="B1060" s="2" t="s">
        <v>112</v>
      </c>
      <c r="C1060" s="2">
        <v>700</v>
      </c>
      <c r="D1060" s="19">
        <v>0.32</v>
      </c>
      <c r="E1060" s="11">
        <v>0.42</v>
      </c>
      <c r="F1060" s="2">
        <f t="shared" si="166"/>
        <v>680</v>
      </c>
      <c r="G1060" s="2">
        <f t="shared" si="167"/>
        <v>0.7</v>
      </c>
      <c r="H1060" s="2">
        <f t="shared" si="168"/>
        <v>1.0294117647058822</v>
      </c>
      <c r="I1060" s="12">
        <v>0.02</v>
      </c>
      <c r="J1060" s="12">
        <v>7.0000000000000007E-2</v>
      </c>
      <c r="K1060" s="12">
        <f t="shared" si="169"/>
        <v>0.47015294117647055</v>
      </c>
      <c r="L1060" s="12">
        <f t="shared" si="170"/>
        <v>1.5895647058823528</v>
      </c>
      <c r="M1060" s="2"/>
      <c r="N1060" s="2"/>
      <c r="O1060" s="2">
        <f>L1060*500</f>
        <v>794.78235294117644</v>
      </c>
      <c r="P1060" s="2"/>
      <c r="Q1060" s="2"/>
      <c r="R1060" s="28">
        <v>16.666666666666668</v>
      </c>
    </row>
    <row r="1061" spans="1:18" hidden="1" x14ac:dyDescent="0.25">
      <c r="A1061" s="16">
        <v>45679</v>
      </c>
      <c r="B1061" s="2" t="s">
        <v>111</v>
      </c>
      <c r="C1061" s="2">
        <v>700</v>
      </c>
      <c r="D1061" s="19">
        <v>0.32</v>
      </c>
      <c r="E1061" s="11">
        <v>0.41</v>
      </c>
      <c r="F1061" s="2">
        <f t="shared" si="166"/>
        <v>680</v>
      </c>
      <c r="G1061" s="2">
        <f t="shared" si="167"/>
        <v>0.7</v>
      </c>
      <c r="H1061" s="2">
        <f t="shared" si="168"/>
        <v>1.0294117647058822</v>
      </c>
      <c r="I1061" s="12">
        <v>0.02</v>
      </c>
      <c r="J1061" s="12">
        <v>7.0000000000000007E-2</v>
      </c>
      <c r="K1061" s="12">
        <f t="shared" si="169"/>
        <v>0.45895882352941175</v>
      </c>
      <c r="L1061" s="12">
        <f t="shared" si="170"/>
        <v>1.5783705882352941</v>
      </c>
      <c r="M1061" s="2">
        <f>L1061*250</f>
        <v>394.5926470588235</v>
      </c>
      <c r="N1061" s="2"/>
      <c r="O1061" s="2"/>
      <c r="P1061" s="2"/>
      <c r="Q1061" s="2"/>
      <c r="R1061" s="28">
        <v>16.666666666666668</v>
      </c>
    </row>
    <row r="1062" spans="1:18" hidden="1" x14ac:dyDescent="0.25">
      <c r="A1062" s="16">
        <v>45680</v>
      </c>
      <c r="B1062" s="2" t="s">
        <v>152</v>
      </c>
      <c r="C1062" s="2">
        <v>230</v>
      </c>
      <c r="D1062" s="19">
        <v>0</v>
      </c>
      <c r="E1062" s="11">
        <v>0.14000000000000001</v>
      </c>
      <c r="F1062" s="2">
        <f t="shared" si="166"/>
        <v>1000</v>
      </c>
      <c r="G1062" s="2">
        <f t="shared" si="167"/>
        <v>0.23</v>
      </c>
      <c r="H1062" s="2">
        <f t="shared" si="168"/>
        <v>0.23</v>
      </c>
      <c r="I1062" s="12">
        <v>0.02</v>
      </c>
      <c r="J1062" s="12">
        <v>7.0000000000000007E-2</v>
      </c>
      <c r="K1062" s="12">
        <f t="shared" si="169"/>
        <v>4.4800000000000006E-2</v>
      </c>
      <c r="L1062" s="12">
        <f t="shared" si="170"/>
        <v>0.36480000000000001</v>
      </c>
      <c r="M1062" s="2"/>
      <c r="N1062" s="2"/>
      <c r="O1062" s="2">
        <f>L1062*400</f>
        <v>145.92000000000002</v>
      </c>
      <c r="P1062" s="2"/>
      <c r="Q1062" s="2"/>
      <c r="R1062" s="28">
        <v>16.666666666666668</v>
      </c>
    </row>
    <row r="1063" spans="1:18" hidden="1" x14ac:dyDescent="0.25">
      <c r="A1063" s="16">
        <v>45679</v>
      </c>
      <c r="B1063" s="2" t="s">
        <v>94</v>
      </c>
      <c r="C1063" s="2">
        <v>280</v>
      </c>
      <c r="D1063" s="19">
        <v>0.3</v>
      </c>
      <c r="E1063" s="11">
        <v>0.125</v>
      </c>
      <c r="F1063" s="2">
        <f t="shared" si="166"/>
        <v>700</v>
      </c>
      <c r="G1063" s="2">
        <f t="shared" si="167"/>
        <v>0.28000000000000003</v>
      </c>
      <c r="H1063" s="2">
        <f t="shared" si="168"/>
        <v>0.4</v>
      </c>
      <c r="I1063" s="12">
        <v>0.02</v>
      </c>
      <c r="J1063" s="12">
        <v>7.0000000000000007E-2</v>
      </c>
      <c r="K1063" s="12">
        <f t="shared" si="169"/>
        <v>6.1250000000000006E-2</v>
      </c>
      <c r="L1063" s="12">
        <f t="shared" si="170"/>
        <v>0.55125000000000002</v>
      </c>
      <c r="M1063" s="2"/>
      <c r="N1063" s="2"/>
      <c r="O1063" s="2">
        <f>L1063*500</f>
        <v>275.625</v>
      </c>
      <c r="P1063" s="2"/>
      <c r="Q1063" s="2"/>
      <c r="R1063" s="28">
        <v>16.666666666666668</v>
      </c>
    </row>
    <row r="1064" spans="1:18" hidden="1" x14ac:dyDescent="0.25">
      <c r="A1064" s="16">
        <v>45679</v>
      </c>
      <c r="B1064" s="2" t="s">
        <v>110</v>
      </c>
      <c r="C1064" s="2">
        <v>130</v>
      </c>
      <c r="D1064" s="19">
        <v>0.08</v>
      </c>
      <c r="E1064" s="11">
        <v>0.25</v>
      </c>
      <c r="F1064" s="2">
        <f t="shared" si="166"/>
        <v>920</v>
      </c>
      <c r="G1064" s="2">
        <f t="shared" si="167"/>
        <v>0.13</v>
      </c>
      <c r="H1064" s="2">
        <f t="shared" si="168"/>
        <v>0.14130434782608695</v>
      </c>
      <c r="I1064" s="12">
        <v>0.02</v>
      </c>
      <c r="J1064" s="12">
        <v>7.0000000000000007E-2</v>
      </c>
      <c r="K1064" s="12">
        <f t="shared" si="169"/>
        <v>5.7826086956521736E-2</v>
      </c>
      <c r="L1064" s="12">
        <f t="shared" si="170"/>
        <v>0.28913043478260869</v>
      </c>
      <c r="M1064" s="2"/>
      <c r="N1064" s="2"/>
      <c r="O1064" s="2">
        <f>L1064*500</f>
        <v>144.56521739130434</v>
      </c>
      <c r="P1064" s="2"/>
      <c r="Q1064" s="2"/>
      <c r="R1064" s="28">
        <v>16.666666666666668</v>
      </c>
    </row>
    <row r="1065" spans="1:18" hidden="1" x14ac:dyDescent="0.25">
      <c r="A1065" s="16">
        <v>45680</v>
      </c>
      <c r="B1065" s="10" t="s">
        <v>195</v>
      </c>
      <c r="C1065" s="2">
        <v>650</v>
      </c>
      <c r="D1065" s="19">
        <v>0.56999999999999995</v>
      </c>
      <c r="E1065" s="11">
        <v>0.112</v>
      </c>
      <c r="F1065" s="2">
        <f t="shared" si="166"/>
        <v>430</v>
      </c>
      <c r="G1065" s="2">
        <f t="shared" si="167"/>
        <v>0.65</v>
      </c>
      <c r="H1065" s="2">
        <f t="shared" si="168"/>
        <v>1.5116279069767442</v>
      </c>
      <c r="I1065" s="12">
        <v>0.02</v>
      </c>
      <c r="J1065" s="12">
        <v>7.0000000000000007E-2</v>
      </c>
      <c r="K1065" s="12">
        <f t="shared" si="169"/>
        <v>0.17938232558139536</v>
      </c>
      <c r="L1065" s="12">
        <f t="shared" si="170"/>
        <v>1.7810102325581396</v>
      </c>
      <c r="M1065" s="2">
        <f>L1065*250</f>
        <v>445.25255813953493</v>
      </c>
      <c r="N1065" s="2"/>
      <c r="O1065" s="2"/>
      <c r="P1065" s="2"/>
      <c r="Q1065" s="2"/>
      <c r="R1065" s="28">
        <v>16.666666666666668</v>
      </c>
    </row>
    <row r="1066" spans="1:18" hidden="1" x14ac:dyDescent="0.25">
      <c r="A1066" s="16">
        <v>45680</v>
      </c>
      <c r="B1066" s="2" t="s">
        <v>90</v>
      </c>
      <c r="C1066" s="2">
        <v>350</v>
      </c>
      <c r="D1066" s="19">
        <v>0.04</v>
      </c>
      <c r="E1066" s="11">
        <v>0.43</v>
      </c>
      <c r="F1066" s="2">
        <f t="shared" si="166"/>
        <v>960</v>
      </c>
      <c r="G1066" s="2">
        <f t="shared" si="167"/>
        <v>0.35</v>
      </c>
      <c r="H1066" s="2">
        <f t="shared" si="168"/>
        <v>0.36458333333333331</v>
      </c>
      <c r="I1066" s="12">
        <v>0.02</v>
      </c>
      <c r="J1066" s="12">
        <v>7.0000000000000007E-2</v>
      </c>
      <c r="K1066" s="12">
        <f t="shared" si="169"/>
        <v>0.19547083333333334</v>
      </c>
      <c r="L1066" s="12">
        <f t="shared" si="170"/>
        <v>0.65005416666666671</v>
      </c>
      <c r="M1066" s="2"/>
      <c r="N1066" s="2"/>
      <c r="O1066" s="2">
        <f t="shared" ref="O1066:O1071" si="171">L1066*500</f>
        <v>325.02708333333334</v>
      </c>
      <c r="P1066" s="2"/>
      <c r="Q1066" s="2"/>
      <c r="R1066" s="28">
        <v>16.666666666666668</v>
      </c>
    </row>
    <row r="1067" spans="1:18" hidden="1" x14ac:dyDescent="0.25">
      <c r="A1067" s="16">
        <v>45680</v>
      </c>
      <c r="B1067" s="2" t="s">
        <v>92</v>
      </c>
      <c r="C1067" s="2">
        <v>430</v>
      </c>
      <c r="D1067" s="19">
        <v>0.02</v>
      </c>
      <c r="E1067" s="11">
        <v>0.23</v>
      </c>
      <c r="F1067" s="2">
        <f t="shared" si="166"/>
        <v>980</v>
      </c>
      <c r="G1067" s="2">
        <f t="shared" si="167"/>
        <v>0.43</v>
      </c>
      <c r="H1067" s="2">
        <f t="shared" si="168"/>
        <v>0.43877551020408162</v>
      </c>
      <c r="I1067" s="12">
        <v>0.02</v>
      </c>
      <c r="J1067" s="12">
        <v>7.0000000000000007E-2</v>
      </c>
      <c r="K1067" s="12">
        <f t="shared" si="169"/>
        <v>0.12161836734693879</v>
      </c>
      <c r="L1067" s="12">
        <f t="shared" si="170"/>
        <v>0.65039387755102041</v>
      </c>
      <c r="M1067" s="2"/>
      <c r="N1067" s="2"/>
      <c r="O1067" s="2">
        <f t="shared" si="171"/>
        <v>325.1969387755102</v>
      </c>
      <c r="P1067" s="2"/>
      <c r="Q1067" s="2"/>
      <c r="R1067" s="28">
        <v>16.666666666666668</v>
      </c>
    </row>
    <row r="1068" spans="1:18" hidden="1" x14ac:dyDescent="0.25">
      <c r="A1068" s="16">
        <v>45680</v>
      </c>
      <c r="B1068" s="2" t="s">
        <v>39</v>
      </c>
      <c r="C1068" s="2">
        <v>430</v>
      </c>
      <c r="D1068" s="19">
        <v>0.02</v>
      </c>
      <c r="E1068" s="11">
        <v>0.115</v>
      </c>
      <c r="F1068" s="2">
        <f t="shared" si="166"/>
        <v>980</v>
      </c>
      <c r="G1068" s="2">
        <f t="shared" si="167"/>
        <v>0.43</v>
      </c>
      <c r="H1068" s="2">
        <f t="shared" si="168"/>
        <v>0.43877551020408162</v>
      </c>
      <c r="I1068" s="12">
        <v>0.02</v>
      </c>
      <c r="J1068" s="12">
        <v>7.0000000000000007E-2</v>
      </c>
      <c r="K1068" s="12">
        <f t="shared" si="169"/>
        <v>6.0809183673469394E-2</v>
      </c>
      <c r="L1068" s="12">
        <f t="shared" si="170"/>
        <v>0.58958469387755108</v>
      </c>
      <c r="M1068" s="2"/>
      <c r="N1068" s="2"/>
      <c r="O1068" s="2">
        <f t="shared" si="171"/>
        <v>294.79234693877555</v>
      </c>
      <c r="P1068" s="2"/>
      <c r="Q1068" s="2"/>
      <c r="R1068" s="28">
        <v>16.666666666666668</v>
      </c>
    </row>
    <row r="1069" spans="1:18" hidden="1" x14ac:dyDescent="0.25">
      <c r="A1069" s="16">
        <v>45680</v>
      </c>
      <c r="B1069" s="2" t="s">
        <v>94</v>
      </c>
      <c r="C1069" s="2">
        <v>280</v>
      </c>
      <c r="D1069" s="19">
        <v>0.51</v>
      </c>
      <c r="E1069" s="11">
        <v>-0.26</v>
      </c>
      <c r="F1069" s="2">
        <f t="shared" si="166"/>
        <v>490</v>
      </c>
      <c r="G1069" s="2">
        <f t="shared" si="167"/>
        <v>0.28000000000000003</v>
      </c>
      <c r="H1069" s="2">
        <f t="shared" si="168"/>
        <v>0.5714285714285714</v>
      </c>
      <c r="I1069" s="12">
        <v>0.02</v>
      </c>
      <c r="J1069" s="12">
        <v>7.0000000000000007E-2</v>
      </c>
      <c r="K1069" s="12">
        <f t="shared" si="169"/>
        <v>-0.17197142857142858</v>
      </c>
      <c r="L1069" s="12">
        <f t="shared" si="170"/>
        <v>0.48945714285714292</v>
      </c>
      <c r="M1069" s="2"/>
      <c r="N1069" s="2"/>
      <c r="O1069" s="2">
        <f t="shared" si="171"/>
        <v>244.72857142857146</v>
      </c>
      <c r="P1069" s="2"/>
      <c r="Q1069" s="2"/>
      <c r="R1069" s="28">
        <v>16.666666666666668</v>
      </c>
    </row>
    <row r="1070" spans="1:18" hidden="1" x14ac:dyDescent="0.25">
      <c r="A1070" s="16">
        <v>45681</v>
      </c>
      <c r="B1070" s="2" t="s">
        <v>94</v>
      </c>
      <c r="C1070" s="2">
        <v>320</v>
      </c>
      <c r="D1070" s="19">
        <v>0.11</v>
      </c>
      <c r="E1070" s="11">
        <v>0.09</v>
      </c>
      <c r="F1070" s="2">
        <f t="shared" si="166"/>
        <v>890</v>
      </c>
      <c r="G1070" s="2">
        <f t="shared" si="167"/>
        <v>0.32</v>
      </c>
      <c r="H1070" s="2">
        <f t="shared" si="168"/>
        <v>0.3595505617977528</v>
      </c>
      <c r="I1070" s="12">
        <v>0.02</v>
      </c>
      <c r="J1070" s="12">
        <v>7.0000000000000007E-2</v>
      </c>
      <c r="K1070" s="12">
        <f t="shared" si="169"/>
        <v>4.0459550561797751E-2</v>
      </c>
      <c r="L1070" s="12">
        <f t="shared" si="170"/>
        <v>0.49001011235955055</v>
      </c>
      <c r="M1070" s="2"/>
      <c r="N1070" s="2"/>
      <c r="O1070" s="2">
        <f t="shared" si="171"/>
        <v>245.00505617977527</v>
      </c>
      <c r="P1070" s="2"/>
      <c r="Q1070" s="2"/>
      <c r="R1070" s="28">
        <v>16.666666666666668</v>
      </c>
    </row>
    <row r="1071" spans="1:18" hidden="1" x14ac:dyDescent="0.25">
      <c r="A1071" s="16">
        <v>45681</v>
      </c>
      <c r="B1071" s="2" t="s">
        <v>154</v>
      </c>
      <c r="C1071" s="2">
        <v>320</v>
      </c>
      <c r="D1071" s="19">
        <v>0.11</v>
      </c>
      <c r="E1071" s="11">
        <v>0.09</v>
      </c>
      <c r="F1071" s="2">
        <f t="shared" si="166"/>
        <v>890</v>
      </c>
      <c r="G1071" s="2">
        <f t="shared" si="167"/>
        <v>0.32</v>
      </c>
      <c r="H1071" s="2">
        <f t="shared" si="168"/>
        <v>0.3595505617977528</v>
      </c>
      <c r="I1071" s="12">
        <v>0.02</v>
      </c>
      <c r="J1071" s="12">
        <v>7.0000000000000007E-2</v>
      </c>
      <c r="K1071" s="12">
        <f t="shared" si="169"/>
        <v>4.0459550561797751E-2</v>
      </c>
      <c r="L1071" s="12">
        <f t="shared" si="170"/>
        <v>0.49001011235955055</v>
      </c>
      <c r="M1071" s="2"/>
      <c r="N1071" s="2"/>
      <c r="O1071" s="2">
        <f t="shared" si="171"/>
        <v>245.00505617977527</v>
      </c>
      <c r="P1071" s="2"/>
      <c r="Q1071" s="2"/>
      <c r="R1071" s="28">
        <v>16.666666666666668</v>
      </c>
    </row>
    <row r="1072" spans="1:18" hidden="1" x14ac:dyDescent="0.25">
      <c r="A1072" s="16">
        <v>45681</v>
      </c>
      <c r="B1072" s="2" t="s">
        <v>120</v>
      </c>
      <c r="C1072" s="2">
        <v>270</v>
      </c>
      <c r="D1072" s="19">
        <v>0.44</v>
      </c>
      <c r="E1072" s="11">
        <v>0.71</v>
      </c>
      <c r="F1072" s="2">
        <f t="shared" si="166"/>
        <v>560</v>
      </c>
      <c r="G1072" s="2">
        <f t="shared" si="167"/>
        <v>0.27</v>
      </c>
      <c r="H1072" s="2">
        <f t="shared" si="168"/>
        <v>0.48214285714285715</v>
      </c>
      <c r="I1072" s="12">
        <v>0.02</v>
      </c>
      <c r="J1072" s="12">
        <v>7.0000000000000007E-2</v>
      </c>
      <c r="K1072" s="12">
        <f t="shared" si="169"/>
        <v>0.40622142857142851</v>
      </c>
      <c r="L1072" s="12">
        <f t="shared" si="170"/>
        <v>0.97836428571428558</v>
      </c>
      <c r="M1072" s="2">
        <f>L1072*250</f>
        <v>244.59107142857138</v>
      </c>
      <c r="N1072" s="2"/>
      <c r="O1072" s="2"/>
      <c r="P1072" s="2"/>
      <c r="Q1072" s="2"/>
      <c r="R1072" s="28">
        <v>16.666666666666668</v>
      </c>
    </row>
    <row r="1073" spans="1:18" hidden="1" x14ac:dyDescent="0.25">
      <c r="A1073" s="16">
        <v>45681</v>
      </c>
      <c r="B1073" s="2" t="s">
        <v>111</v>
      </c>
      <c r="C1073" s="2">
        <v>500</v>
      </c>
      <c r="D1073" s="19">
        <v>0.43</v>
      </c>
      <c r="E1073" s="11">
        <v>0.55000000000000004</v>
      </c>
      <c r="F1073" s="2">
        <f t="shared" si="166"/>
        <v>570</v>
      </c>
      <c r="G1073" s="2">
        <f t="shared" si="167"/>
        <v>0.5</v>
      </c>
      <c r="H1073" s="2">
        <f t="shared" si="168"/>
        <v>0.8771929824561403</v>
      </c>
      <c r="I1073" s="12">
        <v>0.02</v>
      </c>
      <c r="J1073" s="12">
        <v>7.0000000000000007E-2</v>
      </c>
      <c r="K1073" s="12">
        <f t="shared" si="169"/>
        <v>0.53195614035087724</v>
      </c>
      <c r="L1073" s="12">
        <f t="shared" si="170"/>
        <v>1.4991491228070175</v>
      </c>
      <c r="M1073" s="2">
        <f>L1073*250</f>
        <v>374.78728070175436</v>
      </c>
      <c r="N1073" s="2"/>
      <c r="O1073" s="2"/>
      <c r="P1073" s="2"/>
      <c r="Q1073" s="2"/>
      <c r="R1073" s="28">
        <v>16.666666666666668</v>
      </c>
    </row>
    <row r="1074" spans="1:18" hidden="1" x14ac:dyDescent="0.25">
      <c r="A1074" s="16">
        <v>45681</v>
      </c>
      <c r="B1074" s="2" t="s">
        <v>113</v>
      </c>
      <c r="C1074" s="2">
        <v>500</v>
      </c>
      <c r="D1074" s="19">
        <v>0.43</v>
      </c>
      <c r="E1074" s="11">
        <v>0.76</v>
      </c>
      <c r="F1074" s="2">
        <f t="shared" si="166"/>
        <v>570</v>
      </c>
      <c r="G1074" s="2">
        <f t="shared" si="167"/>
        <v>0.5</v>
      </c>
      <c r="H1074" s="2">
        <f t="shared" si="168"/>
        <v>0.8771929824561403</v>
      </c>
      <c r="I1074" s="12">
        <v>0.02</v>
      </c>
      <c r="J1074" s="12">
        <v>7.0000000000000007E-2</v>
      </c>
      <c r="K1074" s="12">
        <f t="shared" si="169"/>
        <v>0.73506666666666665</v>
      </c>
      <c r="L1074" s="12">
        <f t="shared" si="170"/>
        <v>1.7022596491228068</v>
      </c>
      <c r="M1074" s="2">
        <f>L1074*250</f>
        <v>425.56491228070172</v>
      </c>
      <c r="N1074" s="2"/>
      <c r="O1074" s="2"/>
      <c r="P1074" s="2"/>
      <c r="Q1074" s="2"/>
      <c r="R1074" s="28">
        <v>16.666666666666668</v>
      </c>
    </row>
    <row r="1075" spans="1:18" hidden="1" x14ac:dyDescent="0.25">
      <c r="A1075" s="16">
        <v>45681</v>
      </c>
      <c r="B1075" s="2" t="s">
        <v>90</v>
      </c>
      <c r="C1075" s="2">
        <v>380</v>
      </c>
      <c r="D1075" s="19">
        <v>0.25</v>
      </c>
      <c r="E1075" s="11">
        <v>0.157</v>
      </c>
      <c r="F1075" s="2">
        <f t="shared" si="166"/>
        <v>750</v>
      </c>
      <c r="G1075" s="2">
        <f t="shared" si="167"/>
        <v>0.38</v>
      </c>
      <c r="H1075" s="2">
        <f t="shared" si="168"/>
        <v>0.50666666666666671</v>
      </c>
      <c r="I1075" s="12">
        <v>0.02</v>
      </c>
      <c r="J1075" s="12">
        <v>7.0000000000000007E-2</v>
      </c>
      <c r="K1075" s="12">
        <f t="shared" si="169"/>
        <v>9.3676666666666672E-2</v>
      </c>
      <c r="L1075" s="12">
        <f t="shared" si="170"/>
        <v>0.69034333333333331</v>
      </c>
      <c r="M1075" s="2"/>
      <c r="N1075" s="2"/>
      <c r="O1075" s="2">
        <f>L1075*500</f>
        <v>345.17166666666668</v>
      </c>
      <c r="P1075" s="2"/>
      <c r="Q1075" s="2"/>
      <c r="R1075" s="28">
        <v>16.666666666666668</v>
      </c>
    </row>
    <row r="1076" spans="1:18" x14ac:dyDescent="0.25">
      <c r="A1076" s="16">
        <v>45682</v>
      </c>
      <c r="B1076" s="2" t="s">
        <v>151</v>
      </c>
      <c r="C1076" s="2">
        <v>1000</v>
      </c>
      <c r="D1076" s="19">
        <v>7.0000000000000007E-2</v>
      </c>
      <c r="E1076" s="11">
        <v>0</v>
      </c>
      <c r="F1076" s="2">
        <f t="shared" si="166"/>
        <v>930</v>
      </c>
      <c r="G1076" s="2">
        <f t="shared" si="167"/>
        <v>1</v>
      </c>
      <c r="H1076" s="2">
        <f t="shared" si="168"/>
        <v>1.075268817204301</v>
      </c>
      <c r="I1076" s="12">
        <v>0.02</v>
      </c>
      <c r="J1076" s="12">
        <v>7.0000000000000007E-2</v>
      </c>
      <c r="K1076" s="12">
        <f t="shared" si="169"/>
        <v>0</v>
      </c>
      <c r="L1076" s="12">
        <f t="shared" si="170"/>
        <v>1.1652688172043011</v>
      </c>
      <c r="M1076" s="2">
        <f>L1076*250</f>
        <v>291.31720430107526</v>
      </c>
      <c r="N1076" s="2"/>
      <c r="O1076" s="2">
        <f>L1076*500</f>
        <v>582.63440860215053</v>
      </c>
      <c r="P1076" s="2"/>
      <c r="Q1076" s="2">
        <f t="shared" ref="Q1076:Q1082" si="172">L1076*1000</f>
        <v>1165.2688172043011</v>
      </c>
      <c r="R1076" s="28">
        <v>16.666666666666668</v>
      </c>
    </row>
    <row r="1077" spans="1:18" hidden="1" x14ac:dyDescent="0.25">
      <c r="A1077" s="16">
        <v>45682</v>
      </c>
      <c r="B1077" s="2" t="s">
        <v>104</v>
      </c>
      <c r="C1077" s="2">
        <v>140</v>
      </c>
      <c r="D1077" s="19">
        <v>0.69</v>
      </c>
      <c r="E1077" s="11">
        <v>0.28599999999999998</v>
      </c>
      <c r="F1077" s="2">
        <f t="shared" si="166"/>
        <v>310</v>
      </c>
      <c r="G1077" s="2">
        <f t="shared" si="167"/>
        <v>0.14000000000000001</v>
      </c>
      <c r="H1077" s="2">
        <f t="shared" si="168"/>
        <v>0.45161290322580644</v>
      </c>
      <c r="I1077" s="12">
        <v>0.02</v>
      </c>
      <c r="J1077" s="12">
        <v>7.0000000000000007E-2</v>
      </c>
      <c r="K1077" s="12">
        <f t="shared" si="169"/>
        <v>0.15490129032258063</v>
      </c>
      <c r="L1077" s="12">
        <f t="shared" si="170"/>
        <v>0.69651419354838706</v>
      </c>
      <c r="M1077" s="2">
        <f>L1077*250</f>
        <v>174.12854838709677</v>
      </c>
      <c r="N1077" s="2"/>
      <c r="O1077" s="2">
        <f>L1077*500</f>
        <v>348.25709677419354</v>
      </c>
      <c r="P1077" s="2"/>
      <c r="Q1077" s="2">
        <f t="shared" si="172"/>
        <v>696.51419354838708</v>
      </c>
      <c r="R1077" s="28">
        <v>16.666666666666668</v>
      </c>
    </row>
    <row r="1078" spans="1:18" hidden="1" x14ac:dyDescent="0.25">
      <c r="A1078" s="16">
        <v>45682</v>
      </c>
      <c r="B1078" s="2" t="s">
        <v>199</v>
      </c>
      <c r="C1078" s="2">
        <v>140</v>
      </c>
      <c r="D1078" s="19">
        <v>0.69</v>
      </c>
      <c r="E1078" s="11">
        <v>0.2</v>
      </c>
      <c r="F1078" s="2">
        <f t="shared" si="166"/>
        <v>310</v>
      </c>
      <c r="G1078" s="2">
        <f t="shared" si="167"/>
        <v>0.14000000000000001</v>
      </c>
      <c r="H1078" s="2">
        <f t="shared" si="168"/>
        <v>0.45161290322580644</v>
      </c>
      <c r="I1078" s="12">
        <v>0.02</v>
      </c>
      <c r="J1078" s="12">
        <v>7.0000000000000007E-2</v>
      </c>
      <c r="K1078" s="12">
        <f t="shared" si="169"/>
        <v>0.1083225806451613</v>
      </c>
      <c r="L1078" s="12">
        <f t="shared" si="170"/>
        <v>0.64993548387096778</v>
      </c>
      <c r="M1078" s="2"/>
      <c r="N1078" s="2"/>
      <c r="O1078" s="2">
        <f>L1078*500</f>
        <v>324.9677419354839</v>
      </c>
      <c r="P1078" s="2"/>
      <c r="Q1078" s="2">
        <f t="shared" si="172"/>
        <v>649.9354838709678</v>
      </c>
      <c r="R1078" s="28">
        <v>16.666666666666668</v>
      </c>
    </row>
    <row r="1079" spans="1:18" hidden="1" x14ac:dyDescent="0.25">
      <c r="A1079" s="16">
        <v>45682</v>
      </c>
      <c r="B1079" s="2" t="s">
        <v>142</v>
      </c>
      <c r="C1079" s="2">
        <v>370</v>
      </c>
      <c r="D1079" s="19">
        <v>0.52</v>
      </c>
      <c r="E1079" s="11">
        <v>0.28000000000000003</v>
      </c>
      <c r="F1079" s="2">
        <f t="shared" si="166"/>
        <v>480</v>
      </c>
      <c r="G1079" s="2">
        <f t="shared" si="167"/>
        <v>0.37</v>
      </c>
      <c r="H1079" s="2">
        <f t="shared" si="168"/>
        <v>0.77083333333333337</v>
      </c>
      <c r="I1079" s="12">
        <v>0.02</v>
      </c>
      <c r="J1079" s="12">
        <v>7.0000000000000007E-2</v>
      </c>
      <c r="K1079" s="12">
        <f t="shared" si="169"/>
        <v>0.24103333333333335</v>
      </c>
      <c r="L1079" s="12">
        <f t="shared" si="170"/>
        <v>1.1018666666666668</v>
      </c>
      <c r="M1079" s="2">
        <f>L1079*250</f>
        <v>275.4666666666667</v>
      </c>
      <c r="N1079" s="2"/>
      <c r="O1079" s="2"/>
      <c r="P1079" s="2"/>
      <c r="Q1079" s="2">
        <f t="shared" si="172"/>
        <v>1101.8666666666668</v>
      </c>
      <c r="R1079" s="28">
        <v>16.666666666666668</v>
      </c>
    </row>
    <row r="1080" spans="1:18" hidden="1" x14ac:dyDescent="0.25">
      <c r="A1080" s="16">
        <v>45682</v>
      </c>
      <c r="B1080" s="2" t="s">
        <v>118</v>
      </c>
      <c r="C1080" s="2">
        <v>260</v>
      </c>
      <c r="D1080" s="19">
        <v>0.36</v>
      </c>
      <c r="E1080" s="11">
        <v>0.41499999999999998</v>
      </c>
      <c r="F1080" s="2">
        <f t="shared" si="166"/>
        <v>640</v>
      </c>
      <c r="G1080" s="2">
        <f t="shared" si="167"/>
        <v>0.26</v>
      </c>
      <c r="H1080" s="2">
        <f t="shared" si="168"/>
        <v>0.40625</v>
      </c>
      <c r="I1080" s="12">
        <v>0.02</v>
      </c>
      <c r="J1080" s="12">
        <v>7.0000000000000007E-2</v>
      </c>
      <c r="K1080" s="12">
        <f t="shared" si="169"/>
        <v>0.20594375000000001</v>
      </c>
      <c r="L1080" s="12">
        <f t="shared" si="170"/>
        <v>0.70219375000000006</v>
      </c>
      <c r="M1080" s="2">
        <f>L1080*250</f>
        <v>175.54843750000001</v>
      </c>
      <c r="N1080" s="2"/>
      <c r="O1080" s="2"/>
      <c r="P1080" s="2"/>
      <c r="Q1080" s="2">
        <f t="shared" si="172"/>
        <v>702.19375000000002</v>
      </c>
      <c r="R1080" s="28">
        <v>16.666666666666668</v>
      </c>
    </row>
    <row r="1081" spans="1:18" hidden="1" x14ac:dyDescent="0.25">
      <c r="A1081" s="16">
        <v>45682</v>
      </c>
      <c r="B1081" s="2" t="s">
        <v>128</v>
      </c>
      <c r="C1081" s="2">
        <v>330</v>
      </c>
      <c r="D1081" s="19">
        <v>0</v>
      </c>
      <c r="E1081" s="11">
        <v>0.31</v>
      </c>
      <c r="F1081" s="2">
        <f t="shared" si="166"/>
        <v>1000</v>
      </c>
      <c r="G1081" s="2">
        <f t="shared" si="167"/>
        <v>0.33</v>
      </c>
      <c r="H1081" s="2">
        <f t="shared" si="168"/>
        <v>0.33</v>
      </c>
      <c r="I1081" s="12">
        <v>0.02</v>
      </c>
      <c r="J1081" s="12">
        <v>7.0000000000000007E-2</v>
      </c>
      <c r="K1081" s="12">
        <f t="shared" si="169"/>
        <v>0.13020000000000001</v>
      </c>
      <c r="L1081" s="12">
        <f t="shared" si="170"/>
        <v>0.55020000000000002</v>
      </c>
      <c r="M1081" s="2"/>
      <c r="N1081" s="2"/>
      <c r="O1081" s="2">
        <f>L1081*500</f>
        <v>275.10000000000002</v>
      </c>
      <c r="P1081" s="2"/>
      <c r="Q1081" s="2">
        <f t="shared" si="172"/>
        <v>550.20000000000005</v>
      </c>
      <c r="R1081" s="28">
        <v>16.666666666666668</v>
      </c>
    </row>
    <row r="1082" spans="1:18" hidden="1" x14ac:dyDescent="0.25">
      <c r="A1082" s="16">
        <v>45682</v>
      </c>
      <c r="B1082" s="2" t="s">
        <v>110</v>
      </c>
      <c r="C1082" s="2">
        <v>120</v>
      </c>
      <c r="D1082" s="19">
        <v>0</v>
      </c>
      <c r="E1082" s="11">
        <v>0.39</v>
      </c>
      <c r="F1082" s="2">
        <f t="shared" si="166"/>
        <v>1000</v>
      </c>
      <c r="G1082" s="2">
        <f t="shared" si="167"/>
        <v>0.12</v>
      </c>
      <c r="H1082" s="2">
        <f t="shared" si="168"/>
        <v>0.12</v>
      </c>
      <c r="I1082" s="12">
        <v>0.02</v>
      </c>
      <c r="J1082" s="12">
        <v>7.0000000000000007E-2</v>
      </c>
      <c r="K1082" s="12">
        <f t="shared" si="169"/>
        <v>8.1900000000000001E-2</v>
      </c>
      <c r="L1082" s="12">
        <f t="shared" si="170"/>
        <v>0.29189999999999999</v>
      </c>
      <c r="M1082" s="2"/>
      <c r="N1082" s="2"/>
      <c r="O1082" s="2">
        <f>L1082*500</f>
        <v>145.94999999999999</v>
      </c>
      <c r="P1082" s="2"/>
      <c r="Q1082" s="2">
        <f t="shared" si="172"/>
        <v>291.89999999999998</v>
      </c>
      <c r="R1082" s="28">
        <v>16.666666666666668</v>
      </c>
    </row>
    <row r="1083" spans="1:18" hidden="1" x14ac:dyDescent="0.25">
      <c r="A1083" s="16">
        <v>45682</v>
      </c>
      <c r="B1083" s="2" t="s">
        <v>112</v>
      </c>
      <c r="C1083" s="2">
        <v>700</v>
      </c>
      <c r="D1083" s="19">
        <v>0.31</v>
      </c>
      <c r="E1083" s="11">
        <v>0.35</v>
      </c>
      <c r="F1083" s="2">
        <f t="shared" si="166"/>
        <v>690</v>
      </c>
      <c r="G1083" s="2">
        <f t="shared" si="167"/>
        <v>0.7</v>
      </c>
      <c r="H1083" s="2">
        <f t="shared" si="168"/>
        <v>1.0144927536231885</v>
      </c>
      <c r="I1083" s="12">
        <v>0.02</v>
      </c>
      <c r="J1083" s="12">
        <v>7.0000000000000007E-2</v>
      </c>
      <c r="K1083" s="12">
        <f t="shared" si="169"/>
        <v>0.38657246376811599</v>
      </c>
      <c r="L1083" s="12">
        <f t="shared" si="170"/>
        <v>1.4910652173913046</v>
      </c>
      <c r="M1083" s="2"/>
      <c r="N1083" s="2"/>
      <c r="O1083" s="2">
        <f>L1083*500</f>
        <v>745.53260869565224</v>
      </c>
      <c r="P1083" s="2"/>
      <c r="Q1083" s="2"/>
      <c r="R1083" s="28">
        <v>16.666666666666668</v>
      </c>
    </row>
    <row r="1084" spans="1:18" hidden="1" x14ac:dyDescent="0.25">
      <c r="A1084" s="16">
        <v>45682</v>
      </c>
      <c r="B1084" s="2" t="s">
        <v>111</v>
      </c>
      <c r="C1084" s="2">
        <v>700</v>
      </c>
      <c r="D1084" s="19">
        <v>0.31</v>
      </c>
      <c r="E1084" s="11">
        <v>0.36</v>
      </c>
      <c r="F1084" s="2">
        <f t="shared" si="166"/>
        <v>690</v>
      </c>
      <c r="G1084" s="2">
        <f t="shared" si="167"/>
        <v>0.7</v>
      </c>
      <c r="H1084" s="2">
        <f t="shared" si="168"/>
        <v>1.0144927536231885</v>
      </c>
      <c r="I1084" s="12">
        <v>0.02</v>
      </c>
      <c r="J1084" s="12">
        <v>7.0000000000000007E-2</v>
      </c>
      <c r="K1084" s="12">
        <f t="shared" si="169"/>
        <v>0.39761739130434787</v>
      </c>
      <c r="L1084" s="12">
        <f t="shared" si="170"/>
        <v>1.5021101449275365</v>
      </c>
      <c r="M1084" s="2">
        <f>L1084*250</f>
        <v>375.52753623188414</v>
      </c>
      <c r="N1084" s="2"/>
      <c r="O1084" s="2"/>
      <c r="P1084" s="2"/>
      <c r="Q1084" s="2"/>
      <c r="R1084" s="28">
        <v>16.666666666666668</v>
      </c>
    </row>
    <row r="1085" spans="1:18" hidden="1" x14ac:dyDescent="0.25">
      <c r="A1085" s="16">
        <v>45682</v>
      </c>
      <c r="B1085" s="2" t="s">
        <v>113</v>
      </c>
      <c r="C1085" s="2">
        <v>700</v>
      </c>
      <c r="D1085" s="19">
        <v>0.31</v>
      </c>
      <c r="E1085" s="11">
        <v>0.54</v>
      </c>
      <c r="F1085" s="2">
        <f t="shared" si="166"/>
        <v>690</v>
      </c>
      <c r="G1085" s="2">
        <f t="shared" si="167"/>
        <v>0.7</v>
      </c>
      <c r="H1085" s="2">
        <f t="shared" si="168"/>
        <v>1.0144927536231885</v>
      </c>
      <c r="I1085" s="12">
        <v>0.02</v>
      </c>
      <c r="J1085" s="12">
        <v>7.0000000000000007E-2</v>
      </c>
      <c r="K1085" s="12">
        <f t="shared" si="169"/>
        <v>0.59642608695652188</v>
      </c>
      <c r="L1085" s="12">
        <f t="shared" si="170"/>
        <v>1.7009188405797104</v>
      </c>
      <c r="M1085" s="2">
        <f>L1085*250</f>
        <v>425.22971014492759</v>
      </c>
      <c r="N1085" s="2"/>
      <c r="O1085" s="2"/>
      <c r="P1085" s="2"/>
      <c r="Q1085" s="2"/>
      <c r="R1085" s="28">
        <v>16.666666666666668</v>
      </c>
    </row>
    <row r="1086" spans="1:18" hidden="1" x14ac:dyDescent="0.25">
      <c r="A1086" s="16">
        <v>45682</v>
      </c>
      <c r="B1086" s="2" t="s">
        <v>94</v>
      </c>
      <c r="C1086" s="2">
        <v>330</v>
      </c>
      <c r="D1086" s="19">
        <v>0.1</v>
      </c>
      <c r="E1086" s="11">
        <v>7.4999999999999997E-2</v>
      </c>
      <c r="F1086" s="2">
        <f t="shared" si="166"/>
        <v>900</v>
      </c>
      <c r="G1086" s="2">
        <f t="shared" si="167"/>
        <v>0.33</v>
      </c>
      <c r="H1086" s="2">
        <f t="shared" si="168"/>
        <v>0.36666666666666664</v>
      </c>
      <c r="I1086" s="12">
        <v>0.02</v>
      </c>
      <c r="J1086" s="12">
        <v>7.0000000000000007E-2</v>
      </c>
      <c r="K1086" s="12">
        <f t="shared" si="169"/>
        <v>3.4249999999999996E-2</v>
      </c>
      <c r="L1086" s="12">
        <f t="shared" si="170"/>
        <v>0.49091666666666667</v>
      </c>
      <c r="M1086" s="2"/>
      <c r="N1086" s="2"/>
      <c r="O1086" s="2">
        <f>L1086*500</f>
        <v>245.45833333333334</v>
      </c>
      <c r="P1086" s="2"/>
      <c r="Q1086" s="2"/>
      <c r="R1086" s="28">
        <v>16.666666666666668</v>
      </c>
    </row>
    <row r="1087" spans="1:18" hidden="1" x14ac:dyDescent="0.25">
      <c r="A1087" s="16">
        <v>45682</v>
      </c>
      <c r="B1087" s="2" t="s">
        <v>154</v>
      </c>
      <c r="C1087" s="2">
        <v>330</v>
      </c>
      <c r="D1087" s="19">
        <v>0.1</v>
      </c>
      <c r="E1087" s="11">
        <v>7.4999999999999997E-2</v>
      </c>
      <c r="F1087" s="2">
        <f t="shared" si="166"/>
        <v>900</v>
      </c>
      <c r="G1087" s="2">
        <f t="shared" si="167"/>
        <v>0.33</v>
      </c>
      <c r="H1087" s="2">
        <f t="shared" si="168"/>
        <v>0.36666666666666664</v>
      </c>
      <c r="I1087" s="12">
        <v>0.02</v>
      </c>
      <c r="J1087" s="12">
        <v>7.0000000000000007E-2</v>
      </c>
      <c r="K1087" s="12">
        <f t="shared" si="169"/>
        <v>3.4249999999999996E-2</v>
      </c>
      <c r="L1087" s="12">
        <f t="shared" si="170"/>
        <v>0.49091666666666667</v>
      </c>
      <c r="M1087" s="2"/>
      <c r="N1087" s="2"/>
      <c r="O1087" s="2">
        <f>L1087*500</f>
        <v>245.45833333333334</v>
      </c>
      <c r="P1087" s="2"/>
      <c r="Q1087" s="2"/>
      <c r="R1087" s="28">
        <v>16.666666666666668</v>
      </c>
    </row>
    <row r="1088" spans="1:18" hidden="1" x14ac:dyDescent="0.25">
      <c r="A1088" s="16">
        <v>45682</v>
      </c>
      <c r="B1088" s="2" t="s">
        <v>92</v>
      </c>
      <c r="C1088" s="2">
        <v>430</v>
      </c>
      <c r="D1088" s="19">
        <v>4.2500000000000003E-2</v>
      </c>
      <c r="E1088" s="11">
        <v>0.20799999999999999</v>
      </c>
      <c r="F1088" s="2">
        <f t="shared" si="166"/>
        <v>957.5</v>
      </c>
      <c r="G1088" s="2">
        <f t="shared" si="167"/>
        <v>0.43</v>
      </c>
      <c r="H1088" s="2">
        <f t="shared" si="168"/>
        <v>0.44908616187989558</v>
      </c>
      <c r="I1088" s="12">
        <v>0.02</v>
      </c>
      <c r="J1088" s="12">
        <v>7.0000000000000007E-2</v>
      </c>
      <c r="K1088" s="12">
        <f t="shared" si="169"/>
        <v>0.11212992167101829</v>
      </c>
      <c r="L1088" s="12">
        <f t="shared" si="170"/>
        <v>0.65121608355091398</v>
      </c>
      <c r="M1088" s="2"/>
      <c r="N1088" s="2"/>
      <c r="O1088" s="2">
        <f>L1088*500</f>
        <v>325.60804177545697</v>
      </c>
      <c r="P1088" s="2"/>
      <c r="Q1088" s="2"/>
      <c r="R1088" s="28">
        <v>16.666666666666668</v>
      </c>
    </row>
    <row r="1089" spans="1:18" hidden="1" x14ac:dyDescent="0.25">
      <c r="A1089" s="16">
        <v>45682</v>
      </c>
      <c r="B1089" s="2" t="s">
        <v>39</v>
      </c>
      <c r="C1089" s="2">
        <v>430</v>
      </c>
      <c r="D1089" s="19">
        <v>4.2500000000000003E-2</v>
      </c>
      <c r="E1089" s="11">
        <v>9.5000000000000001E-2</v>
      </c>
      <c r="F1089" s="2">
        <f t="shared" ref="F1089" si="173">1000-1000*D1089</f>
        <v>957.5</v>
      </c>
      <c r="G1089" s="2">
        <f t="shared" ref="G1089" si="174">C1089/1000</f>
        <v>0.43</v>
      </c>
      <c r="H1089" s="2">
        <f t="shared" ref="H1089" si="175">C1089/F1089</f>
        <v>0.44908616187989558</v>
      </c>
      <c r="I1089" s="12">
        <v>0.02</v>
      </c>
      <c r="J1089" s="12">
        <v>7.0000000000000007E-2</v>
      </c>
      <c r="K1089" s="12">
        <f t="shared" ref="K1089" si="176">SUM(H1089:J1089)*E1089</f>
        <v>5.1213185378590091E-2</v>
      </c>
      <c r="L1089" s="12">
        <f t="shared" ref="L1089" si="177">SUM(H1089:K1089)</f>
        <v>0.59029934725848576</v>
      </c>
      <c r="M1089" s="2"/>
      <c r="N1089" s="2"/>
      <c r="O1089" s="2">
        <f>L1089*500</f>
        <v>295.1496736292429</v>
      </c>
      <c r="P1089" s="2"/>
      <c r="Q1089" s="2"/>
      <c r="R1089" s="28">
        <v>16.666666666666668</v>
      </c>
    </row>
    <row r="1090" spans="1:18" hidden="1" x14ac:dyDescent="0.25">
      <c r="A1090" s="16">
        <v>45682</v>
      </c>
      <c r="B1090" s="2" t="s">
        <v>90</v>
      </c>
      <c r="C1090" s="2">
        <v>450</v>
      </c>
      <c r="D1090" s="19">
        <v>0.16</v>
      </c>
      <c r="E1090" s="11">
        <v>0.43</v>
      </c>
      <c r="F1090" s="2">
        <f t="shared" si="166"/>
        <v>840</v>
      </c>
      <c r="G1090" s="2">
        <f t="shared" si="167"/>
        <v>0.45</v>
      </c>
      <c r="H1090" s="2">
        <f t="shared" si="168"/>
        <v>0.5357142857142857</v>
      </c>
      <c r="I1090" s="12">
        <v>0.02</v>
      </c>
      <c r="J1090" s="12">
        <v>7.0000000000000007E-2</v>
      </c>
      <c r="K1090" s="12">
        <f t="shared" si="169"/>
        <v>0.26905714285714283</v>
      </c>
      <c r="L1090" s="12">
        <f t="shared" si="170"/>
        <v>0.89477142857142855</v>
      </c>
      <c r="M1090" s="2"/>
      <c r="N1090" s="2"/>
      <c r="O1090" s="2">
        <f>L1090*500</f>
        <v>447.3857142857143</v>
      </c>
      <c r="P1090" s="2"/>
      <c r="Q1090" s="2"/>
      <c r="R1090" s="28">
        <v>16.666666666666668</v>
      </c>
    </row>
    <row r="1091" spans="1:18" hidden="1" x14ac:dyDescent="0.25">
      <c r="A1091" s="16">
        <v>45683</v>
      </c>
      <c r="B1091" s="2" t="s">
        <v>120</v>
      </c>
      <c r="C1091" s="2">
        <v>350</v>
      </c>
      <c r="D1091" s="19">
        <v>0.49</v>
      </c>
      <c r="E1091" s="11">
        <v>0.42</v>
      </c>
      <c r="F1091" s="2">
        <f t="shared" si="166"/>
        <v>510</v>
      </c>
      <c r="G1091" s="2">
        <f t="shared" si="167"/>
        <v>0.35</v>
      </c>
      <c r="H1091" s="2">
        <f t="shared" si="168"/>
        <v>0.68627450980392157</v>
      </c>
      <c r="I1091" s="12">
        <v>0.02</v>
      </c>
      <c r="J1091" s="12">
        <v>7.0000000000000007E-2</v>
      </c>
      <c r="K1091" s="12">
        <f t="shared" si="169"/>
        <v>0.32603529411764709</v>
      </c>
      <c r="L1091" s="12">
        <f t="shared" si="170"/>
        <v>1.1023098039215689</v>
      </c>
      <c r="M1091" s="2">
        <f>L1091*250</f>
        <v>275.5774509803922</v>
      </c>
      <c r="N1091" s="2"/>
      <c r="O1091" s="2"/>
      <c r="P1091" s="2"/>
      <c r="Q1091" s="2"/>
      <c r="R1091" s="28">
        <v>16.666666666666668</v>
      </c>
    </row>
    <row r="1092" spans="1:18" hidden="1" x14ac:dyDescent="0.25">
      <c r="A1092" s="16">
        <v>45683</v>
      </c>
      <c r="B1092" s="2" t="s">
        <v>204</v>
      </c>
      <c r="C1092" s="2">
        <v>750</v>
      </c>
      <c r="D1092" s="19">
        <v>0.38</v>
      </c>
      <c r="E1092" s="11">
        <v>0.224</v>
      </c>
      <c r="F1092" s="2">
        <f t="shared" si="166"/>
        <v>620</v>
      </c>
      <c r="G1092" s="2">
        <f t="shared" si="167"/>
        <v>0.75</v>
      </c>
      <c r="H1092" s="2">
        <f t="shared" si="168"/>
        <v>1.2096774193548387</v>
      </c>
      <c r="I1092" s="12">
        <v>0.02</v>
      </c>
      <c r="J1092" s="12">
        <v>7.0000000000000007E-2</v>
      </c>
      <c r="K1092" s="12">
        <f t="shared" si="169"/>
        <v>0.29112774193548391</v>
      </c>
      <c r="L1092" s="12">
        <f t="shared" si="170"/>
        <v>1.5908051612903227</v>
      </c>
      <c r="M1092" s="2" t="s">
        <v>72</v>
      </c>
      <c r="N1092" s="2"/>
      <c r="O1092" s="2">
        <f>L1092*500</f>
        <v>795.40258064516138</v>
      </c>
      <c r="P1092" s="2"/>
      <c r="Q1092" s="2">
        <f>L1092*1000</f>
        <v>1590.8051612903228</v>
      </c>
      <c r="R1092" s="28">
        <f>K1092/L1092%</f>
        <v>18.300653594771241</v>
      </c>
    </row>
    <row r="1093" spans="1:18" hidden="1" x14ac:dyDescent="0.25">
      <c r="A1093" s="16">
        <v>45683</v>
      </c>
      <c r="B1093" s="2" t="s">
        <v>205</v>
      </c>
      <c r="C1093" s="2">
        <v>750</v>
      </c>
      <c r="D1093" s="19">
        <v>0.38</v>
      </c>
      <c r="E1093" s="11">
        <v>0.216</v>
      </c>
      <c r="F1093" s="2">
        <f t="shared" si="166"/>
        <v>620</v>
      </c>
      <c r="G1093" s="2">
        <f t="shared" si="167"/>
        <v>0.75</v>
      </c>
      <c r="H1093" s="2">
        <f t="shared" si="168"/>
        <v>1.2096774193548387</v>
      </c>
      <c r="I1093" s="12">
        <v>0.02</v>
      </c>
      <c r="J1093" s="12">
        <v>7.0000000000000007E-2</v>
      </c>
      <c r="K1093" s="12">
        <f t="shared" si="169"/>
        <v>0.28073032258064518</v>
      </c>
      <c r="L1093" s="12">
        <f t="shared" si="170"/>
        <v>1.5804077419354841</v>
      </c>
      <c r="M1093" s="2">
        <f>L1093*250</f>
        <v>395.10193548387099</v>
      </c>
      <c r="N1093" s="2"/>
      <c r="O1093" s="2"/>
      <c r="P1093" s="2"/>
      <c r="Q1093" s="2">
        <f>L1093*1000</f>
        <v>1580.407741935484</v>
      </c>
      <c r="R1093" s="28">
        <f>K1093/L1093%</f>
        <v>17.763157894736839</v>
      </c>
    </row>
    <row r="1094" spans="1:18" hidden="1" x14ac:dyDescent="0.25">
      <c r="A1094" s="16">
        <v>45683</v>
      </c>
      <c r="B1094" s="2" t="s">
        <v>111</v>
      </c>
      <c r="C1094" s="2">
        <v>530</v>
      </c>
      <c r="D1094" s="19">
        <v>0.44</v>
      </c>
      <c r="E1094" s="11">
        <v>0.44700000000000001</v>
      </c>
      <c r="F1094" s="2">
        <f t="shared" si="166"/>
        <v>560</v>
      </c>
      <c r="G1094" s="2">
        <f t="shared" si="167"/>
        <v>0.53</v>
      </c>
      <c r="H1094" s="2">
        <f t="shared" si="168"/>
        <v>0.9464285714285714</v>
      </c>
      <c r="I1094" s="12">
        <v>0.02</v>
      </c>
      <c r="J1094" s="12">
        <v>7.0000000000000007E-2</v>
      </c>
      <c r="K1094" s="12">
        <f t="shared" si="169"/>
        <v>0.46328357142857146</v>
      </c>
      <c r="L1094" s="12">
        <f t="shared" si="170"/>
        <v>1.4997121428571429</v>
      </c>
      <c r="M1094" s="2">
        <f>L1094*250</f>
        <v>374.92803571428573</v>
      </c>
      <c r="N1094" s="2"/>
      <c r="O1094" s="2"/>
      <c r="P1094" s="2"/>
      <c r="Q1094" s="2"/>
      <c r="R1094" s="28">
        <v>16.666666666666668</v>
      </c>
    </row>
    <row r="1095" spans="1:18" hidden="1" x14ac:dyDescent="0.25">
      <c r="A1095" s="16">
        <v>45683</v>
      </c>
      <c r="B1095" s="2" t="s">
        <v>152</v>
      </c>
      <c r="C1095" s="2">
        <v>220</v>
      </c>
      <c r="D1095" s="19">
        <v>0</v>
      </c>
      <c r="E1095" s="11">
        <v>0.41</v>
      </c>
      <c r="F1095" s="2">
        <f t="shared" si="166"/>
        <v>1000</v>
      </c>
      <c r="G1095" s="2">
        <f t="shared" si="167"/>
        <v>0.22</v>
      </c>
      <c r="H1095" s="2">
        <f t="shared" si="168"/>
        <v>0.22</v>
      </c>
      <c r="I1095" s="12">
        <v>0.02</v>
      </c>
      <c r="J1095" s="12">
        <v>7.0000000000000007E-2</v>
      </c>
      <c r="K1095" s="12">
        <f t="shared" si="169"/>
        <v>0.12709999999999999</v>
      </c>
      <c r="L1095" s="12">
        <f t="shared" si="170"/>
        <v>0.43709999999999999</v>
      </c>
      <c r="M1095" s="2"/>
      <c r="N1095" s="2"/>
      <c r="O1095" s="2">
        <f>L1095*400</f>
        <v>174.84</v>
      </c>
      <c r="P1095" s="2"/>
      <c r="Q1095" s="2"/>
      <c r="R1095" s="28">
        <v>16.666666666666668</v>
      </c>
    </row>
    <row r="1096" spans="1:18" hidden="1" x14ac:dyDescent="0.25">
      <c r="A1096" s="16">
        <v>45683</v>
      </c>
      <c r="B1096" s="2" t="s">
        <v>137</v>
      </c>
      <c r="C1096" s="2">
        <v>220</v>
      </c>
      <c r="D1096" s="19">
        <v>0</v>
      </c>
      <c r="E1096" s="11">
        <v>0.13</v>
      </c>
      <c r="F1096" s="2">
        <f t="shared" ref="F1096:F1107" si="178">1000-1000*D1096</f>
        <v>1000</v>
      </c>
      <c r="G1096" s="2">
        <f t="shared" ref="G1096:G1107" si="179">C1096/1000</f>
        <v>0.22</v>
      </c>
      <c r="H1096" s="2">
        <f t="shared" ref="H1096:H1107" si="180">C1096/F1096</f>
        <v>0.22</v>
      </c>
      <c r="I1096" s="12">
        <v>0.02</v>
      </c>
      <c r="J1096" s="12">
        <v>7.0000000000000007E-2</v>
      </c>
      <c r="K1096" s="12">
        <f t="shared" ref="K1096:K1107" si="181">SUM(H1096:J1096)*E1096</f>
        <v>4.0300000000000002E-2</v>
      </c>
      <c r="L1096" s="12">
        <f t="shared" ref="L1096:L1107" si="182">SUM(H1096:K1096)</f>
        <v>0.3503</v>
      </c>
      <c r="M1096" s="2"/>
      <c r="N1096" s="2"/>
      <c r="O1096" s="2">
        <f>L1096*500</f>
        <v>175.15</v>
      </c>
      <c r="P1096" s="2"/>
      <c r="Q1096" s="2"/>
      <c r="R1096" s="28">
        <v>16.666666666666668</v>
      </c>
    </row>
    <row r="1097" spans="1:18" hidden="1" x14ac:dyDescent="0.25">
      <c r="A1097" s="16">
        <v>45685</v>
      </c>
      <c r="B1097" s="2" t="s">
        <v>152</v>
      </c>
      <c r="C1097" s="2">
        <v>230</v>
      </c>
      <c r="D1097" s="19">
        <v>0</v>
      </c>
      <c r="E1097" s="11">
        <v>0.13600000000000001</v>
      </c>
      <c r="F1097" s="2">
        <f t="shared" si="178"/>
        <v>1000</v>
      </c>
      <c r="G1097" s="2">
        <f t="shared" si="179"/>
        <v>0.23</v>
      </c>
      <c r="H1097" s="2">
        <f t="shared" si="180"/>
        <v>0.23</v>
      </c>
      <c r="I1097" s="12">
        <v>0.02</v>
      </c>
      <c r="J1097" s="12">
        <v>7.0000000000000007E-2</v>
      </c>
      <c r="K1097" s="12">
        <f t="shared" si="181"/>
        <v>4.3520000000000003E-2</v>
      </c>
      <c r="L1097" s="12">
        <f t="shared" si="182"/>
        <v>0.36352000000000001</v>
      </c>
      <c r="M1097" s="2"/>
      <c r="N1097" s="2"/>
      <c r="O1097" s="2">
        <f>L1097*400</f>
        <v>145.40800000000002</v>
      </c>
      <c r="P1097" s="2"/>
      <c r="Q1097" s="2"/>
      <c r="R1097" s="28">
        <v>16.666666666666668</v>
      </c>
    </row>
    <row r="1098" spans="1:18" hidden="1" x14ac:dyDescent="0.25">
      <c r="A1098" s="16">
        <v>45685</v>
      </c>
      <c r="B1098" s="2" t="s">
        <v>137</v>
      </c>
      <c r="C1098" s="2">
        <v>230</v>
      </c>
      <c r="D1098" s="19">
        <v>0</v>
      </c>
      <c r="E1098" s="11">
        <v>0.22</v>
      </c>
      <c r="F1098" s="2">
        <f t="shared" si="178"/>
        <v>1000</v>
      </c>
      <c r="G1098" s="2">
        <f t="shared" si="179"/>
        <v>0.23</v>
      </c>
      <c r="H1098" s="2">
        <f t="shared" si="180"/>
        <v>0.23</v>
      </c>
      <c r="I1098" s="12">
        <v>0.02</v>
      </c>
      <c r="J1098" s="12">
        <v>7.0000000000000007E-2</v>
      </c>
      <c r="K1098" s="12">
        <f t="shared" si="181"/>
        <v>7.0400000000000004E-2</v>
      </c>
      <c r="L1098" s="12">
        <f t="shared" si="182"/>
        <v>0.39040000000000002</v>
      </c>
      <c r="M1098" s="2"/>
      <c r="N1098" s="2"/>
      <c r="O1098" s="2">
        <f>L1098*500</f>
        <v>195.20000000000002</v>
      </c>
      <c r="P1098" s="2"/>
      <c r="Q1098" s="2"/>
      <c r="R1098" s="28">
        <v>16.666666666666668</v>
      </c>
    </row>
    <row r="1099" spans="1:18" hidden="1" x14ac:dyDescent="0.25">
      <c r="A1099" s="16">
        <v>45685</v>
      </c>
      <c r="B1099" s="2" t="s">
        <v>111</v>
      </c>
      <c r="C1099" s="2">
        <v>530</v>
      </c>
      <c r="D1099" s="19">
        <v>0.39</v>
      </c>
      <c r="E1099" s="11">
        <v>0.65</v>
      </c>
      <c r="F1099" s="2">
        <f t="shared" si="178"/>
        <v>610</v>
      </c>
      <c r="G1099" s="2">
        <f t="shared" si="179"/>
        <v>0.53</v>
      </c>
      <c r="H1099" s="2">
        <f t="shared" si="180"/>
        <v>0.86885245901639341</v>
      </c>
      <c r="I1099" s="12">
        <v>0.02</v>
      </c>
      <c r="J1099" s="12">
        <v>7.0000000000000007E-2</v>
      </c>
      <c r="K1099" s="12">
        <f t="shared" si="181"/>
        <v>0.62325409836065571</v>
      </c>
      <c r="L1099" s="12">
        <f t="shared" si="182"/>
        <v>1.582106557377049</v>
      </c>
      <c r="M1099" s="2">
        <f>L1099*250</f>
        <v>395.52663934426226</v>
      </c>
      <c r="N1099" s="2"/>
      <c r="O1099" s="2"/>
      <c r="P1099" s="2"/>
      <c r="Q1099" s="2"/>
      <c r="R1099" s="28">
        <v>16.666666666666668</v>
      </c>
    </row>
    <row r="1100" spans="1:18" hidden="1" x14ac:dyDescent="0.25">
      <c r="A1100" s="16">
        <v>45685</v>
      </c>
      <c r="B1100" s="2" t="s">
        <v>113</v>
      </c>
      <c r="C1100" s="2">
        <v>530</v>
      </c>
      <c r="D1100" s="19">
        <v>0.39</v>
      </c>
      <c r="E1100" s="11">
        <v>0.54</v>
      </c>
      <c r="F1100" s="2">
        <f t="shared" si="178"/>
        <v>610</v>
      </c>
      <c r="G1100" s="2">
        <f t="shared" si="179"/>
        <v>0.53</v>
      </c>
      <c r="H1100" s="2">
        <f t="shared" si="180"/>
        <v>0.86885245901639341</v>
      </c>
      <c r="I1100" s="12">
        <v>0.02</v>
      </c>
      <c r="J1100" s="12">
        <v>7.0000000000000007E-2</v>
      </c>
      <c r="K1100" s="12">
        <f t="shared" si="181"/>
        <v>0.51778032786885242</v>
      </c>
      <c r="L1100" s="12">
        <f t="shared" si="182"/>
        <v>1.4766327868852458</v>
      </c>
      <c r="M1100" s="2">
        <f>L1100*250</f>
        <v>369.15819672131147</v>
      </c>
      <c r="N1100" s="2"/>
      <c r="O1100" s="2"/>
      <c r="P1100" s="2"/>
      <c r="Q1100" s="2"/>
      <c r="R1100" s="28">
        <v>16.666666666666668</v>
      </c>
    </row>
    <row r="1101" spans="1:18" hidden="1" x14ac:dyDescent="0.25">
      <c r="A1101" s="16">
        <v>45685</v>
      </c>
      <c r="B1101" s="2" t="s">
        <v>94</v>
      </c>
      <c r="C1101" s="2">
        <v>260</v>
      </c>
      <c r="D1101" s="19">
        <v>0.13</v>
      </c>
      <c r="E1101" s="11">
        <v>0.26</v>
      </c>
      <c r="F1101" s="2">
        <f t="shared" si="178"/>
        <v>870</v>
      </c>
      <c r="G1101" s="2">
        <f t="shared" si="179"/>
        <v>0.26</v>
      </c>
      <c r="H1101" s="2">
        <f t="shared" si="180"/>
        <v>0.2988505747126437</v>
      </c>
      <c r="I1101" s="12">
        <v>0.02</v>
      </c>
      <c r="J1101" s="12">
        <v>7.0000000000000007E-2</v>
      </c>
      <c r="K1101" s="12">
        <f t="shared" si="181"/>
        <v>0.10110114942528738</v>
      </c>
      <c r="L1101" s="12">
        <f t="shared" si="182"/>
        <v>0.48995172413793109</v>
      </c>
      <c r="M1101" s="2"/>
      <c r="N1101" s="2"/>
      <c r="O1101" s="2">
        <f>L1101*500</f>
        <v>244.97586206896554</v>
      </c>
      <c r="P1101" s="2"/>
      <c r="Q1101" s="2"/>
      <c r="R1101" s="28">
        <v>16.666666666666668</v>
      </c>
    </row>
    <row r="1102" spans="1:18" hidden="1" x14ac:dyDescent="0.25">
      <c r="A1102" s="16">
        <v>45685</v>
      </c>
      <c r="B1102" s="2" t="s">
        <v>154</v>
      </c>
      <c r="C1102" s="2">
        <v>260</v>
      </c>
      <c r="D1102" s="19">
        <v>0.13</v>
      </c>
      <c r="E1102" s="11">
        <v>0.26</v>
      </c>
      <c r="F1102" s="2">
        <f t="shared" si="178"/>
        <v>870</v>
      </c>
      <c r="G1102" s="2">
        <f t="shared" si="179"/>
        <v>0.26</v>
      </c>
      <c r="H1102" s="2">
        <f t="shared" si="180"/>
        <v>0.2988505747126437</v>
      </c>
      <c r="I1102" s="12">
        <v>0.02</v>
      </c>
      <c r="J1102" s="12">
        <v>7.0000000000000007E-2</v>
      </c>
      <c r="K1102" s="12">
        <f t="shared" si="181"/>
        <v>0.10110114942528738</v>
      </c>
      <c r="L1102" s="12">
        <f t="shared" si="182"/>
        <v>0.48995172413793109</v>
      </c>
      <c r="M1102" s="2"/>
      <c r="N1102" s="2"/>
      <c r="O1102" s="2">
        <f>L1102*500</f>
        <v>244.97586206896554</v>
      </c>
      <c r="P1102" s="2"/>
      <c r="Q1102" s="2"/>
      <c r="R1102" s="28">
        <v>16.666666666666668</v>
      </c>
    </row>
    <row r="1103" spans="1:18" hidden="1" x14ac:dyDescent="0.25">
      <c r="A1103" s="16">
        <v>45685</v>
      </c>
      <c r="B1103" s="2" t="s">
        <v>110</v>
      </c>
      <c r="C1103" s="2">
        <v>130</v>
      </c>
      <c r="D1103" s="19">
        <v>0.05</v>
      </c>
      <c r="E1103" s="11">
        <v>0.28000000000000003</v>
      </c>
      <c r="F1103" s="2">
        <f t="shared" si="178"/>
        <v>950</v>
      </c>
      <c r="G1103" s="2">
        <f t="shared" si="179"/>
        <v>0.13</v>
      </c>
      <c r="H1103" s="2">
        <f t="shared" si="180"/>
        <v>0.1368421052631579</v>
      </c>
      <c r="I1103" s="12">
        <v>0.02</v>
      </c>
      <c r="J1103" s="12">
        <v>7.0000000000000007E-2</v>
      </c>
      <c r="K1103" s="12">
        <f t="shared" si="181"/>
        <v>6.351578947368422E-2</v>
      </c>
      <c r="L1103" s="12">
        <f t="shared" si="182"/>
        <v>0.29035789473684215</v>
      </c>
      <c r="M1103" s="2"/>
      <c r="N1103" s="2"/>
      <c r="O1103" s="2">
        <f>L1103*500</f>
        <v>145.17894736842106</v>
      </c>
      <c r="P1103" s="2"/>
      <c r="Q1103" s="2">
        <f>L1103*1000</f>
        <v>290.35789473684213</v>
      </c>
      <c r="R1103" s="28">
        <v>16.666666666666668</v>
      </c>
    </row>
    <row r="1104" spans="1:18" hidden="1" x14ac:dyDescent="0.25">
      <c r="A1104" s="16">
        <v>45685</v>
      </c>
      <c r="B1104" s="2" t="s">
        <v>92</v>
      </c>
      <c r="C1104" s="2">
        <v>430</v>
      </c>
      <c r="D1104" s="19">
        <v>0.33</v>
      </c>
      <c r="E1104" s="11">
        <v>2.5000000000000001E-2</v>
      </c>
      <c r="F1104" s="2">
        <f t="shared" si="178"/>
        <v>670</v>
      </c>
      <c r="G1104" s="2">
        <f t="shared" si="179"/>
        <v>0.43</v>
      </c>
      <c r="H1104" s="2">
        <f t="shared" si="180"/>
        <v>0.64179104477611937</v>
      </c>
      <c r="I1104" s="12">
        <v>0.02</v>
      </c>
      <c r="J1104" s="12">
        <v>7.0000000000000007E-2</v>
      </c>
      <c r="K1104" s="12">
        <f t="shared" si="181"/>
        <v>1.8294776119402983E-2</v>
      </c>
      <c r="L1104" s="12">
        <f t="shared" si="182"/>
        <v>0.75008582089552234</v>
      </c>
      <c r="M1104" s="2"/>
      <c r="N1104" s="2"/>
      <c r="O1104" s="2">
        <f>L1104*500</f>
        <v>375.04291044776119</v>
      </c>
      <c r="P1104" s="2"/>
      <c r="Q1104" s="2"/>
      <c r="R1104" s="28">
        <v>16.666666666666668</v>
      </c>
    </row>
    <row r="1105" spans="1:18" hidden="1" x14ac:dyDescent="0.25">
      <c r="A1105" s="16">
        <v>45685</v>
      </c>
      <c r="B1105" s="2" t="s">
        <v>205</v>
      </c>
      <c r="C1105" s="2">
        <v>730</v>
      </c>
      <c r="D1105" s="19">
        <v>0.33</v>
      </c>
      <c r="E1105" s="11">
        <v>0.104</v>
      </c>
      <c r="F1105" s="2">
        <f t="shared" si="178"/>
        <v>670</v>
      </c>
      <c r="G1105" s="2">
        <f t="shared" si="179"/>
        <v>0.73</v>
      </c>
      <c r="H1105" s="2">
        <f t="shared" si="180"/>
        <v>1.0895522388059702</v>
      </c>
      <c r="I1105" s="12">
        <v>0.02</v>
      </c>
      <c r="J1105" s="12">
        <v>7.0000000000000007E-2</v>
      </c>
      <c r="K1105" s="12">
        <f t="shared" si="181"/>
        <v>0.1226734328358209</v>
      </c>
      <c r="L1105" s="12">
        <f t="shared" si="182"/>
        <v>1.3022256716417913</v>
      </c>
      <c r="M1105" s="2">
        <f>L1105*250</f>
        <v>325.55641791044781</v>
      </c>
      <c r="N1105" s="2"/>
      <c r="O1105" s="2"/>
      <c r="P1105" s="2"/>
      <c r="Q1105" s="2"/>
      <c r="R1105" s="28">
        <v>16.666666666666668</v>
      </c>
    </row>
    <row r="1106" spans="1:18" hidden="1" x14ac:dyDescent="0.25">
      <c r="A1106" s="16">
        <v>45685</v>
      </c>
      <c r="B1106" s="2" t="s">
        <v>90</v>
      </c>
      <c r="C1106" s="2">
        <v>330</v>
      </c>
      <c r="D1106" s="19">
        <v>0.26</v>
      </c>
      <c r="E1106" s="11">
        <v>0.21299999999999999</v>
      </c>
      <c r="F1106" s="2">
        <f t="shared" si="178"/>
        <v>740</v>
      </c>
      <c r="G1106" s="2">
        <f t="shared" si="179"/>
        <v>0.33</v>
      </c>
      <c r="H1106" s="2">
        <f t="shared" si="180"/>
        <v>0.44594594594594594</v>
      </c>
      <c r="I1106" s="12">
        <v>0.02</v>
      </c>
      <c r="J1106" s="12">
        <v>7.0000000000000007E-2</v>
      </c>
      <c r="K1106" s="12">
        <f t="shared" si="181"/>
        <v>0.11415648648648648</v>
      </c>
      <c r="L1106" s="12">
        <f t="shared" si="182"/>
        <v>0.65010243243243238</v>
      </c>
      <c r="M1106" s="2"/>
      <c r="N1106" s="2"/>
      <c r="O1106" s="2">
        <f t="shared" ref="O1106:O1111" si="183">L1106*500</f>
        <v>325.05121621621618</v>
      </c>
      <c r="P1106" s="2"/>
      <c r="Q1106" s="2"/>
      <c r="R1106" s="28">
        <v>16.666666666666668</v>
      </c>
    </row>
    <row r="1107" spans="1:18" hidden="1" x14ac:dyDescent="0.25">
      <c r="A1107" s="16">
        <v>45685</v>
      </c>
      <c r="B1107" s="2" t="s">
        <v>91</v>
      </c>
      <c r="C1107" s="2">
        <v>330</v>
      </c>
      <c r="D1107" s="19">
        <v>0.26</v>
      </c>
      <c r="E1107" s="11">
        <v>0.21299999999999999</v>
      </c>
      <c r="F1107" s="2">
        <f t="shared" si="178"/>
        <v>740</v>
      </c>
      <c r="G1107" s="2">
        <f t="shared" si="179"/>
        <v>0.33</v>
      </c>
      <c r="H1107" s="2">
        <f t="shared" si="180"/>
        <v>0.44594594594594594</v>
      </c>
      <c r="I1107" s="12">
        <v>0.02</v>
      </c>
      <c r="J1107" s="12">
        <v>7.0000000000000007E-2</v>
      </c>
      <c r="K1107" s="12">
        <f t="shared" si="181"/>
        <v>0.11415648648648648</v>
      </c>
      <c r="L1107" s="12">
        <f t="shared" si="182"/>
        <v>0.65010243243243238</v>
      </c>
      <c r="M1107" s="2"/>
      <c r="N1107" s="2"/>
      <c r="O1107" s="2">
        <f t="shared" si="183"/>
        <v>325.05121621621618</v>
      </c>
      <c r="P1107" s="2"/>
      <c r="Q1107" s="2"/>
      <c r="R1107" s="28">
        <v>16.666666666666668</v>
      </c>
    </row>
    <row r="1108" spans="1:18" hidden="1" x14ac:dyDescent="0.25">
      <c r="A1108" s="16">
        <v>45686</v>
      </c>
      <c r="B1108" s="2" t="s">
        <v>90</v>
      </c>
      <c r="C1108" s="2">
        <v>330</v>
      </c>
      <c r="D1108" s="19">
        <v>0.08</v>
      </c>
      <c r="E1108" s="11">
        <v>0.45</v>
      </c>
      <c r="F1108" s="2">
        <f t="shared" ref="F1108:F1118" si="184">1000-1000*D1108</f>
        <v>920</v>
      </c>
      <c r="G1108" s="2">
        <f t="shared" ref="G1108:G1112" si="185">C1108/1000</f>
        <v>0.33</v>
      </c>
      <c r="H1108" s="2">
        <f t="shared" ref="H1108:H1112" si="186">C1108/F1108</f>
        <v>0.35869565217391303</v>
      </c>
      <c r="I1108" s="12">
        <v>0.02</v>
      </c>
      <c r="J1108" s="12">
        <v>7.0000000000000007E-2</v>
      </c>
      <c r="K1108" s="12">
        <f t="shared" ref="K1108:K1118" si="187">SUM(H1108:J1108)*E1108</f>
        <v>0.20191304347826089</v>
      </c>
      <c r="L1108" s="12">
        <f t="shared" ref="L1108:L1118" si="188">SUM(H1108:K1108)</f>
        <v>0.65060869565217394</v>
      </c>
      <c r="M1108" s="2"/>
      <c r="N1108" s="2"/>
      <c r="O1108" s="2">
        <f t="shared" si="183"/>
        <v>325.304347826087</v>
      </c>
      <c r="P1108" s="2"/>
      <c r="Q1108" s="2"/>
      <c r="R1108" s="28">
        <v>16.666666666666668</v>
      </c>
    </row>
    <row r="1109" spans="1:18" hidden="1" x14ac:dyDescent="0.25">
      <c r="A1109" s="16">
        <v>45686</v>
      </c>
      <c r="B1109" s="2" t="s">
        <v>91</v>
      </c>
      <c r="C1109" s="2">
        <v>330</v>
      </c>
      <c r="D1109" s="19">
        <v>0.08</v>
      </c>
      <c r="E1109" s="11">
        <v>0.45</v>
      </c>
      <c r="F1109" s="2">
        <f t="shared" si="184"/>
        <v>920</v>
      </c>
      <c r="G1109" s="2">
        <f t="shared" si="185"/>
        <v>0.33</v>
      </c>
      <c r="H1109" s="2">
        <f t="shared" si="186"/>
        <v>0.35869565217391303</v>
      </c>
      <c r="I1109" s="12">
        <v>0.02</v>
      </c>
      <c r="J1109" s="12">
        <v>7.0000000000000007E-2</v>
      </c>
      <c r="K1109" s="12">
        <f t="shared" si="187"/>
        <v>0.20191304347826089</v>
      </c>
      <c r="L1109" s="12">
        <f t="shared" si="188"/>
        <v>0.65060869565217394</v>
      </c>
      <c r="M1109" s="2"/>
      <c r="N1109" s="2"/>
      <c r="O1109" s="2">
        <f t="shared" si="183"/>
        <v>325.304347826087</v>
      </c>
      <c r="P1109" s="2"/>
      <c r="Q1109" s="2"/>
      <c r="R1109" s="28">
        <v>16.666666666666668</v>
      </c>
    </row>
    <row r="1110" spans="1:18" hidden="1" x14ac:dyDescent="0.25">
      <c r="A1110" s="16">
        <v>45686</v>
      </c>
      <c r="B1110" s="2" t="s">
        <v>94</v>
      </c>
      <c r="C1110" s="2">
        <v>300</v>
      </c>
      <c r="D1110" s="19">
        <v>0.06</v>
      </c>
      <c r="E1110" s="11">
        <v>0.2</v>
      </c>
      <c r="F1110" s="2">
        <f t="shared" si="184"/>
        <v>940</v>
      </c>
      <c r="G1110" s="2">
        <f t="shared" si="185"/>
        <v>0.3</v>
      </c>
      <c r="H1110" s="2">
        <f t="shared" si="186"/>
        <v>0.31914893617021278</v>
      </c>
      <c r="I1110" s="12">
        <v>0.02</v>
      </c>
      <c r="J1110" s="12">
        <v>7.0000000000000007E-2</v>
      </c>
      <c r="K1110" s="12">
        <f t="shared" si="187"/>
        <v>8.1829787234042564E-2</v>
      </c>
      <c r="L1110" s="12">
        <f t="shared" si="188"/>
        <v>0.49097872340425536</v>
      </c>
      <c r="M1110" s="2"/>
      <c r="N1110" s="2"/>
      <c r="O1110" s="2">
        <f t="shared" si="183"/>
        <v>245.48936170212767</v>
      </c>
      <c r="P1110" s="2"/>
      <c r="Q1110" s="2"/>
      <c r="R1110" s="28">
        <v>16.666666666666668</v>
      </c>
    </row>
    <row r="1111" spans="1:18" hidden="1" x14ac:dyDescent="0.25">
      <c r="A1111" s="16">
        <v>45686</v>
      </c>
      <c r="B1111" s="2" t="s">
        <v>154</v>
      </c>
      <c r="C1111" s="2">
        <v>300</v>
      </c>
      <c r="D1111" s="19">
        <v>0.06</v>
      </c>
      <c r="E1111" s="11">
        <v>0.2</v>
      </c>
      <c r="F1111" s="2">
        <f t="shared" si="184"/>
        <v>940</v>
      </c>
      <c r="G1111" s="2">
        <f t="shared" si="185"/>
        <v>0.3</v>
      </c>
      <c r="H1111" s="2">
        <f t="shared" si="186"/>
        <v>0.31914893617021278</v>
      </c>
      <c r="I1111" s="12">
        <v>0.02</v>
      </c>
      <c r="J1111" s="12">
        <v>7.0000000000000007E-2</v>
      </c>
      <c r="K1111" s="12">
        <f t="shared" si="187"/>
        <v>8.1829787234042564E-2</v>
      </c>
      <c r="L1111" s="12">
        <f t="shared" si="188"/>
        <v>0.49097872340425536</v>
      </c>
      <c r="M1111" s="2"/>
      <c r="N1111" s="2"/>
      <c r="O1111" s="2">
        <f t="shared" si="183"/>
        <v>245.48936170212767</v>
      </c>
      <c r="P1111" s="2"/>
      <c r="Q1111" s="2"/>
      <c r="R1111" s="28">
        <v>16.666666666666668</v>
      </c>
    </row>
    <row r="1112" spans="1:18" hidden="1" x14ac:dyDescent="0.25">
      <c r="A1112" s="16">
        <v>45686</v>
      </c>
      <c r="B1112" s="2" t="s">
        <v>120</v>
      </c>
      <c r="C1112" s="2">
        <v>270</v>
      </c>
      <c r="D1112" s="19">
        <v>0.49</v>
      </c>
      <c r="E1112" s="11">
        <v>0.57999999999999996</v>
      </c>
      <c r="F1112" s="2">
        <f t="shared" si="184"/>
        <v>510</v>
      </c>
      <c r="G1112" s="2">
        <f t="shared" si="185"/>
        <v>0.27</v>
      </c>
      <c r="H1112" s="2">
        <f t="shared" si="186"/>
        <v>0.52941176470588236</v>
      </c>
      <c r="I1112" s="12">
        <v>0.02</v>
      </c>
      <c r="J1112" s="12">
        <v>7.0000000000000007E-2</v>
      </c>
      <c r="K1112" s="12">
        <f t="shared" si="187"/>
        <v>0.35925882352941174</v>
      </c>
      <c r="L1112" s="12">
        <f t="shared" si="188"/>
        <v>0.97867058823529407</v>
      </c>
      <c r="M1112" s="2">
        <f>L1112*250</f>
        <v>244.66764705882352</v>
      </c>
      <c r="N1112" s="2"/>
      <c r="O1112" s="2"/>
      <c r="P1112" s="2"/>
      <c r="Q1112" s="2"/>
      <c r="R1112" s="28">
        <v>16.666666666666668</v>
      </c>
    </row>
    <row r="1113" spans="1:18" hidden="1" x14ac:dyDescent="0.25">
      <c r="A1113" s="16">
        <v>45686</v>
      </c>
      <c r="B1113" s="2" t="s">
        <v>92</v>
      </c>
      <c r="D1113" s="19">
        <v>0</v>
      </c>
      <c r="E1113" s="11">
        <v>0.23</v>
      </c>
      <c r="F1113" s="2">
        <f t="shared" si="184"/>
        <v>1000</v>
      </c>
      <c r="G1113" s="2">
        <f>C1114/1000</f>
        <v>0.3</v>
      </c>
      <c r="H1113" s="2">
        <f>C1114/F1113</f>
        <v>0.3</v>
      </c>
      <c r="I1113" s="12">
        <v>0.02</v>
      </c>
      <c r="J1113" s="12">
        <v>7.0000000000000007E-2</v>
      </c>
      <c r="K1113" s="12">
        <f t="shared" si="187"/>
        <v>8.9700000000000002E-2</v>
      </c>
      <c r="L1113" s="12">
        <f t="shared" si="188"/>
        <v>0.47970000000000002</v>
      </c>
      <c r="M1113" s="2"/>
      <c r="N1113" s="2"/>
      <c r="O1113" s="2">
        <f>L1113*500</f>
        <v>239.85</v>
      </c>
      <c r="P1113" s="2"/>
      <c r="Q1113" s="2"/>
      <c r="R1113" s="28">
        <v>16.666666666666668</v>
      </c>
    </row>
    <row r="1114" spans="1:18" hidden="1" x14ac:dyDescent="0.25">
      <c r="A1114" s="16">
        <v>45686</v>
      </c>
      <c r="B1114" s="2" t="s">
        <v>97</v>
      </c>
      <c r="C1114" s="2">
        <v>300</v>
      </c>
      <c r="D1114" s="19">
        <v>7.0000000000000007E-2</v>
      </c>
      <c r="E1114" s="11">
        <v>0.19</v>
      </c>
      <c r="F1114" s="10">
        <f t="shared" si="184"/>
        <v>930</v>
      </c>
      <c r="G1114" s="2">
        <f t="shared" ref="G1114:G1120" si="189">C1114/1000</f>
        <v>0.3</v>
      </c>
      <c r="H1114" s="12">
        <f t="shared" ref="H1114:H1120" si="190">C1114/F1114</f>
        <v>0.32258064516129031</v>
      </c>
      <c r="I1114" s="12">
        <v>0.02</v>
      </c>
      <c r="J1114" s="12">
        <v>7.0000000000000007E-2</v>
      </c>
      <c r="K1114" s="12">
        <f t="shared" si="187"/>
        <v>7.8390322580645169E-2</v>
      </c>
      <c r="L1114" s="12">
        <f t="shared" si="188"/>
        <v>0.49097096774193549</v>
      </c>
      <c r="M1114" s="2"/>
      <c r="N1114" s="2"/>
      <c r="O1114" s="2">
        <f t="shared" ref="O1114:O1115" si="191">L1114*500</f>
        <v>245.48548387096776</v>
      </c>
      <c r="P1114" s="2"/>
      <c r="Q1114" s="2"/>
      <c r="R1114" s="28">
        <v>16.666666666666668</v>
      </c>
    </row>
    <row r="1115" spans="1:18" hidden="1" x14ac:dyDescent="0.25">
      <c r="A1115" s="16">
        <v>45687</v>
      </c>
      <c r="B1115" s="2" t="s">
        <v>162</v>
      </c>
      <c r="C1115" s="2">
        <v>190</v>
      </c>
      <c r="D1115" s="19">
        <v>7.0000000000000007E-2</v>
      </c>
      <c r="E1115" s="11">
        <v>0.32200000000000001</v>
      </c>
      <c r="F1115" s="2">
        <f t="shared" si="184"/>
        <v>930</v>
      </c>
      <c r="G1115" s="2">
        <f t="shared" si="189"/>
        <v>0.19</v>
      </c>
      <c r="H1115" s="2">
        <f t="shared" si="190"/>
        <v>0.20430107526881722</v>
      </c>
      <c r="I1115" s="12">
        <v>0.02</v>
      </c>
      <c r="J1115" s="12">
        <v>7.0000000000000007E-2</v>
      </c>
      <c r="K1115" s="12">
        <f t="shared" si="187"/>
        <v>9.476494623655915E-2</v>
      </c>
      <c r="L1115" s="12">
        <f t="shared" si="188"/>
        <v>0.38906602150537639</v>
      </c>
      <c r="M1115" s="2"/>
      <c r="N1115" s="2"/>
      <c r="O1115" s="2">
        <f t="shared" si="191"/>
        <v>194.5330107526882</v>
      </c>
      <c r="P1115" s="2"/>
      <c r="Q1115" s="2"/>
      <c r="R1115" s="28">
        <v>16.666666666666668</v>
      </c>
    </row>
    <row r="1116" spans="1:18" hidden="1" x14ac:dyDescent="0.25">
      <c r="A1116" s="16">
        <v>45687</v>
      </c>
      <c r="B1116" s="2" t="s">
        <v>152</v>
      </c>
      <c r="C1116" s="2">
        <v>220</v>
      </c>
      <c r="D1116" s="19">
        <v>0</v>
      </c>
      <c r="E1116" s="11">
        <v>0.17</v>
      </c>
      <c r="F1116" s="2">
        <f t="shared" si="184"/>
        <v>1000</v>
      </c>
      <c r="G1116" s="2">
        <f t="shared" si="189"/>
        <v>0.22</v>
      </c>
      <c r="H1116" s="2">
        <f t="shared" si="190"/>
        <v>0.22</v>
      </c>
      <c r="I1116" s="12">
        <v>0.02</v>
      </c>
      <c r="J1116" s="12">
        <v>7.0000000000000007E-2</v>
      </c>
      <c r="K1116" s="12">
        <f t="shared" si="187"/>
        <v>5.2700000000000004E-2</v>
      </c>
      <c r="L1116" s="12">
        <f t="shared" si="188"/>
        <v>0.36270000000000002</v>
      </c>
      <c r="M1116" s="2"/>
      <c r="N1116" s="2"/>
      <c r="O1116" s="2">
        <f>L1116*400</f>
        <v>145.08000000000001</v>
      </c>
      <c r="P1116" s="2"/>
      <c r="Q1116" s="2"/>
      <c r="R1116" s="28">
        <v>16.666666666666668</v>
      </c>
    </row>
    <row r="1117" spans="1:18" hidden="1" x14ac:dyDescent="0.25">
      <c r="A1117" s="16">
        <v>45687</v>
      </c>
      <c r="B1117" s="2" t="s">
        <v>137</v>
      </c>
      <c r="C1117" s="2">
        <v>220</v>
      </c>
      <c r="D1117" s="19">
        <v>0</v>
      </c>
      <c r="E1117" s="11">
        <v>0.14599999999999999</v>
      </c>
      <c r="F1117" s="2">
        <f t="shared" si="184"/>
        <v>1000</v>
      </c>
      <c r="G1117" s="2">
        <f t="shared" si="189"/>
        <v>0.22</v>
      </c>
      <c r="H1117" s="2">
        <f t="shared" si="190"/>
        <v>0.22</v>
      </c>
      <c r="I1117" s="12">
        <v>0.02</v>
      </c>
      <c r="J1117" s="12">
        <v>7.0000000000000007E-2</v>
      </c>
      <c r="K1117" s="12">
        <f t="shared" si="187"/>
        <v>4.5259999999999995E-2</v>
      </c>
      <c r="L1117" s="12">
        <f t="shared" si="188"/>
        <v>0.35526000000000002</v>
      </c>
      <c r="M1117" s="2"/>
      <c r="N1117" s="2"/>
      <c r="O1117" s="2">
        <f>L1117*550</f>
        <v>195.393</v>
      </c>
      <c r="P1117" s="2"/>
      <c r="Q1117" s="2"/>
      <c r="R1117" s="28">
        <v>16.666666666666668</v>
      </c>
    </row>
    <row r="1118" spans="1:18" hidden="1" x14ac:dyDescent="0.25">
      <c r="A1118" s="16">
        <v>45687</v>
      </c>
      <c r="B1118" s="2" t="s">
        <v>91</v>
      </c>
      <c r="C1118" s="2">
        <v>430</v>
      </c>
      <c r="D1118" s="19">
        <v>0.2</v>
      </c>
      <c r="E1118" s="11">
        <v>0.1</v>
      </c>
      <c r="F1118" s="2">
        <f t="shared" si="184"/>
        <v>800</v>
      </c>
      <c r="G1118" s="2">
        <f t="shared" si="189"/>
        <v>0.43</v>
      </c>
      <c r="H1118" s="2">
        <f t="shared" si="190"/>
        <v>0.53749999999999998</v>
      </c>
      <c r="I1118" s="12">
        <v>0.02</v>
      </c>
      <c r="J1118" s="12">
        <v>7.0000000000000007E-2</v>
      </c>
      <c r="K1118" s="12">
        <f t="shared" si="187"/>
        <v>6.275E-2</v>
      </c>
      <c r="L1118" s="12">
        <f t="shared" si="188"/>
        <v>0.69024999999999992</v>
      </c>
      <c r="M1118" s="2"/>
      <c r="N1118" s="2"/>
      <c r="O1118" s="2">
        <f>L1118*500</f>
        <v>345.12499999999994</v>
      </c>
      <c r="P1118" s="2"/>
      <c r="Q1118" s="2"/>
      <c r="R1118" s="28">
        <v>16.666666666666668</v>
      </c>
    </row>
    <row r="1119" spans="1:18" hidden="1" x14ac:dyDescent="0.25">
      <c r="A1119" s="16">
        <v>45687</v>
      </c>
      <c r="B1119" s="2" t="s">
        <v>90</v>
      </c>
      <c r="C1119" s="2">
        <v>430</v>
      </c>
      <c r="D1119" s="19">
        <v>0.2</v>
      </c>
      <c r="E1119" s="11">
        <v>3.5000000000000003E-2</v>
      </c>
      <c r="F1119" s="2">
        <f t="shared" ref="F1119:F1129" si="192">1000-1000*D1119</f>
        <v>800</v>
      </c>
      <c r="G1119" s="2">
        <f t="shared" si="189"/>
        <v>0.43</v>
      </c>
      <c r="H1119" s="2">
        <f t="shared" si="190"/>
        <v>0.53749999999999998</v>
      </c>
      <c r="I1119" s="12">
        <v>0.02</v>
      </c>
      <c r="J1119" s="12">
        <v>7.0000000000000007E-2</v>
      </c>
      <c r="K1119" s="12">
        <f t="shared" ref="K1119:K1129" si="193">SUM(H1119:J1119)*E1119</f>
        <v>2.1962499999999999E-2</v>
      </c>
      <c r="L1119" s="12">
        <f t="shared" ref="L1119:L1129" si="194">SUM(H1119:K1119)</f>
        <v>0.64946249999999994</v>
      </c>
      <c r="M1119" s="2"/>
      <c r="N1119" s="2"/>
      <c r="O1119" s="2">
        <f>L1119*500</f>
        <v>324.73124999999999</v>
      </c>
      <c r="P1119" s="2"/>
      <c r="Q1119" s="2"/>
      <c r="R1119" s="28">
        <v>16.666666666666668</v>
      </c>
    </row>
    <row r="1120" spans="1:18" hidden="1" x14ac:dyDescent="0.25">
      <c r="A1120" s="16">
        <v>45688</v>
      </c>
      <c r="B1120" s="2" t="s">
        <v>152</v>
      </c>
      <c r="C1120" s="2">
        <v>180</v>
      </c>
      <c r="D1120" s="19">
        <v>0.13</v>
      </c>
      <c r="E1120" s="11">
        <v>0.22</v>
      </c>
      <c r="F1120" s="2">
        <f t="shared" si="192"/>
        <v>870</v>
      </c>
      <c r="G1120" s="2">
        <f t="shared" si="189"/>
        <v>0.18</v>
      </c>
      <c r="H1120" s="2">
        <f t="shared" si="190"/>
        <v>0.20689655172413793</v>
      </c>
      <c r="I1120" s="12">
        <v>0.02</v>
      </c>
      <c r="J1120" s="12">
        <v>7.0000000000000007E-2</v>
      </c>
      <c r="K1120" s="12">
        <f t="shared" si="193"/>
        <v>6.5317241379310345E-2</v>
      </c>
      <c r="L1120" s="12">
        <f t="shared" si="194"/>
        <v>0.36221379310344826</v>
      </c>
      <c r="M1120" s="2"/>
      <c r="N1120" s="2"/>
      <c r="O1120" s="2">
        <f>L1120*400</f>
        <v>144.88551724137929</v>
      </c>
      <c r="P1120" s="2"/>
      <c r="Q1120" s="2"/>
      <c r="R1120" s="28">
        <v>16.666666666666668</v>
      </c>
    </row>
    <row r="1121" spans="1:18" hidden="1" x14ac:dyDescent="0.25">
      <c r="A1121" s="16">
        <v>45688</v>
      </c>
      <c r="B1121" s="2" t="s">
        <v>91</v>
      </c>
      <c r="C1121" s="2">
        <v>380</v>
      </c>
      <c r="D1121" s="19">
        <v>0.08</v>
      </c>
      <c r="E1121" s="11">
        <v>0.37</v>
      </c>
      <c r="F1121" s="2">
        <f t="shared" si="192"/>
        <v>920</v>
      </c>
      <c r="G1121" s="2">
        <f t="shared" ref="G1121:G1129" si="195">C1121/1000</f>
        <v>0.38</v>
      </c>
      <c r="H1121" s="2">
        <f t="shared" ref="H1121:H1129" si="196">C1121/F1121</f>
        <v>0.41304347826086957</v>
      </c>
      <c r="I1121" s="12">
        <v>0.02</v>
      </c>
      <c r="J1121" s="12">
        <v>7.0000000000000007E-2</v>
      </c>
      <c r="K1121" s="12">
        <f t="shared" si="193"/>
        <v>0.18612608695652175</v>
      </c>
      <c r="L1121" s="12">
        <f t="shared" si="194"/>
        <v>0.68916956521739137</v>
      </c>
      <c r="M1121" s="2"/>
      <c r="N1121" s="2"/>
      <c r="O1121" s="2">
        <f>L1121*500</f>
        <v>344.58478260869566</v>
      </c>
      <c r="P1121" s="2"/>
      <c r="Q1121" s="2"/>
      <c r="R1121" s="28">
        <v>16.666666666666668</v>
      </c>
    </row>
    <row r="1122" spans="1:18" hidden="1" x14ac:dyDescent="0.25">
      <c r="A1122" s="16">
        <v>45688</v>
      </c>
      <c r="B1122" s="2" t="s">
        <v>192</v>
      </c>
      <c r="C1122" s="2">
        <v>520</v>
      </c>
      <c r="D1122" s="19">
        <v>0.13</v>
      </c>
      <c r="E1122" s="11">
        <v>0.09</v>
      </c>
      <c r="F1122" s="2">
        <f t="shared" si="192"/>
        <v>870</v>
      </c>
      <c r="G1122" s="2">
        <f t="shared" si="195"/>
        <v>0.52</v>
      </c>
      <c r="H1122" s="2">
        <f t="shared" si="196"/>
        <v>0.5977011494252874</v>
      </c>
      <c r="I1122" s="12">
        <v>0.02</v>
      </c>
      <c r="J1122" s="12">
        <v>7.0000000000000007E-2</v>
      </c>
      <c r="K1122" s="12">
        <f t="shared" si="193"/>
        <v>6.1893103448275859E-2</v>
      </c>
      <c r="L1122" s="12">
        <f t="shared" si="194"/>
        <v>0.74959425287356318</v>
      </c>
      <c r="M1122" s="2"/>
      <c r="N1122" s="2"/>
      <c r="O1122" s="2">
        <f>L1122*500</f>
        <v>374.79712643678158</v>
      </c>
      <c r="P1122" s="2"/>
      <c r="Q1122" s="2"/>
      <c r="R1122" s="28">
        <v>16.666666666666668</v>
      </c>
    </row>
    <row r="1123" spans="1:18" hidden="1" x14ac:dyDescent="0.25">
      <c r="A1123" s="16">
        <v>45688</v>
      </c>
      <c r="B1123" s="2" t="s">
        <v>93</v>
      </c>
      <c r="C1123" s="2">
        <v>520</v>
      </c>
      <c r="D1123" s="19">
        <v>0.13</v>
      </c>
      <c r="E1123" s="11">
        <v>0.15</v>
      </c>
      <c r="F1123" s="2">
        <f t="shared" si="192"/>
        <v>870</v>
      </c>
      <c r="G1123" s="2">
        <f t="shared" si="195"/>
        <v>0.52</v>
      </c>
      <c r="H1123" s="2">
        <f t="shared" si="196"/>
        <v>0.5977011494252874</v>
      </c>
      <c r="I1123" s="12">
        <v>0.02</v>
      </c>
      <c r="J1123" s="12">
        <v>7.0000000000000007E-2</v>
      </c>
      <c r="K1123" s="12">
        <f t="shared" si="193"/>
        <v>0.1031551724137931</v>
      </c>
      <c r="L1123" s="12">
        <f t="shared" si="194"/>
        <v>0.7908563218390805</v>
      </c>
      <c r="M1123" s="2"/>
      <c r="N1123" s="2"/>
      <c r="O1123" s="2">
        <f>L1123*500</f>
        <v>395.42816091954023</v>
      </c>
      <c r="P1123" s="2"/>
      <c r="Q1123" s="2"/>
      <c r="R1123" s="28">
        <v>16.666666666666668</v>
      </c>
    </row>
    <row r="1124" spans="1:18" hidden="1" x14ac:dyDescent="0.25">
      <c r="A1124" s="16">
        <v>45688</v>
      </c>
      <c r="B1124" s="2" t="s">
        <v>40</v>
      </c>
      <c r="C1124" s="2">
        <v>250</v>
      </c>
      <c r="D1124" s="19">
        <v>0</v>
      </c>
      <c r="E1124" s="11">
        <v>0.03</v>
      </c>
      <c r="F1124" s="10">
        <f t="shared" si="192"/>
        <v>1000</v>
      </c>
      <c r="G1124" s="10">
        <f t="shared" si="195"/>
        <v>0.25</v>
      </c>
      <c r="H1124" s="12">
        <f t="shared" si="196"/>
        <v>0.25</v>
      </c>
      <c r="I1124" s="12">
        <v>0.02</v>
      </c>
      <c r="J1124" s="12">
        <v>7.0000000000000007E-2</v>
      </c>
      <c r="K1124" s="12">
        <f t="shared" si="193"/>
        <v>1.0200000000000001E-2</v>
      </c>
      <c r="L1124" s="12">
        <f t="shared" si="194"/>
        <v>0.35020000000000001</v>
      </c>
      <c r="M1124" s="2"/>
      <c r="N1124" s="2"/>
      <c r="O1124" s="12">
        <f>L1124*500</f>
        <v>175.1</v>
      </c>
      <c r="P1124" s="2"/>
      <c r="Q1124" s="2"/>
      <c r="R1124" s="28">
        <v>16.666666666666668</v>
      </c>
    </row>
    <row r="1125" spans="1:18" hidden="1" x14ac:dyDescent="0.25">
      <c r="A1125" s="16">
        <v>45688</v>
      </c>
      <c r="B1125" s="2" t="s">
        <v>160</v>
      </c>
      <c r="C1125" s="2">
        <v>600</v>
      </c>
      <c r="D1125" s="19">
        <v>0.32</v>
      </c>
      <c r="E1125" s="11">
        <v>0.43</v>
      </c>
      <c r="F1125" s="2">
        <f t="shared" si="192"/>
        <v>680</v>
      </c>
      <c r="G1125" s="2">
        <f t="shared" si="195"/>
        <v>0.6</v>
      </c>
      <c r="H1125" s="2">
        <f t="shared" si="196"/>
        <v>0.88235294117647056</v>
      </c>
      <c r="I1125" s="12">
        <v>0.02</v>
      </c>
      <c r="J1125" s="12">
        <v>7.0000000000000007E-2</v>
      </c>
      <c r="K1125" s="12">
        <f t="shared" si="193"/>
        <v>0.41811176470588235</v>
      </c>
      <c r="L1125" s="12">
        <f t="shared" si="194"/>
        <v>1.3904647058823529</v>
      </c>
      <c r="M1125" s="2">
        <f>L1125*250</f>
        <v>347.61617647058824</v>
      </c>
      <c r="N1125" s="2"/>
      <c r="O1125" s="12">
        <f>L1125*500</f>
        <v>695.23235294117649</v>
      </c>
      <c r="P1125" s="2"/>
      <c r="Q1125" s="2"/>
      <c r="R1125" s="28">
        <v>16.666666666666668</v>
      </c>
    </row>
    <row r="1126" spans="1:18" hidden="1" x14ac:dyDescent="0.25">
      <c r="A1126" s="16">
        <v>45688</v>
      </c>
      <c r="B1126" s="2" t="s">
        <v>113</v>
      </c>
      <c r="C1126" s="2">
        <v>600</v>
      </c>
      <c r="D1126" s="19">
        <v>0.32</v>
      </c>
      <c r="E1126" s="11">
        <v>0.75</v>
      </c>
      <c r="F1126" s="2">
        <f t="shared" si="192"/>
        <v>680</v>
      </c>
      <c r="G1126" s="2">
        <f t="shared" si="195"/>
        <v>0.6</v>
      </c>
      <c r="H1126" s="2">
        <f t="shared" si="196"/>
        <v>0.88235294117647056</v>
      </c>
      <c r="I1126" s="12">
        <v>0.02</v>
      </c>
      <c r="J1126" s="12">
        <v>7.0000000000000007E-2</v>
      </c>
      <c r="K1126" s="12">
        <f t="shared" si="193"/>
        <v>0.72926470588235293</v>
      </c>
      <c r="L1126" s="12">
        <f t="shared" si="194"/>
        <v>1.7016176470588236</v>
      </c>
      <c r="M1126" s="2">
        <f>L1126*250</f>
        <v>425.40441176470591</v>
      </c>
      <c r="N1126" s="2"/>
      <c r="O1126" s="2"/>
      <c r="P1126" s="2"/>
      <c r="Q1126" s="2"/>
      <c r="R1126" s="28">
        <v>16.666666666666668</v>
      </c>
    </row>
    <row r="1127" spans="1:18" hidden="1" x14ac:dyDescent="0.25">
      <c r="A1127" s="16">
        <v>45688</v>
      </c>
      <c r="B1127" s="2" t="s">
        <v>110</v>
      </c>
      <c r="C1127" s="2">
        <v>120</v>
      </c>
      <c r="D1127" s="19">
        <v>0.08</v>
      </c>
      <c r="E1127" s="11">
        <v>0.32</v>
      </c>
      <c r="F1127" s="2">
        <f t="shared" si="192"/>
        <v>920</v>
      </c>
      <c r="G1127" s="2">
        <f t="shared" si="195"/>
        <v>0.12</v>
      </c>
      <c r="H1127" s="2">
        <f t="shared" si="196"/>
        <v>0.13043478260869565</v>
      </c>
      <c r="I1127" s="12">
        <v>0.02</v>
      </c>
      <c r="J1127" s="12">
        <v>7.0000000000000007E-2</v>
      </c>
      <c r="K1127" s="12">
        <f t="shared" si="193"/>
        <v>7.0539130434782604E-2</v>
      </c>
      <c r="L1127" s="12">
        <f t="shared" si="194"/>
        <v>0.29097391304347825</v>
      </c>
      <c r="M1127" s="2"/>
      <c r="N1127" s="2"/>
      <c r="O1127" s="2">
        <f>L1127*500</f>
        <v>145.48695652173913</v>
      </c>
      <c r="P1127" s="2"/>
      <c r="Q1127" s="2">
        <f>L1127*1000</f>
        <v>290.97391304347826</v>
      </c>
      <c r="R1127" s="28">
        <v>16.666666666666668</v>
      </c>
    </row>
    <row r="1128" spans="1:18" hidden="1" x14ac:dyDescent="0.25">
      <c r="A1128" s="16">
        <v>45689</v>
      </c>
      <c r="B1128" s="10" t="s">
        <v>142</v>
      </c>
      <c r="C1128" s="10">
        <v>250</v>
      </c>
      <c r="D1128" s="19">
        <v>0.5</v>
      </c>
      <c r="E1128" s="11">
        <v>0.32200000000000001</v>
      </c>
      <c r="F1128" s="10">
        <f t="shared" si="192"/>
        <v>500</v>
      </c>
      <c r="G1128" s="10">
        <f t="shared" si="195"/>
        <v>0.25</v>
      </c>
      <c r="H1128" s="12">
        <f t="shared" si="196"/>
        <v>0.5</v>
      </c>
      <c r="I1128" s="12">
        <v>0.02</v>
      </c>
      <c r="J1128" s="12">
        <v>7.0000000000000007E-2</v>
      </c>
      <c r="K1128" s="12">
        <f t="shared" si="193"/>
        <v>0.18998000000000004</v>
      </c>
      <c r="L1128" s="12">
        <f t="shared" si="194"/>
        <v>0.77998000000000012</v>
      </c>
      <c r="M1128" s="12">
        <f>L1128*250</f>
        <v>194.99500000000003</v>
      </c>
      <c r="N1128" s="12"/>
      <c r="O1128" s="12"/>
      <c r="P1128" s="12"/>
      <c r="Q1128" s="12"/>
      <c r="R1128" s="28">
        <v>16.666666666666668</v>
      </c>
    </row>
    <row r="1129" spans="1:18" hidden="1" x14ac:dyDescent="0.25">
      <c r="A1129" s="16">
        <v>45689</v>
      </c>
      <c r="B1129" s="10" t="s">
        <v>202</v>
      </c>
      <c r="C1129" s="10">
        <v>250</v>
      </c>
      <c r="D1129" s="19">
        <v>0.5</v>
      </c>
      <c r="E1129" s="11">
        <v>0.17</v>
      </c>
      <c r="F1129" s="10">
        <f t="shared" si="192"/>
        <v>500</v>
      </c>
      <c r="G1129" s="10">
        <f t="shared" si="195"/>
        <v>0.25</v>
      </c>
      <c r="H1129" s="12">
        <f t="shared" si="196"/>
        <v>0.5</v>
      </c>
      <c r="I1129" s="12">
        <v>0.02</v>
      </c>
      <c r="J1129" s="12">
        <v>7.0000000000000007E-2</v>
      </c>
      <c r="K1129" s="12">
        <f t="shared" si="193"/>
        <v>0.10030000000000001</v>
      </c>
      <c r="L1129" s="12">
        <f t="shared" si="194"/>
        <v>0.69030000000000014</v>
      </c>
      <c r="M1129" s="12"/>
      <c r="N1129" s="12"/>
      <c r="O1129" s="12">
        <f>L1129*500</f>
        <v>345.15000000000009</v>
      </c>
      <c r="P1129" s="12"/>
      <c r="Q1129" s="12"/>
      <c r="R1129" s="28"/>
    </row>
    <row r="1130" spans="1:18" hidden="1" x14ac:dyDescent="0.25">
      <c r="A1130" s="16">
        <v>45689</v>
      </c>
      <c r="B1130" s="2" t="s">
        <v>40</v>
      </c>
      <c r="C1130" s="2">
        <v>250</v>
      </c>
      <c r="D1130" s="19">
        <v>0.03</v>
      </c>
      <c r="E1130" s="11">
        <v>0.01</v>
      </c>
      <c r="F1130" s="10">
        <f t="shared" ref="F1130:F1316" si="197">1000-1000*D1130</f>
        <v>970</v>
      </c>
      <c r="G1130" s="10">
        <f t="shared" ref="G1130:G1232" si="198">C1130/1000</f>
        <v>0.25</v>
      </c>
      <c r="H1130" s="12">
        <f t="shared" ref="H1130:H1232" si="199">C1130/F1130</f>
        <v>0.25773195876288657</v>
      </c>
      <c r="I1130" s="12">
        <v>0.02</v>
      </c>
      <c r="J1130" s="12">
        <v>7.0000000000000007E-2</v>
      </c>
      <c r="K1130" s="12">
        <f t="shared" ref="K1130:K1232" si="200">SUM(H1130:J1130)*E1130</f>
        <v>3.4773195876288661E-3</v>
      </c>
      <c r="L1130" s="12">
        <f t="shared" ref="L1130:L1232" si="201">SUM(H1130:K1130)</f>
        <v>0.35120927835051546</v>
      </c>
      <c r="M1130" s="2"/>
      <c r="N1130" s="2"/>
      <c r="O1130" s="12">
        <f>L1130*500</f>
        <v>175.60463917525774</v>
      </c>
      <c r="P1130" s="2"/>
      <c r="Q1130" s="2"/>
      <c r="R1130" s="28">
        <v>16.666666666666668</v>
      </c>
    </row>
    <row r="1131" spans="1:18" hidden="1" x14ac:dyDescent="0.25">
      <c r="A1131" s="16">
        <v>45689</v>
      </c>
      <c r="B1131" s="2" t="s">
        <v>104</v>
      </c>
      <c r="C1131" s="2">
        <v>130</v>
      </c>
      <c r="D1131" s="19">
        <v>0.65</v>
      </c>
      <c r="E1131" s="11">
        <v>0.52</v>
      </c>
      <c r="F1131" s="2">
        <f t="shared" si="197"/>
        <v>350</v>
      </c>
      <c r="G1131" s="2">
        <f t="shared" si="198"/>
        <v>0.13</v>
      </c>
      <c r="H1131" s="2">
        <f t="shared" si="199"/>
        <v>0.37142857142857144</v>
      </c>
      <c r="I1131" s="12">
        <v>0.02</v>
      </c>
      <c r="J1131" s="12">
        <v>7.0000000000000007E-2</v>
      </c>
      <c r="K1131" s="12">
        <f t="shared" si="200"/>
        <v>0.23994285714285718</v>
      </c>
      <c r="L1131" s="12">
        <f t="shared" si="201"/>
        <v>0.70137142857142865</v>
      </c>
      <c r="M1131" s="2">
        <f>L1131*250</f>
        <v>175.34285714285716</v>
      </c>
      <c r="N1131" s="2"/>
      <c r="O1131" s="2">
        <f>L1131*500</f>
        <v>350.68571428571431</v>
      </c>
      <c r="P1131" s="2"/>
      <c r="Q1131" s="2">
        <f t="shared" ref="Q1131:Q1132" si="202">L1131*1000</f>
        <v>701.37142857142862</v>
      </c>
      <c r="R1131" s="28">
        <v>16.666666666666668</v>
      </c>
    </row>
    <row r="1132" spans="1:18" hidden="1" x14ac:dyDescent="0.25">
      <c r="A1132" s="16">
        <v>45689</v>
      </c>
      <c r="B1132" s="2" t="s">
        <v>199</v>
      </c>
      <c r="C1132" s="2">
        <v>130</v>
      </c>
      <c r="D1132" s="19">
        <v>0.65</v>
      </c>
      <c r="E1132" s="11">
        <v>0.41</v>
      </c>
      <c r="F1132" s="2">
        <f t="shared" si="197"/>
        <v>350</v>
      </c>
      <c r="G1132" s="2">
        <f t="shared" si="198"/>
        <v>0.13</v>
      </c>
      <c r="H1132" s="2">
        <f t="shared" si="199"/>
        <v>0.37142857142857144</v>
      </c>
      <c r="I1132" s="12">
        <v>0.02</v>
      </c>
      <c r="J1132" s="12">
        <v>7.0000000000000007E-2</v>
      </c>
      <c r="K1132" s="12">
        <f t="shared" si="200"/>
        <v>0.18918571428571429</v>
      </c>
      <c r="L1132" s="12">
        <f t="shared" si="201"/>
        <v>0.65061428571428581</v>
      </c>
      <c r="M1132" s="2"/>
      <c r="N1132" s="2"/>
      <c r="O1132" s="2">
        <f>L1132*500</f>
        <v>325.30714285714288</v>
      </c>
      <c r="P1132" s="2"/>
      <c r="Q1132" s="2">
        <f t="shared" si="202"/>
        <v>650.61428571428576</v>
      </c>
      <c r="R1132" s="28">
        <v>16.666666666666668</v>
      </c>
    </row>
    <row r="1133" spans="1:18" hidden="1" x14ac:dyDescent="0.25">
      <c r="A1133" s="16">
        <v>45689</v>
      </c>
      <c r="B1133" s="2" t="s">
        <v>90</v>
      </c>
      <c r="C1133" s="2">
        <v>380</v>
      </c>
      <c r="D1133" s="19">
        <v>0.21</v>
      </c>
      <c r="E1133" s="11">
        <v>0.14000000000000001</v>
      </c>
      <c r="F1133" s="2">
        <f t="shared" si="197"/>
        <v>790</v>
      </c>
      <c r="G1133" s="2">
        <f t="shared" si="198"/>
        <v>0.38</v>
      </c>
      <c r="H1133" s="2">
        <f t="shared" si="199"/>
        <v>0.48101265822784811</v>
      </c>
      <c r="I1133" s="12">
        <v>0.02</v>
      </c>
      <c r="J1133" s="12">
        <v>7.0000000000000007E-2</v>
      </c>
      <c r="K1133" s="12">
        <f t="shared" si="200"/>
        <v>7.9941772151898738E-2</v>
      </c>
      <c r="L1133" s="12">
        <f t="shared" si="201"/>
        <v>0.65095443037974676</v>
      </c>
      <c r="M1133" s="2"/>
      <c r="N1133" s="2"/>
      <c r="O1133" s="2">
        <f t="shared" ref="O1133:O1134" si="203">L1133*500</f>
        <v>325.47721518987339</v>
      </c>
      <c r="P1133" s="2"/>
      <c r="Q1133" s="2"/>
      <c r="R1133" s="28">
        <v>16.666666666666668</v>
      </c>
    </row>
    <row r="1134" spans="1:18" hidden="1" x14ac:dyDescent="0.25">
      <c r="A1134" s="16">
        <v>45689</v>
      </c>
      <c r="B1134" s="2" t="s">
        <v>91</v>
      </c>
      <c r="C1134" s="2">
        <v>380</v>
      </c>
      <c r="D1134" s="19">
        <v>0.21</v>
      </c>
      <c r="E1134" s="11">
        <v>0.21</v>
      </c>
      <c r="F1134" s="2">
        <f t="shared" si="197"/>
        <v>790</v>
      </c>
      <c r="G1134" s="2">
        <f t="shared" si="198"/>
        <v>0.38</v>
      </c>
      <c r="H1134" s="2">
        <f t="shared" si="199"/>
        <v>0.48101265822784811</v>
      </c>
      <c r="I1134" s="12">
        <v>0.02</v>
      </c>
      <c r="J1134" s="12">
        <v>7.0000000000000007E-2</v>
      </c>
      <c r="K1134" s="12">
        <f t="shared" si="200"/>
        <v>0.11991265822784809</v>
      </c>
      <c r="L1134" s="12">
        <f t="shared" si="201"/>
        <v>0.69092531645569621</v>
      </c>
      <c r="M1134" s="2"/>
      <c r="N1134" s="2"/>
      <c r="O1134" s="2">
        <f t="shared" si="203"/>
        <v>345.46265822784812</v>
      </c>
      <c r="P1134" s="2"/>
      <c r="Q1134" s="2"/>
      <c r="R1134" s="28">
        <v>16.666666666666668</v>
      </c>
    </row>
    <row r="1135" spans="1:18" hidden="1" x14ac:dyDescent="0.25">
      <c r="A1135" s="16">
        <v>45689</v>
      </c>
      <c r="B1135" s="2" t="s">
        <v>160</v>
      </c>
      <c r="C1135" s="2">
        <v>620</v>
      </c>
      <c r="D1135" s="19">
        <v>0.46</v>
      </c>
      <c r="E1135" s="11">
        <v>0.124</v>
      </c>
      <c r="F1135" s="2">
        <f t="shared" si="197"/>
        <v>540</v>
      </c>
      <c r="G1135" s="2">
        <f t="shared" si="198"/>
        <v>0.62</v>
      </c>
      <c r="H1135" s="2">
        <f t="shared" si="199"/>
        <v>1.1481481481481481</v>
      </c>
      <c r="I1135" s="12">
        <v>0.02</v>
      </c>
      <c r="J1135" s="12">
        <v>7.0000000000000007E-2</v>
      </c>
      <c r="K1135" s="12">
        <f t="shared" si="200"/>
        <v>0.15353037037037037</v>
      </c>
      <c r="L1135" s="12">
        <f t="shared" si="201"/>
        <v>1.3916785185185185</v>
      </c>
      <c r="M1135" s="2"/>
      <c r="N1135" s="2"/>
      <c r="O1135" s="2">
        <f>L1135*500</f>
        <v>695.83925925925928</v>
      </c>
      <c r="P1135" s="2"/>
      <c r="Q1135" s="2"/>
      <c r="R1135" s="28">
        <v>16.666666666666668</v>
      </c>
    </row>
    <row r="1136" spans="1:18" hidden="1" x14ac:dyDescent="0.25">
      <c r="A1136" s="16">
        <v>45689</v>
      </c>
      <c r="B1136" s="2" t="s">
        <v>111</v>
      </c>
      <c r="C1136" s="2">
        <v>620</v>
      </c>
      <c r="D1136" s="19">
        <v>0.46</v>
      </c>
      <c r="E1136" s="11">
        <v>0.115</v>
      </c>
      <c r="F1136" s="2">
        <f t="shared" si="197"/>
        <v>540</v>
      </c>
      <c r="G1136" s="2">
        <f t="shared" si="198"/>
        <v>0.62</v>
      </c>
      <c r="H1136" s="2">
        <f t="shared" si="199"/>
        <v>1.1481481481481481</v>
      </c>
      <c r="I1136" s="12">
        <v>0.02</v>
      </c>
      <c r="J1136" s="12">
        <v>7.0000000000000007E-2</v>
      </c>
      <c r="K1136" s="12">
        <f t="shared" si="200"/>
        <v>0.14238703703703706</v>
      </c>
      <c r="L1136" s="12">
        <f t="shared" si="201"/>
        <v>1.3805351851851853</v>
      </c>
      <c r="M1136" s="2">
        <f>L1136*250</f>
        <v>345.13379629629634</v>
      </c>
      <c r="N1136" s="2"/>
      <c r="O1136" s="2"/>
      <c r="P1136" s="2"/>
      <c r="Q1136" s="2"/>
      <c r="R1136" s="28">
        <v>16.666666666666668</v>
      </c>
    </row>
    <row r="1137" spans="1:18" hidden="1" x14ac:dyDescent="0.25">
      <c r="A1137" s="16">
        <v>45690</v>
      </c>
      <c r="B1137" s="2" t="s">
        <v>110</v>
      </c>
      <c r="C1137" s="2">
        <v>100</v>
      </c>
      <c r="D1137" s="19">
        <v>0</v>
      </c>
      <c r="E1137" s="11">
        <v>0.53</v>
      </c>
      <c r="F1137" s="2">
        <f t="shared" si="197"/>
        <v>1000</v>
      </c>
      <c r="G1137" s="2">
        <f t="shared" si="198"/>
        <v>0.1</v>
      </c>
      <c r="H1137" s="2">
        <f t="shared" si="199"/>
        <v>0.1</v>
      </c>
      <c r="I1137" s="12">
        <v>0.02</v>
      </c>
      <c r="J1137" s="12">
        <v>7.0000000000000007E-2</v>
      </c>
      <c r="K1137" s="12">
        <f t="shared" si="200"/>
        <v>0.10070000000000001</v>
      </c>
      <c r="L1137" s="12">
        <f t="shared" si="201"/>
        <v>0.29070000000000001</v>
      </c>
      <c r="M1137" s="2"/>
      <c r="N1137" s="2"/>
      <c r="O1137" s="2">
        <f>L1137*500</f>
        <v>145.35</v>
      </c>
      <c r="P1137" s="2"/>
      <c r="Q1137" s="2">
        <f>L1137*1000</f>
        <v>290.7</v>
      </c>
      <c r="R1137" s="28">
        <v>16.666666666666668</v>
      </c>
    </row>
    <row r="1138" spans="1:18" hidden="1" x14ac:dyDescent="0.25">
      <c r="A1138" s="16">
        <v>45690</v>
      </c>
      <c r="B1138" s="10" t="s">
        <v>155</v>
      </c>
      <c r="C1138" s="10">
        <v>240</v>
      </c>
      <c r="D1138" s="19">
        <v>0.51</v>
      </c>
      <c r="E1138" s="11">
        <v>0.35</v>
      </c>
      <c r="F1138" s="10">
        <f t="shared" si="197"/>
        <v>490</v>
      </c>
      <c r="G1138" s="10">
        <f t="shared" si="198"/>
        <v>0.24</v>
      </c>
      <c r="H1138" s="12">
        <f t="shared" si="199"/>
        <v>0.48979591836734693</v>
      </c>
      <c r="I1138" s="12">
        <v>0.02</v>
      </c>
      <c r="J1138" s="12">
        <v>7.0000000000000007E-2</v>
      </c>
      <c r="K1138" s="12">
        <f t="shared" si="200"/>
        <v>0.2029285714285714</v>
      </c>
      <c r="L1138" s="12">
        <f t="shared" si="201"/>
        <v>0.78272448979591824</v>
      </c>
      <c r="M1138" s="12">
        <f>L1138*250</f>
        <v>195.68112244897955</v>
      </c>
      <c r="N1138" s="12"/>
      <c r="O1138" s="12"/>
      <c r="P1138" s="12"/>
      <c r="Q1138" s="12"/>
      <c r="R1138" s="28">
        <v>16.666666666666668</v>
      </c>
    </row>
    <row r="1139" spans="1:18" hidden="1" x14ac:dyDescent="0.25">
      <c r="A1139" s="16">
        <v>45690</v>
      </c>
      <c r="B1139" s="2" t="s">
        <v>152</v>
      </c>
      <c r="C1139" s="2">
        <v>180</v>
      </c>
      <c r="D1139" s="19">
        <v>0.05</v>
      </c>
      <c r="E1139" s="11">
        <v>0.3</v>
      </c>
      <c r="F1139" s="2">
        <f t="shared" si="197"/>
        <v>950</v>
      </c>
      <c r="G1139" s="2">
        <f t="shared" si="198"/>
        <v>0.18</v>
      </c>
      <c r="H1139" s="2">
        <f t="shared" si="199"/>
        <v>0.18947368421052632</v>
      </c>
      <c r="I1139" s="12">
        <v>0.02</v>
      </c>
      <c r="J1139" s="12">
        <v>7.0000000000000007E-2</v>
      </c>
      <c r="K1139" s="12">
        <f t="shared" si="200"/>
        <v>8.3842105263157898E-2</v>
      </c>
      <c r="L1139" s="12">
        <f t="shared" si="201"/>
        <v>0.3633157894736842</v>
      </c>
      <c r="M1139" s="2"/>
      <c r="N1139" s="2"/>
      <c r="O1139" s="2">
        <f>L1139*400</f>
        <v>145.32631578947368</v>
      </c>
      <c r="P1139" s="2"/>
      <c r="Q1139" s="2"/>
      <c r="R1139" s="28">
        <v>16.666666666666668</v>
      </c>
    </row>
    <row r="1140" spans="1:18" hidden="1" x14ac:dyDescent="0.25">
      <c r="A1140" s="16">
        <v>45690</v>
      </c>
      <c r="B1140" s="2" t="s">
        <v>137</v>
      </c>
      <c r="C1140" s="2">
        <v>180</v>
      </c>
      <c r="D1140" s="19">
        <v>0.05</v>
      </c>
      <c r="E1140" s="11">
        <v>0.27</v>
      </c>
      <c r="F1140" s="2">
        <f t="shared" si="197"/>
        <v>950</v>
      </c>
      <c r="G1140" s="2">
        <f t="shared" si="198"/>
        <v>0.18</v>
      </c>
      <c r="H1140" s="2">
        <f t="shared" si="199"/>
        <v>0.18947368421052632</v>
      </c>
      <c r="I1140" s="12">
        <v>0.02</v>
      </c>
      <c r="J1140" s="12">
        <v>7.0000000000000007E-2</v>
      </c>
      <c r="K1140" s="12">
        <f t="shared" si="200"/>
        <v>7.5457894736842113E-2</v>
      </c>
      <c r="L1140" s="12">
        <f t="shared" si="201"/>
        <v>0.35493157894736843</v>
      </c>
      <c r="M1140" s="2"/>
      <c r="N1140" s="2"/>
      <c r="O1140" s="2">
        <f>L1140*550</f>
        <v>195.21236842105264</v>
      </c>
      <c r="P1140" s="2"/>
      <c r="Q1140" s="2"/>
      <c r="R1140" s="28">
        <v>16.666666666666668</v>
      </c>
    </row>
    <row r="1141" spans="1:18" hidden="1" x14ac:dyDescent="0.25">
      <c r="A1141" s="16">
        <v>45690</v>
      </c>
      <c r="B1141" s="2" t="s">
        <v>94</v>
      </c>
      <c r="C1141" s="2">
        <v>320</v>
      </c>
      <c r="D1141" s="19">
        <v>0.16</v>
      </c>
      <c r="E1141" s="11">
        <v>4.2000000000000003E-2</v>
      </c>
      <c r="F1141" s="2">
        <f t="shared" si="197"/>
        <v>840</v>
      </c>
      <c r="G1141" s="2">
        <f t="shared" si="198"/>
        <v>0.32</v>
      </c>
      <c r="H1141" s="2">
        <f t="shared" si="199"/>
        <v>0.38095238095238093</v>
      </c>
      <c r="I1141" s="12">
        <v>0.02</v>
      </c>
      <c r="J1141" s="12">
        <v>7.0000000000000007E-2</v>
      </c>
      <c r="K1141" s="12">
        <f t="shared" si="200"/>
        <v>1.9780000000000002E-2</v>
      </c>
      <c r="L1141" s="12">
        <f t="shared" si="201"/>
        <v>0.49073238095238098</v>
      </c>
      <c r="M1141" s="2"/>
      <c r="N1141" s="2"/>
      <c r="O1141" s="2">
        <f t="shared" ref="O1141:O1142" si="204">L1141*500</f>
        <v>245.3661904761905</v>
      </c>
      <c r="P1141" s="2"/>
      <c r="Q1141" s="2"/>
      <c r="R1141" s="28">
        <v>16.666666666666668</v>
      </c>
    </row>
    <row r="1142" spans="1:18" hidden="1" x14ac:dyDescent="0.25">
      <c r="A1142" s="16">
        <v>45690</v>
      </c>
      <c r="B1142" s="2" t="s">
        <v>154</v>
      </c>
      <c r="C1142" s="2">
        <v>320</v>
      </c>
      <c r="D1142" s="19">
        <v>0.16</v>
      </c>
      <c r="E1142" s="11">
        <v>4.2000000000000003E-2</v>
      </c>
      <c r="F1142" s="2">
        <f t="shared" si="197"/>
        <v>840</v>
      </c>
      <c r="G1142" s="2">
        <f t="shared" si="198"/>
        <v>0.32</v>
      </c>
      <c r="H1142" s="2">
        <f t="shared" si="199"/>
        <v>0.38095238095238093</v>
      </c>
      <c r="I1142" s="12">
        <v>0.02</v>
      </c>
      <c r="J1142" s="12">
        <v>7.0000000000000007E-2</v>
      </c>
      <c r="K1142" s="12">
        <f t="shared" si="200"/>
        <v>1.9780000000000002E-2</v>
      </c>
      <c r="L1142" s="12">
        <f t="shared" si="201"/>
        <v>0.49073238095238098</v>
      </c>
      <c r="M1142" s="2"/>
      <c r="N1142" s="2"/>
      <c r="O1142" s="2">
        <f t="shared" si="204"/>
        <v>245.3661904761905</v>
      </c>
      <c r="P1142" s="2"/>
      <c r="Q1142" s="2"/>
      <c r="R1142" s="28">
        <v>16.666666666666668</v>
      </c>
    </row>
    <row r="1143" spans="1:18" hidden="1" x14ac:dyDescent="0.25">
      <c r="A1143" s="16">
        <v>45690</v>
      </c>
      <c r="B1143" s="2" t="s">
        <v>204</v>
      </c>
      <c r="C1143" s="2">
        <v>680</v>
      </c>
      <c r="D1143" s="19">
        <v>0.38</v>
      </c>
      <c r="E1143" s="11">
        <v>0.17199999999999999</v>
      </c>
      <c r="F1143" s="2">
        <f t="shared" si="197"/>
        <v>620</v>
      </c>
      <c r="G1143" s="2">
        <f t="shared" si="198"/>
        <v>0.68</v>
      </c>
      <c r="H1143" s="2">
        <f t="shared" si="199"/>
        <v>1.096774193548387</v>
      </c>
      <c r="I1143" s="12">
        <v>0.02</v>
      </c>
      <c r="J1143" s="12">
        <v>7.0000000000000007E-2</v>
      </c>
      <c r="K1143" s="12">
        <f t="shared" si="200"/>
        <v>0.20412516129032257</v>
      </c>
      <c r="L1143" s="12">
        <f t="shared" si="201"/>
        <v>1.3908993548387096</v>
      </c>
      <c r="M1143" s="2" t="s">
        <v>72</v>
      </c>
      <c r="N1143" s="2"/>
      <c r="O1143" s="2">
        <f>L1143*500</f>
        <v>695.44967741935477</v>
      </c>
      <c r="P1143" s="2"/>
      <c r="Q1143" s="2">
        <f>L1143*1000</f>
        <v>1390.8993548387095</v>
      </c>
      <c r="R1143" s="28">
        <f>K1143/L1143%</f>
        <v>14.675767918088738</v>
      </c>
    </row>
    <row r="1144" spans="1:18" hidden="1" x14ac:dyDescent="0.25">
      <c r="A1144" s="16">
        <v>45690</v>
      </c>
      <c r="B1144" s="2" t="s">
        <v>205</v>
      </c>
      <c r="C1144" s="2">
        <v>680</v>
      </c>
      <c r="D1144" s="19">
        <v>0.38</v>
      </c>
      <c r="E1144" s="11">
        <v>0.16400000000000001</v>
      </c>
      <c r="F1144" s="2">
        <f t="shared" si="197"/>
        <v>620</v>
      </c>
      <c r="G1144" s="2">
        <f t="shared" si="198"/>
        <v>0.68</v>
      </c>
      <c r="H1144" s="2">
        <f t="shared" si="199"/>
        <v>1.096774193548387</v>
      </c>
      <c r="I1144" s="12">
        <v>0.02</v>
      </c>
      <c r="J1144" s="12">
        <v>7.0000000000000007E-2</v>
      </c>
      <c r="K1144" s="12">
        <f t="shared" si="200"/>
        <v>0.1946309677419355</v>
      </c>
      <c r="L1144" s="12">
        <f t="shared" si="201"/>
        <v>1.3814051612903226</v>
      </c>
      <c r="M1144" s="2">
        <f>L1144*250</f>
        <v>345.35129032258067</v>
      </c>
      <c r="N1144" s="2"/>
      <c r="O1144" s="2"/>
      <c r="P1144" s="2"/>
      <c r="Q1144" s="2">
        <f>L1144*1000</f>
        <v>1381.4051612903227</v>
      </c>
      <c r="R1144" s="28">
        <f>K1144/L1144%</f>
        <v>14.0893470790378</v>
      </c>
    </row>
    <row r="1145" spans="1:18" hidden="1" x14ac:dyDescent="0.25">
      <c r="A1145" s="16">
        <v>45690</v>
      </c>
      <c r="B1145" s="2" t="s">
        <v>160</v>
      </c>
      <c r="C1145" s="2">
        <v>620</v>
      </c>
      <c r="D1145" s="19">
        <v>0.3</v>
      </c>
      <c r="E1145" s="11">
        <v>0.42499999999999999</v>
      </c>
      <c r="F1145" s="2">
        <f t="shared" si="197"/>
        <v>700</v>
      </c>
      <c r="G1145" s="2">
        <f t="shared" si="198"/>
        <v>0.62</v>
      </c>
      <c r="H1145" s="2">
        <f t="shared" si="199"/>
        <v>0.88571428571428568</v>
      </c>
      <c r="I1145" s="12">
        <v>0.02</v>
      </c>
      <c r="J1145" s="12">
        <v>7.0000000000000007E-2</v>
      </c>
      <c r="K1145" s="12">
        <f t="shared" si="200"/>
        <v>0.41467857142857145</v>
      </c>
      <c r="L1145" s="12">
        <f t="shared" si="201"/>
        <v>1.3903928571428572</v>
      </c>
      <c r="M1145" s="2"/>
      <c r="N1145" s="2"/>
      <c r="O1145" s="12">
        <f>L1145*500</f>
        <v>695.19642857142856</v>
      </c>
      <c r="P1145" s="2"/>
      <c r="Q1145" s="2"/>
      <c r="R1145" s="28">
        <v>16.666666666666668</v>
      </c>
    </row>
    <row r="1146" spans="1:18" hidden="1" x14ac:dyDescent="0.25">
      <c r="A1146" s="16">
        <v>45690</v>
      </c>
      <c r="B1146" s="2" t="s">
        <v>111</v>
      </c>
      <c r="C1146" s="2">
        <v>620</v>
      </c>
      <c r="D1146" s="19">
        <v>0.3</v>
      </c>
      <c r="E1146" s="11">
        <v>0.41499999999999998</v>
      </c>
      <c r="F1146" s="2">
        <f t="shared" si="197"/>
        <v>700</v>
      </c>
      <c r="G1146" s="2">
        <f t="shared" si="198"/>
        <v>0.62</v>
      </c>
      <c r="H1146" s="2">
        <f t="shared" si="199"/>
        <v>0.88571428571428568</v>
      </c>
      <c r="I1146" s="12">
        <v>0.02</v>
      </c>
      <c r="J1146" s="12">
        <v>7.0000000000000007E-2</v>
      </c>
      <c r="K1146" s="12">
        <f t="shared" si="200"/>
        <v>0.40492142857142854</v>
      </c>
      <c r="L1146" s="12">
        <f t="shared" si="201"/>
        <v>1.3806357142857144</v>
      </c>
      <c r="M1146" s="2">
        <f>L1146*250</f>
        <v>345.15892857142859</v>
      </c>
      <c r="N1146" s="2"/>
      <c r="O1146" s="2"/>
      <c r="P1146" s="2"/>
      <c r="Q1146" s="2"/>
      <c r="R1146" s="28">
        <v>16.666666666666668</v>
      </c>
    </row>
    <row r="1147" spans="1:18" hidden="1" x14ac:dyDescent="0.25">
      <c r="A1147" s="16">
        <v>45690</v>
      </c>
      <c r="B1147" s="2" t="s">
        <v>92</v>
      </c>
      <c r="C1147" s="2">
        <v>430</v>
      </c>
      <c r="D1147" s="19">
        <v>0</v>
      </c>
      <c r="E1147" s="11">
        <v>0.25</v>
      </c>
      <c r="F1147" s="2">
        <f t="shared" si="197"/>
        <v>1000</v>
      </c>
      <c r="G1147" s="2">
        <f t="shared" si="198"/>
        <v>0.43</v>
      </c>
      <c r="H1147" s="2">
        <f t="shared" si="199"/>
        <v>0.43</v>
      </c>
      <c r="I1147" s="12">
        <v>0.02</v>
      </c>
      <c r="J1147" s="12">
        <v>7.0000000000000007E-2</v>
      </c>
      <c r="K1147" s="12">
        <f t="shared" si="200"/>
        <v>0.13</v>
      </c>
      <c r="L1147" s="12">
        <f t="shared" si="201"/>
        <v>0.65</v>
      </c>
      <c r="M1147" s="2"/>
      <c r="N1147" s="2"/>
      <c r="O1147" s="2">
        <f>L1147*500</f>
        <v>325</v>
      </c>
      <c r="P1147" s="2"/>
      <c r="Q1147" s="2"/>
      <c r="R1147" s="28">
        <v>16.666666666666668</v>
      </c>
    </row>
    <row r="1148" spans="1:18" hidden="1" x14ac:dyDescent="0.25">
      <c r="A1148" s="16">
        <v>45690</v>
      </c>
      <c r="B1148" s="2" t="s">
        <v>185</v>
      </c>
      <c r="C1148" s="2">
        <v>350</v>
      </c>
      <c r="D1148" s="19">
        <v>0</v>
      </c>
      <c r="E1148" s="11">
        <v>0.34499999999999997</v>
      </c>
      <c r="F1148" s="2">
        <f t="shared" si="197"/>
        <v>1000</v>
      </c>
      <c r="G1148" s="2">
        <f t="shared" si="198"/>
        <v>0.35</v>
      </c>
      <c r="H1148" s="2">
        <f t="shared" si="199"/>
        <v>0.35</v>
      </c>
      <c r="I1148" s="12">
        <v>0.02</v>
      </c>
      <c r="J1148" s="12">
        <v>7.0000000000000007E-2</v>
      </c>
      <c r="K1148" s="12">
        <f t="shared" si="200"/>
        <v>0.15179999999999999</v>
      </c>
      <c r="L1148" s="12">
        <f t="shared" si="201"/>
        <v>0.59179999999999999</v>
      </c>
      <c r="M1148" s="2"/>
      <c r="N1148" s="2"/>
      <c r="O1148" s="2">
        <f>L1148*500</f>
        <v>295.89999999999998</v>
      </c>
      <c r="P1148" s="2"/>
      <c r="Q1148" s="2"/>
      <c r="R1148" s="28">
        <v>16.666666666666668</v>
      </c>
    </row>
    <row r="1149" spans="1:18" hidden="1" x14ac:dyDescent="0.25">
      <c r="A1149" s="16">
        <v>45692</v>
      </c>
      <c r="B1149" s="2" t="s">
        <v>205</v>
      </c>
      <c r="C1149" s="2">
        <v>700</v>
      </c>
      <c r="D1149" s="19">
        <v>0.43</v>
      </c>
      <c r="E1149" s="11">
        <v>0.05</v>
      </c>
      <c r="F1149" s="2">
        <f t="shared" si="197"/>
        <v>570</v>
      </c>
      <c r="G1149" s="2">
        <f t="shared" si="198"/>
        <v>0.7</v>
      </c>
      <c r="H1149" s="2">
        <f t="shared" si="199"/>
        <v>1.2280701754385965</v>
      </c>
      <c r="I1149" s="12">
        <v>0.02</v>
      </c>
      <c r="J1149" s="12">
        <v>7.0000000000000007E-2</v>
      </c>
      <c r="K1149" s="12">
        <f t="shared" si="200"/>
        <v>6.5903508771929839E-2</v>
      </c>
      <c r="L1149" s="12">
        <f t="shared" si="201"/>
        <v>1.3839736842105264</v>
      </c>
      <c r="M1149" s="2">
        <f>L1149*250</f>
        <v>345.99342105263156</v>
      </c>
      <c r="N1149" s="2"/>
      <c r="O1149" s="2"/>
      <c r="P1149" s="2"/>
      <c r="Q1149" s="2"/>
      <c r="R1149" s="28">
        <v>16.666666666666668</v>
      </c>
    </row>
    <row r="1150" spans="1:18" hidden="1" x14ac:dyDescent="0.25">
      <c r="A1150" s="16">
        <v>45692</v>
      </c>
      <c r="B1150" s="2" t="s">
        <v>204</v>
      </c>
      <c r="C1150" s="2">
        <v>700</v>
      </c>
      <c r="D1150" s="19">
        <v>0.43</v>
      </c>
      <c r="E1150" s="11">
        <v>5.5E-2</v>
      </c>
      <c r="F1150" s="2">
        <f t="shared" si="197"/>
        <v>570</v>
      </c>
      <c r="G1150" s="2">
        <f t="shared" si="198"/>
        <v>0.7</v>
      </c>
      <c r="H1150" s="2">
        <f t="shared" si="199"/>
        <v>1.2280701754385965</v>
      </c>
      <c r="I1150" s="12">
        <v>0.02</v>
      </c>
      <c r="J1150" s="12">
        <v>7.0000000000000007E-2</v>
      </c>
      <c r="K1150" s="12">
        <f t="shared" si="200"/>
        <v>7.2493859649122819E-2</v>
      </c>
      <c r="L1150" s="12">
        <f t="shared" si="201"/>
        <v>1.3905640350877195</v>
      </c>
      <c r="M1150" s="2"/>
      <c r="N1150" s="2"/>
      <c r="O1150" s="2">
        <f t="shared" ref="O1150:O1157" si="205">L1150*500</f>
        <v>695.28201754385975</v>
      </c>
      <c r="P1150" s="2"/>
      <c r="Q1150" s="2"/>
      <c r="R1150" s="28"/>
    </row>
    <row r="1151" spans="1:18" hidden="1" x14ac:dyDescent="0.25">
      <c r="A1151" s="16">
        <v>45692</v>
      </c>
      <c r="B1151" s="2" t="s">
        <v>114</v>
      </c>
      <c r="C1151" s="2">
        <v>700</v>
      </c>
      <c r="D1151" s="19">
        <v>0.61</v>
      </c>
      <c r="E1151" s="11">
        <v>5.1999999999999998E-2</v>
      </c>
      <c r="F1151" s="2">
        <f t="shared" si="197"/>
        <v>390</v>
      </c>
      <c r="G1151" s="2">
        <f t="shared" si="198"/>
        <v>0.7</v>
      </c>
      <c r="H1151" s="2">
        <f t="shared" si="199"/>
        <v>1.7948717948717949</v>
      </c>
      <c r="I1151" s="12">
        <v>0.02</v>
      </c>
      <c r="J1151" s="12">
        <v>7.0000000000000007E-2</v>
      </c>
      <c r="K1151" s="12">
        <f t="shared" si="200"/>
        <v>9.8013333333333341E-2</v>
      </c>
      <c r="L1151" s="12">
        <f t="shared" si="201"/>
        <v>1.9828851282051283</v>
      </c>
      <c r="M1151" s="2">
        <f>L1151*250</f>
        <v>495.72128205128206</v>
      </c>
      <c r="N1151" s="2"/>
      <c r="O1151" s="2">
        <f t="shared" si="205"/>
        <v>991.44256410256412</v>
      </c>
      <c r="P1151" s="2"/>
      <c r="Q1151" s="2"/>
      <c r="R1151" s="28">
        <v>16.666666666666668</v>
      </c>
    </row>
    <row r="1152" spans="1:18" hidden="1" x14ac:dyDescent="0.25">
      <c r="A1152" s="16">
        <v>45692</v>
      </c>
      <c r="B1152" s="2" t="s">
        <v>192</v>
      </c>
      <c r="C1152" s="2">
        <v>480</v>
      </c>
      <c r="D1152" s="19">
        <v>0</v>
      </c>
      <c r="E1152" s="11">
        <v>0.21199999999999999</v>
      </c>
      <c r="F1152" s="2">
        <f t="shared" si="197"/>
        <v>1000</v>
      </c>
      <c r="G1152" s="2">
        <f t="shared" si="198"/>
        <v>0.48</v>
      </c>
      <c r="H1152" s="2">
        <f t="shared" si="199"/>
        <v>0.48</v>
      </c>
      <c r="I1152" s="12">
        <v>0.02</v>
      </c>
      <c r="J1152" s="12">
        <v>7.0000000000000007E-2</v>
      </c>
      <c r="K1152" s="12">
        <f t="shared" si="200"/>
        <v>0.12084</v>
      </c>
      <c r="L1152" s="12">
        <f t="shared" si="201"/>
        <v>0.69084000000000012</v>
      </c>
      <c r="M1152" s="2"/>
      <c r="N1152" s="2"/>
      <c r="O1152" s="2">
        <f t="shared" si="205"/>
        <v>345.42000000000007</v>
      </c>
      <c r="P1152" s="2"/>
      <c r="Q1152" s="2"/>
      <c r="R1152" s="28">
        <v>16.666666666666668</v>
      </c>
    </row>
    <row r="1153" spans="1:18" hidden="1" x14ac:dyDescent="0.25">
      <c r="A1153" s="16">
        <v>45692</v>
      </c>
      <c r="B1153" s="2" t="s">
        <v>196</v>
      </c>
      <c r="C1153" s="2">
        <v>360</v>
      </c>
      <c r="D1153" s="19">
        <v>0.18</v>
      </c>
      <c r="E1153" s="11">
        <v>0.23</v>
      </c>
      <c r="F1153" s="2">
        <f t="shared" si="197"/>
        <v>820</v>
      </c>
      <c r="G1153" s="2">
        <f t="shared" si="198"/>
        <v>0.36</v>
      </c>
      <c r="H1153" s="2">
        <f t="shared" si="199"/>
        <v>0.43902439024390244</v>
      </c>
      <c r="I1153" s="12">
        <v>0.02</v>
      </c>
      <c r="J1153" s="12">
        <v>7.0000000000000007E-2</v>
      </c>
      <c r="K1153" s="12">
        <f t="shared" si="200"/>
        <v>0.12167560975609758</v>
      </c>
      <c r="L1153" s="12">
        <f t="shared" si="201"/>
        <v>0.65070000000000006</v>
      </c>
      <c r="M1153" s="2"/>
      <c r="N1153" s="2"/>
      <c r="O1153" s="2">
        <f t="shared" si="205"/>
        <v>325.35000000000002</v>
      </c>
      <c r="P1153" s="2"/>
      <c r="Q1153" s="2"/>
      <c r="R1153" s="28">
        <v>16.666666666666668</v>
      </c>
    </row>
    <row r="1154" spans="1:18" hidden="1" x14ac:dyDescent="0.25">
      <c r="A1154" s="16">
        <v>45692</v>
      </c>
      <c r="B1154" s="2" t="s">
        <v>111</v>
      </c>
      <c r="C1154" s="2">
        <v>550</v>
      </c>
      <c r="D1154" s="19">
        <v>0.31</v>
      </c>
      <c r="E1154" s="11">
        <v>0.33200000000000002</v>
      </c>
      <c r="F1154" s="2">
        <f t="shared" si="197"/>
        <v>690</v>
      </c>
      <c r="G1154" s="2">
        <f t="shared" si="198"/>
        <v>0.55000000000000004</v>
      </c>
      <c r="H1154" s="2">
        <f t="shared" si="199"/>
        <v>0.79710144927536231</v>
      </c>
      <c r="I1154" s="12">
        <v>0.02</v>
      </c>
      <c r="J1154" s="12">
        <v>7.0000000000000007E-2</v>
      </c>
      <c r="K1154" s="12">
        <f t="shared" si="200"/>
        <v>0.29451768115942034</v>
      </c>
      <c r="L1154" s="12">
        <f t="shared" si="201"/>
        <v>1.1816191304347827</v>
      </c>
      <c r="M1154" s="2">
        <f>L1154*250</f>
        <v>295.40478260869565</v>
      </c>
      <c r="N1154" s="2"/>
      <c r="O1154" s="2">
        <f t="shared" si="205"/>
        <v>590.80956521739131</v>
      </c>
      <c r="P1154" s="2"/>
      <c r="Q1154" s="2"/>
      <c r="R1154" s="28">
        <v>16.666666666666668</v>
      </c>
    </row>
    <row r="1155" spans="1:18" hidden="1" x14ac:dyDescent="0.25">
      <c r="A1155" s="16">
        <v>45692</v>
      </c>
      <c r="B1155" s="2" t="s">
        <v>91</v>
      </c>
      <c r="C1155" s="2">
        <v>370</v>
      </c>
      <c r="D1155" s="19">
        <v>0.16</v>
      </c>
      <c r="E1155" s="11">
        <v>0.30199999999999999</v>
      </c>
      <c r="F1155" s="2">
        <f t="shared" si="197"/>
        <v>840</v>
      </c>
      <c r="G1155" s="2">
        <f t="shared" si="198"/>
        <v>0.37</v>
      </c>
      <c r="H1155" s="2">
        <f t="shared" si="199"/>
        <v>0.44047619047619047</v>
      </c>
      <c r="I1155" s="12">
        <v>0.02</v>
      </c>
      <c r="J1155" s="12">
        <v>7.0000000000000007E-2</v>
      </c>
      <c r="K1155" s="12">
        <f t="shared" si="200"/>
        <v>0.16020380952380953</v>
      </c>
      <c r="L1155" s="12">
        <f t="shared" si="201"/>
        <v>0.69068000000000007</v>
      </c>
      <c r="M1155" s="2"/>
      <c r="N1155" s="2"/>
      <c r="O1155" s="2">
        <f t="shared" si="205"/>
        <v>345.34000000000003</v>
      </c>
      <c r="P1155" s="2"/>
      <c r="Q1155" s="2"/>
      <c r="R1155" s="28">
        <v>16.666666666666668</v>
      </c>
    </row>
    <row r="1156" spans="1:18" hidden="1" x14ac:dyDescent="0.25">
      <c r="A1156" s="16">
        <v>45692</v>
      </c>
      <c r="B1156" s="2" t="s">
        <v>90</v>
      </c>
      <c r="C1156" s="2">
        <v>370</v>
      </c>
      <c r="D1156" s="19">
        <v>0.16</v>
      </c>
      <c r="E1156" s="11">
        <v>0.22600000000000001</v>
      </c>
      <c r="F1156" s="2">
        <f t="shared" si="197"/>
        <v>840</v>
      </c>
      <c r="G1156" s="2">
        <f t="shared" si="198"/>
        <v>0.37</v>
      </c>
      <c r="H1156" s="2">
        <f t="shared" si="199"/>
        <v>0.44047619047619047</v>
      </c>
      <c r="I1156" s="12">
        <v>0.02</v>
      </c>
      <c r="J1156" s="12">
        <v>7.0000000000000007E-2</v>
      </c>
      <c r="K1156" s="12">
        <f t="shared" si="200"/>
        <v>0.11988761904761906</v>
      </c>
      <c r="L1156" s="12">
        <f t="shared" si="201"/>
        <v>0.65036380952380957</v>
      </c>
      <c r="M1156" s="2"/>
      <c r="N1156" s="2"/>
      <c r="O1156" s="2">
        <f t="shared" si="205"/>
        <v>325.18190476190478</v>
      </c>
      <c r="P1156" s="2"/>
      <c r="Q1156" s="2"/>
      <c r="R1156" s="28">
        <v>16.666666666666668</v>
      </c>
    </row>
    <row r="1157" spans="1:18" hidden="1" x14ac:dyDescent="0.25">
      <c r="A1157" s="16">
        <v>45692</v>
      </c>
      <c r="B1157" s="2" t="s">
        <v>106</v>
      </c>
      <c r="C1157" s="2">
        <v>220</v>
      </c>
      <c r="D1157" s="19">
        <v>0</v>
      </c>
      <c r="E1157" s="11">
        <v>0.26</v>
      </c>
      <c r="F1157" s="2">
        <f t="shared" si="197"/>
        <v>1000</v>
      </c>
      <c r="G1157" s="2">
        <f t="shared" si="198"/>
        <v>0.22</v>
      </c>
      <c r="H1157" s="2">
        <f t="shared" si="199"/>
        <v>0.22</v>
      </c>
      <c r="I1157" s="12">
        <v>0.02</v>
      </c>
      <c r="J1157" s="12">
        <v>7.0000000000000007E-2</v>
      </c>
      <c r="K1157" s="12">
        <f t="shared" si="200"/>
        <v>8.0600000000000005E-2</v>
      </c>
      <c r="L1157" s="12">
        <f t="shared" si="201"/>
        <v>0.3906</v>
      </c>
      <c r="M1157" s="2"/>
      <c r="N1157" s="2"/>
      <c r="O1157" s="2">
        <f t="shared" si="205"/>
        <v>195.3</v>
      </c>
      <c r="P1157" s="2"/>
      <c r="Q1157" s="2"/>
      <c r="R1157" s="28">
        <v>16.666666666666668</v>
      </c>
    </row>
    <row r="1158" spans="1:18" hidden="1" x14ac:dyDescent="0.25">
      <c r="A1158" s="16">
        <v>45692</v>
      </c>
      <c r="B1158" s="2" t="s">
        <v>152</v>
      </c>
      <c r="C1158" s="2">
        <v>220</v>
      </c>
      <c r="D1158" s="19">
        <v>0</v>
      </c>
      <c r="E1158" s="11">
        <v>0.17</v>
      </c>
      <c r="F1158" s="2">
        <f t="shared" si="197"/>
        <v>1000</v>
      </c>
      <c r="G1158" s="2">
        <f t="shared" si="198"/>
        <v>0.22</v>
      </c>
      <c r="H1158" s="2">
        <f t="shared" si="199"/>
        <v>0.22</v>
      </c>
      <c r="I1158" s="12">
        <v>0.02</v>
      </c>
      <c r="J1158" s="12">
        <v>7.0000000000000007E-2</v>
      </c>
      <c r="K1158" s="12">
        <f t="shared" si="200"/>
        <v>5.2700000000000004E-2</v>
      </c>
      <c r="L1158" s="12">
        <f t="shared" si="201"/>
        <v>0.36270000000000002</v>
      </c>
      <c r="M1158" s="2"/>
      <c r="N1158" s="2"/>
      <c r="O1158" s="2">
        <f>L1158*400</f>
        <v>145.08000000000001</v>
      </c>
      <c r="P1158" s="2"/>
      <c r="Q1158" s="2"/>
      <c r="R1158" s="28">
        <v>16.666666666666668</v>
      </c>
    </row>
    <row r="1159" spans="1:18" hidden="1" x14ac:dyDescent="0.25">
      <c r="A1159" s="16">
        <v>45692</v>
      </c>
      <c r="B1159" s="2" t="s">
        <v>92</v>
      </c>
      <c r="C1159" s="2">
        <v>430</v>
      </c>
      <c r="D1159" s="19">
        <v>0</v>
      </c>
      <c r="E1159" s="11">
        <v>0.56499999999999995</v>
      </c>
      <c r="F1159" s="2">
        <f t="shared" si="197"/>
        <v>1000</v>
      </c>
      <c r="G1159" s="2">
        <f t="shared" si="198"/>
        <v>0.43</v>
      </c>
      <c r="H1159" s="2">
        <f t="shared" si="199"/>
        <v>0.43</v>
      </c>
      <c r="I1159" s="12">
        <v>0.02</v>
      </c>
      <c r="J1159" s="12">
        <v>7.0000000000000007E-2</v>
      </c>
      <c r="K1159" s="12">
        <f t="shared" si="200"/>
        <v>0.29380000000000001</v>
      </c>
      <c r="L1159" s="12">
        <f t="shared" si="201"/>
        <v>0.81380000000000008</v>
      </c>
      <c r="M1159" s="2"/>
      <c r="N1159" s="2"/>
      <c r="O1159" s="2">
        <f>L1159*400</f>
        <v>325.52000000000004</v>
      </c>
      <c r="P1159" s="2"/>
      <c r="Q1159" s="2"/>
      <c r="R1159" s="28">
        <v>16.666666666666668</v>
      </c>
    </row>
    <row r="1160" spans="1:18" hidden="1" x14ac:dyDescent="0.25">
      <c r="A1160" s="16">
        <v>45692</v>
      </c>
      <c r="B1160" s="2" t="s">
        <v>39</v>
      </c>
      <c r="C1160" s="2">
        <v>430</v>
      </c>
      <c r="D1160" s="19">
        <v>0</v>
      </c>
      <c r="E1160" s="11">
        <v>0.56499999999999995</v>
      </c>
      <c r="F1160" s="2">
        <f t="shared" si="197"/>
        <v>1000</v>
      </c>
      <c r="G1160" s="2">
        <f t="shared" si="198"/>
        <v>0.43</v>
      </c>
      <c r="H1160" s="2">
        <f t="shared" si="199"/>
        <v>0.43</v>
      </c>
      <c r="I1160" s="12">
        <v>0.02</v>
      </c>
      <c r="J1160" s="12">
        <v>7.0000000000000007E-2</v>
      </c>
      <c r="K1160" s="12">
        <f t="shared" si="200"/>
        <v>0.29380000000000001</v>
      </c>
      <c r="L1160" s="12">
        <f t="shared" si="201"/>
        <v>0.81380000000000008</v>
      </c>
      <c r="M1160" s="2"/>
      <c r="N1160" s="2"/>
      <c r="O1160" s="2">
        <f>L1160*400</f>
        <v>325.52000000000004</v>
      </c>
      <c r="P1160" s="2"/>
      <c r="Q1160" s="2"/>
      <c r="R1160" s="28">
        <v>16.666666666666668</v>
      </c>
    </row>
    <row r="1161" spans="1:18" hidden="1" x14ac:dyDescent="0.25">
      <c r="A1161" s="16">
        <v>45693</v>
      </c>
      <c r="B1161" s="2" t="s">
        <v>128</v>
      </c>
      <c r="C1161" s="2">
        <v>300</v>
      </c>
      <c r="D1161" s="19">
        <v>0.13</v>
      </c>
      <c r="E1161" s="11">
        <v>0.58199999999999996</v>
      </c>
      <c r="F1161" s="2">
        <f t="shared" si="197"/>
        <v>870</v>
      </c>
      <c r="G1161" s="2">
        <f t="shared" si="198"/>
        <v>0.3</v>
      </c>
      <c r="H1161" s="2">
        <f t="shared" si="199"/>
        <v>0.34482758620689657</v>
      </c>
      <c r="I1161" s="12">
        <v>0.02</v>
      </c>
      <c r="J1161" s="12">
        <v>7.0000000000000007E-2</v>
      </c>
      <c r="K1161" s="12">
        <f t="shared" si="200"/>
        <v>0.25306965517241381</v>
      </c>
      <c r="L1161" s="12">
        <f t="shared" si="201"/>
        <v>0.68789724137931041</v>
      </c>
      <c r="M1161" s="2"/>
      <c r="N1161" s="2"/>
      <c r="O1161" s="2">
        <f>L1161*400</f>
        <v>275.15889655172418</v>
      </c>
      <c r="P1161" s="2"/>
      <c r="Q1161" s="2"/>
      <c r="R1161" s="28">
        <v>16.666666666666668</v>
      </c>
    </row>
    <row r="1162" spans="1:18" s="7" customFormat="1" hidden="1" x14ac:dyDescent="0.25">
      <c r="A1162" s="16">
        <v>45693</v>
      </c>
      <c r="B1162" s="10" t="s">
        <v>125</v>
      </c>
      <c r="C1162" s="10">
        <v>250</v>
      </c>
      <c r="D1162" s="19">
        <v>0</v>
      </c>
      <c r="E1162" s="11">
        <v>0.44500000000000001</v>
      </c>
      <c r="F1162" s="10">
        <f t="shared" si="197"/>
        <v>1000</v>
      </c>
      <c r="G1162" s="10">
        <f t="shared" si="198"/>
        <v>0.25</v>
      </c>
      <c r="H1162" s="10">
        <f t="shared" si="199"/>
        <v>0.25</v>
      </c>
      <c r="I1162" s="12">
        <v>0.02</v>
      </c>
      <c r="J1162" s="12">
        <v>7.0000000000000007E-2</v>
      </c>
      <c r="K1162" s="12">
        <f t="shared" si="200"/>
        <v>0.15130000000000002</v>
      </c>
      <c r="L1162" s="12">
        <f t="shared" si="201"/>
        <v>0.49130000000000007</v>
      </c>
      <c r="M1162" s="10"/>
      <c r="N1162" s="10"/>
      <c r="O1162" s="10">
        <f>L1162*500</f>
        <v>245.65000000000003</v>
      </c>
      <c r="P1162" s="10"/>
      <c r="Q1162" s="10"/>
      <c r="R1162" s="28">
        <v>16.666666666666668</v>
      </c>
    </row>
    <row r="1163" spans="1:18" s="7" customFormat="1" hidden="1" x14ac:dyDescent="0.25">
      <c r="A1163" s="54" t="s">
        <v>203</v>
      </c>
      <c r="B1163" s="10" t="s">
        <v>95</v>
      </c>
      <c r="C1163" s="10">
        <v>300</v>
      </c>
      <c r="D1163" s="19">
        <v>0.15</v>
      </c>
      <c r="E1163" s="11">
        <v>0.11</v>
      </c>
      <c r="F1163" s="10">
        <f t="shared" si="197"/>
        <v>850</v>
      </c>
      <c r="G1163" s="10">
        <f t="shared" si="198"/>
        <v>0.3</v>
      </c>
      <c r="H1163" s="10">
        <f t="shared" si="199"/>
        <v>0.35294117647058826</v>
      </c>
      <c r="I1163" s="12">
        <v>0.02</v>
      </c>
      <c r="J1163" s="12">
        <v>7.0000000000000007E-2</v>
      </c>
      <c r="K1163" s="12">
        <f t="shared" si="200"/>
        <v>4.8723529411764714E-2</v>
      </c>
      <c r="L1163" s="12">
        <f t="shared" si="201"/>
        <v>0.491664705882353</v>
      </c>
      <c r="M1163" s="10"/>
      <c r="N1163" s="10"/>
      <c r="O1163" s="10">
        <f>L1163*500</f>
        <v>245.83235294117651</v>
      </c>
      <c r="P1163" s="10"/>
      <c r="Q1163" s="10"/>
      <c r="R1163" s="28">
        <v>16.666666666666668</v>
      </c>
    </row>
    <row r="1164" spans="1:18" hidden="1" x14ac:dyDescent="0.25">
      <c r="A1164" s="54" t="s">
        <v>203</v>
      </c>
      <c r="B1164" s="2" t="s">
        <v>94</v>
      </c>
      <c r="C1164" s="2">
        <v>300</v>
      </c>
      <c r="D1164" s="19">
        <v>0.15</v>
      </c>
      <c r="E1164" s="11">
        <v>0.11</v>
      </c>
      <c r="F1164" s="2">
        <f t="shared" si="197"/>
        <v>850</v>
      </c>
      <c r="G1164" s="2">
        <f t="shared" si="198"/>
        <v>0.3</v>
      </c>
      <c r="H1164" s="2">
        <f t="shared" si="199"/>
        <v>0.35294117647058826</v>
      </c>
      <c r="I1164" s="12">
        <v>0.02</v>
      </c>
      <c r="J1164" s="12">
        <v>7.0000000000000007E-2</v>
      </c>
      <c r="K1164" s="12">
        <f t="shared" si="200"/>
        <v>4.8723529411764714E-2</v>
      </c>
      <c r="L1164" s="12">
        <f t="shared" si="201"/>
        <v>0.491664705882353</v>
      </c>
      <c r="M1164" s="2"/>
      <c r="N1164" s="2"/>
      <c r="O1164" s="2">
        <f>L1164*500</f>
        <v>245.83235294117651</v>
      </c>
      <c r="P1164" s="2"/>
      <c r="Q1164" s="2"/>
      <c r="R1164" s="28">
        <v>16.666666666666668</v>
      </c>
    </row>
    <row r="1165" spans="1:18" hidden="1" x14ac:dyDescent="0.25">
      <c r="A1165" s="16">
        <v>45693</v>
      </c>
      <c r="B1165" s="2" t="s">
        <v>92</v>
      </c>
      <c r="C1165" s="2">
        <v>430</v>
      </c>
      <c r="D1165" s="19">
        <v>0</v>
      </c>
      <c r="E1165" s="11">
        <v>0.25</v>
      </c>
      <c r="F1165" s="2">
        <f t="shared" si="197"/>
        <v>1000</v>
      </c>
      <c r="G1165" s="2">
        <f t="shared" si="198"/>
        <v>0.43</v>
      </c>
      <c r="H1165" s="2">
        <f t="shared" si="199"/>
        <v>0.43</v>
      </c>
      <c r="I1165" s="12">
        <v>0.02</v>
      </c>
      <c r="J1165" s="12">
        <v>7.0000000000000007E-2</v>
      </c>
      <c r="K1165" s="12">
        <f t="shared" si="200"/>
        <v>0.13</v>
      </c>
      <c r="L1165" s="12">
        <f t="shared" si="201"/>
        <v>0.65</v>
      </c>
      <c r="M1165" s="2"/>
      <c r="N1165" s="2"/>
      <c r="O1165" s="2">
        <f>L1165*500</f>
        <v>325</v>
      </c>
      <c r="P1165" s="2"/>
      <c r="Q1165" s="2"/>
      <c r="R1165" s="28">
        <v>16.666666666666668</v>
      </c>
    </row>
    <row r="1166" spans="1:18" hidden="1" x14ac:dyDescent="0.25">
      <c r="A1166" s="16">
        <v>45693</v>
      </c>
      <c r="B1166" s="2" t="s">
        <v>39</v>
      </c>
      <c r="C1166" s="2">
        <v>430</v>
      </c>
      <c r="D1166" s="19">
        <v>0</v>
      </c>
      <c r="E1166" s="11">
        <v>0.25</v>
      </c>
      <c r="F1166" s="2">
        <f t="shared" si="197"/>
        <v>1000</v>
      </c>
      <c r="G1166" s="2">
        <f t="shared" si="198"/>
        <v>0.43</v>
      </c>
      <c r="H1166" s="2">
        <f t="shared" si="199"/>
        <v>0.43</v>
      </c>
      <c r="I1166" s="12">
        <v>0.02</v>
      </c>
      <c r="J1166" s="12">
        <v>7.0000000000000007E-2</v>
      </c>
      <c r="K1166" s="12">
        <f t="shared" si="200"/>
        <v>0.13</v>
      </c>
      <c r="L1166" s="12">
        <f t="shared" si="201"/>
        <v>0.65</v>
      </c>
      <c r="M1166" s="2"/>
      <c r="N1166" s="2"/>
      <c r="O1166" s="2">
        <f>L1166*500</f>
        <v>325</v>
      </c>
      <c r="P1166" s="2"/>
      <c r="Q1166" s="2"/>
      <c r="R1166" s="28">
        <v>16.666666666666668</v>
      </c>
    </row>
    <row r="1167" spans="1:18" hidden="1" x14ac:dyDescent="0.25">
      <c r="A1167" s="16">
        <v>45693</v>
      </c>
      <c r="B1167" s="2" t="s">
        <v>102</v>
      </c>
      <c r="C1167" s="2">
        <v>500</v>
      </c>
      <c r="D1167" s="19">
        <v>0.57999999999999996</v>
      </c>
      <c r="E1167" s="11">
        <v>0.39200000000000002</v>
      </c>
      <c r="F1167" s="2">
        <f t="shared" si="197"/>
        <v>420</v>
      </c>
      <c r="G1167" s="2">
        <f t="shared" si="198"/>
        <v>0.5</v>
      </c>
      <c r="H1167" s="2">
        <f t="shared" si="199"/>
        <v>1.1904761904761905</v>
      </c>
      <c r="I1167" s="12">
        <v>0.02</v>
      </c>
      <c r="J1167" s="12">
        <v>7.0000000000000007E-2</v>
      </c>
      <c r="K1167" s="12">
        <f t="shared" si="200"/>
        <v>0.50194666666666676</v>
      </c>
      <c r="L1167" s="12">
        <f t="shared" si="201"/>
        <v>1.7824228571428573</v>
      </c>
      <c r="M1167" s="2">
        <f>L1167*250</f>
        <v>445.60571428571433</v>
      </c>
      <c r="N1167" s="2"/>
      <c r="O1167" s="2"/>
      <c r="P1167" s="2"/>
      <c r="Q1167" s="2"/>
      <c r="R1167" s="28">
        <v>16.666666666666668</v>
      </c>
    </row>
    <row r="1168" spans="1:18" hidden="1" x14ac:dyDescent="0.25">
      <c r="A1168" s="16">
        <v>45694</v>
      </c>
      <c r="B1168" s="2" t="s">
        <v>196</v>
      </c>
      <c r="C1168" s="2">
        <v>330</v>
      </c>
      <c r="D1168" s="19">
        <v>0.1</v>
      </c>
      <c r="E1168" s="11">
        <v>0.42499999999999999</v>
      </c>
      <c r="F1168" s="2">
        <f t="shared" si="197"/>
        <v>900</v>
      </c>
      <c r="G1168" s="2">
        <f t="shared" si="198"/>
        <v>0.33</v>
      </c>
      <c r="H1168" s="2">
        <f t="shared" si="199"/>
        <v>0.36666666666666664</v>
      </c>
      <c r="I1168" s="12">
        <v>0.02</v>
      </c>
      <c r="J1168" s="12">
        <v>7.0000000000000007E-2</v>
      </c>
      <c r="K1168" s="12">
        <f t="shared" si="200"/>
        <v>0.19408333333333333</v>
      </c>
      <c r="L1168" s="12">
        <f t="shared" si="201"/>
        <v>0.65074999999999994</v>
      </c>
      <c r="M1168" s="2"/>
      <c r="N1168" s="2"/>
      <c r="O1168" s="2">
        <f>L1168*500</f>
        <v>325.37499999999994</v>
      </c>
      <c r="P1168" s="2"/>
      <c r="Q1168" s="2"/>
      <c r="R1168" s="28">
        <v>16.666666666666668</v>
      </c>
    </row>
    <row r="1169" spans="1:18" hidden="1" x14ac:dyDescent="0.25">
      <c r="A1169" s="16">
        <v>45694</v>
      </c>
      <c r="B1169" s="2" t="s">
        <v>185</v>
      </c>
      <c r="C1169" s="2">
        <v>330</v>
      </c>
      <c r="D1169" s="19">
        <v>0.1</v>
      </c>
      <c r="E1169" s="11">
        <v>0.29199999999999998</v>
      </c>
      <c r="F1169" s="2">
        <f t="shared" si="197"/>
        <v>900</v>
      </c>
      <c r="G1169" s="2">
        <f t="shared" si="198"/>
        <v>0.33</v>
      </c>
      <c r="H1169" s="2">
        <f t="shared" si="199"/>
        <v>0.36666666666666664</v>
      </c>
      <c r="I1169" s="12">
        <v>0.02</v>
      </c>
      <c r="J1169" s="12">
        <v>7.0000000000000007E-2</v>
      </c>
      <c r="K1169" s="12">
        <f t="shared" si="200"/>
        <v>0.13334666666666667</v>
      </c>
      <c r="L1169" s="12">
        <f t="shared" si="201"/>
        <v>0.59001333333333328</v>
      </c>
      <c r="M1169" s="2"/>
      <c r="N1169" s="2"/>
      <c r="O1169" s="2">
        <f>L1169*500</f>
        <v>295.00666666666666</v>
      </c>
      <c r="P1169" s="2"/>
      <c r="Q1169" s="2"/>
      <c r="R1169" s="28">
        <v>16.666666666666668</v>
      </c>
    </row>
    <row r="1170" spans="1:18" hidden="1" x14ac:dyDescent="0.25">
      <c r="A1170" s="16">
        <v>45694</v>
      </c>
      <c r="B1170" s="2" t="s">
        <v>204</v>
      </c>
      <c r="C1170" s="2">
        <v>700</v>
      </c>
      <c r="D1170" s="19">
        <v>0.44</v>
      </c>
      <c r="E1170" s="11">
        <v>0.112</v>
      </c>
      <c r="F1170" s="2">
        <f t="shared" si="197"/>
        <v>560</v>
      </c>
      <c r="G1170" s="2">
        <f t="shared" si="198"/>
        <v>0.7</v>
      </c>
      <c r="H1170" s="2">
        <f t="shared" si="199"/>
        <v>1.25</v>
      </c>
      <c r="I1170" s="12">
        <v>0.02</v>
      </c>
      <c r="J1170" s="12">
        <v>7.0000000000000007E-2</v>
      </c>
      <c r="K1170" s="12">
        <f t="shared" si="200"/>
        <v>0.15008000000000002</v>
      </c>
      <c r="L1170" s="12">
        <f t="shared" si="201"/>
        <v>1.4900800000000001</v>
      </c>
      <c r="M1170" s="2"/>
      <c r="N1170" s="2"/>
      <c r="O1170" s="2">
        <f>L1170*500</f>
        <v>745.04000000000008</v>
      </c>
      <c r="P1170" s="2"/>
      <c r="Q1170" s="2"/>
      <c r="R1170" s="28">
        <v>16.666666666666668</v>
      </c>
    </row>
    <row r="1171" spans="1:18" hidden="1" x14ac:dyDescent="0.25">
      <c r="A1171" s="16">
        <v>45694</v>
      </c>
      <c r="B1171" s="2" t="s">
        <v>111</v>
      </c>
      <c r="C1171" s="2">
        <v>650</v>
      </c>
      <c r="D1171" s="19">
        <v>0.37</v>
      </c>
      <c r="E1171" s="11">
        <v>0.23200000000000001</v>
      </c>
      <c r="F1171" s="2">
        <f t="shared" si="197"/>
        <v>630</v>
      </c>
      <c r="G1171" s="2">
        <f t="shared" si="198"/>
        <v>0.65</v>
      </c>
      <c r="H1171" s="2">
        <f t="shared" si="199"/>
        <v>1.0317460317460319</v>
      </c>
      <c r="I1171" s="12">
        <v>0.02</v>
      </c>
      <c r="J1171" s="12">
        <v>7.0000000000000007E-2</v>
      </c>
      <c r="K1171" s="12">
        <f t="shared" si="200"/>
        <v>0.2602450793650794</v>
      </c>
      <c r="L1171" s="12">
        <f t="shared" si="201"/>
        <v>1.3819911111111114</v>
      </c>
      <c r="M1171" s="2">
        <f>L1171*250</f>
        <v>345.49777777777786</v>
      </c>
      <c r="N1171" s="2"/>
      <c r="O1171" s="2"/>
      <c r="P1171" s="2"/>
      <c r="Q1171" s="2"/>
      <c r="R1171" s="28">
        <v>16.666666666666668</v>
      </c>
    </row>
    <row r="1172" spans="1:18" hidden="1" x14ac:dyDescent="0.25">
      <c r="A1172" s="16">
        <v>45694</v>
      </c>
      <c r="B1172" s="2" t="s">
        <v>94</v>
      </c>
      <c r="C1172" s="2">
        <v>300</v>
      </c>
      <c r="D1172" s="19">
        <v>0</v>
      </c>
      <c r="E1172" s="11">
        <v>0.26</v>
      </c>
      <c r="F1172" s="2">
        <f t="shared" si="197"/>
        <v>1000</v>
      </c>
      <c r="G1172" s="2">
        <f t="shared" si="198"/>
        <v>0.3</v>
      </c>
      <c r="H1172" s="2">
        <f t="shared" si="199"/>
        <v>0.3</v>
      </c>
      <c r="I1172" s="12">
        <v>0.02</v>
      </c>
      <c r="J1172" s="12">
        <v>7.0000000000000007E-2</v>
      </c>
      <c r="K1172" s="12">
        <f t="shared" si="200"/>
        <v>0.1014</v>
      </c>
      <c r="L1172" s="12">
        <f t="shared" si="201"/>
        <v>0.4914</v>
      </c>
      <c r="M1172" s="2"/>
      <c r="N1172" s="2"/>
      <c r="O1172" s="2">
        <f>L1172*500</f>
        <v>245.7</v>
      </c>
      <c r="P1172" s="2"/>
      <c r="Q1172" s="2"/>
      <c r="R1172" s="28">
        <v>16.666666666666668</v>
      </c>
    </row>
    <row r="1173" spans="1:18" hidden="1" x14ac:dyDescent="0.25">
      <c r="A1173" s="16">
        <v>45694</v>
      </c>
      <c r="B1173" s="2" t="s">
        <v>154</v>
      </c>
      <c r="C1173" s="2">
        <v>300</v>
      </c>
      <c r="D1173" s="19">
        <v>0</v>
      </c>
      <c r="E1173" s="11">
        <v>0.26</v>
      </c>
      <c r="F1173" s="2">
        <f t="shared" si="197"/>
        <v>1000</v>
      </c>
      <c r="G1173" s="2">
        <f t="shared" si="198"/>
        <v>0.3</v>
      </c>
      <c r="H1173" s="2">
        <f t="shared" si="199"/>
        <v>0.3</v>
      </c>
      <c r="I1173" s="12">
        <v>0.02</v>
      </c>
      <c r="J1173" s="12">
        <v>7.0000000000000007E-2</v>
      </c>
      <c r="K1173" s="12">
        <f t="shared" si="200"/>
        <v>0.1014</v>
      </c>
      <c r="L1173" s="12">
        <f t="shared" si="201"/>
        <v>0.4914</v>
      </c>
      <c r="M1173" s="2"/>
      <c r="N1173" s="2"/>
      <c r="O1173" s="2">
        <f>L1173*500</f>
        <v>245.7</v>
      </c>
      <c r="P1173" s="2"/>
      <c r="Q1173" s="2"/>
      <c r="R1173" s="28">
        <v>16.666666666666668</v>
      </c>
    </row>
    <row r="1174" spans="1:18" hidden="1" x14ac:dyDescent="0.25">
      <c r="A1174" s="16">
        <v>45694</v>
      </c>
      <c r="B1174" s="2" t="s">
        <v>39</v>
      </c>
      <c r="C1174" s="2">
        <v>470</v>
      </c>
      <c r="D1174" s="19">
        <v>0.03</v>
      </c>
      <c r="E1174" s="11">
        <v>0.13200000000000001</v>
      </c>
      <c r="F1174" s="2">
        <f t="shared" si="197"/>
        <v>970</v>
      </c>
      <c r="G1174" s="2">
        <f t="shared" si="198"/>
        <v>0.47</v>
      </c>
      <c r="H1174" s="2">
        <f t="shared" si="199"/>
        <v>0.4845360824742268</v>
      </c>
      <c r="I1174" s="12">
        <v>0.02</v>
      </c>
      <c r="J1174" s="12">
        <v>7.0000000000000007E-2</v>
      </c>
      <c r="K1174" s="12">
        <f t="shared" si="200"/>
        <v>7.5838762886597924E-2</v>
      </c>
      <c r="L1174" s="12">
        <f t="shared" si="201"/>
        <v>0.65037484536082468</v>
      </c>
      <c r="M1174" s="2"/>
      <c r="N1174" s="2"/>
      <c r="O1174" s="2">
        <f>L1174*500</f>
        <v>325.18742268041234</v>
      </c>
      <c r="P1174" s="2"/>
      <c r="Q1174" s="2"/>
      <c r="R1174" s="28">
        <v>16.666666666666668</v>
      </c>
    </row>
    <row r="1175" spans="1:18" hidden="1" x14ac:dyDescent="0.25">
      <c r="A1175" s="16">
        <v>45695</v>
      </c>
      <c r="B1175" s="2" t="s">
        <v>186</v>
      </c>
      <c r="C1175" s="2">
        <v>700</v>
      </c>
      <c r="D1175" s="19">
        <v>0.57999999999999996</v>
      </c>
      <c r="E1175" s="11">
        <v>0.13300000000000001</v>
      </c>
      <c r="F1175" s="2">
        <f t="shared" si="197"/>
        <v>420</v>
      </c>
      <c r="G1175" s="2">
        <f t="shared" si="198"/>
        <v>0.7</v>
      </c>
      <c r="H1175" s="2">
        <f t="shared" si="199"/>
        <v>1.6666666666666667</v>
      </c>
      <c r="I1175" s="12">
        <v>0.02</v>
      </c>
      <c r="J1175" s="12">
        <v>7.0000000000000007E-2</v>
      </c>
      <c r="K1175" s="12">
        <f t="shared" si="200"/>
        <v>0.23363666666666669</v>
      </c>
      <c r="L1175" s="12">
        <f t="shared" si="201"/>
        <v>1.9903033333333335</v>
      </c>
      <c r="M1175" s="2"/>
      <c r="N1175" s="2"/>
      <c r="O1175" s="2">
        <f>L1175*500</f>
        <v>995.15166666666676</v>
      </c>
      <c r="P1175" s="2"/>
      <c r="Q1175" s="2"/>
      <c r="R1175" s="28">
        <v>16.666666666666668</v>
      </c>
    </row>
    <row r="1176" spans="1:18" hidden="1" x14ac:dyDescent="0.25">
      <c r="A1176" s="16">
        <v>45695</v>
      </c>
      <c r="B1176" s="2" t="s">
        <v>114</v>
      </c>
      <c r="C1176" s="2">
        <v>700</v>
      </c>
      <c r="D1176" s="19">
        <v>0.57999999999999996</v>
      </c>
      <c r="E1176" s="11">
        <v>0.128</v>
      </c>
      <c r="F1176" s="2">
        <f t="shared" si="197"/>
        <v>420</v>
      </c>
      <c r="G1176" s="2">
        <f t="shared" si="198"/>
        <v>0.7</v>
      </c>
      <c r="H1176" s="2">
        <f t="shared" si="199"/>
        <v>1.6666666666666667</v>
      </c>
      <c r="I1176" s="12">
        <v>0.02</v>
      </c>
      <c r="J1176" s="12">
        <v>7.0000000000000007E-2</v>
      </c>
      <c r="K1176" s="12">
        <f t="shared" si="200"/>
        <v>0.22485333333333335</v>
      </c>
      <c r="L1176" s="12">
        <f t="shared" si="201"/>
        <v>1.9815200000000002</v>
      </c>
      <c r="M1176" s="2">
        <f>L1176*250</f>
        <v>495.38000000000005</v>
      </c>
      <c r="N1176" s="2"/>
      <c r="O1176" s="2"/>
      <c r="P1176" s="2"/>
      <c r="Q1176" s="2"/>
      <c r="R1176" s="28">
        <v>16.666666666666668</v>
      </c>
    </row>
    <row r="1177" spans="1:18" hidden="1" x14ac:dyDescent="0.25">
      <c r="A1177" s="16">
        <v>45695</v>
      </c>
      <c r="B1177" s="2" t="s">
        <v>152</v>
      </c>
      <c r="C1177" s="2">
        <v>230</v>
      </c>
      <c r="D1177" s="19">
        <v>0</v>
      </c>
      <c r="E1177" s="11">
        <v>0.01</v>
      </c>
      <c r="F1177" s="2">
        <f t="shared" si="197"/>
        <v>1000</v>
      </c>
      <c r="G1177" s="2">
        <f t="shared" si="198"/>
        <v>0.23</v>
      </c>
      <c r="H1177" s="2">
        <f t="shared" si="199"/>
        <v>0.23</v>
      </c>
      <c r="I1177" s="12">
        <v>0.02</v>
      </c>
      <c r="J1177" s="12">
        <v>7.0000000000000007E-2</v>
      </c>
      <c r="K1177" s="12">
        <f t="shared" si="200"/>
        <v>3.2000000000000002E-3</v>
      </c>
      <c r="L1177" s="12">
        <f t="shared" si="201"/>
        <v>0.32319999999999999</v>
      </c>
      <c r="M1177" s="2"/>
      <c r="N1177" s="2"/>
      <c r="O1177" s="2">
        <f>L1177*450</f>
        <v>145.44</v>
      </c>
      <c r="P1177" s="2"/>
      <c r="Q1177" s="2"/>
      <c r="R1177" s="28">
        <v>16.666666666666668</v>
      </c>
    </row>
    <row r="1178" spans="1:18" hidden="1" x14ac:dyDescent="0.25">
      <c r="A1178" s="16">
        <v>45695</v>
      </c>
      <c r="B1178" s="2" t="s">
        <v>106</v>
      </c>
      <c r="C1178" s="2">
        <v>230</v>
      </c>
      <c r="D1178" s="19">
        <v>0</v>
      </c>
      <c r="E1178" s="11">
        <v>0.219</v>
      </c>
      <c r="F1178" s="2">
        <f t="shared" si="197"/>
        <v>1000</v>
      </c>
      <c r="G1178" s="2">
        <f t="shared" si="198"/>
        <v>0.23</v>
      </c>
      <c r="H1178" s="2">
        <f t="shared" si="199"/>
        <v>0.23</v>
      </c>
      <c r="I1178" s="12">
        <v>0.02</v>
      </c>
      <c r="J1178" s="12">
        <v>7.0000000000000007E-2</v>
      </c>
      <c r="K1178" s="12">
        <f t="shared" si="200"/>
        <v>7.0080000000000003E-2</v>
      </c>
      <c r="L1178" s="12">
        <f t="shared" si="201"/>
        <v>0.39007999999999998</v>
      </c>
      <c r="M1178" s="2"/>
      <c r="N1178" s="2"/>
      <c r="O1178" s="2">
        <f>L1178*500</f>
        <v>195.04</v>
      </c>
      <c r="P1178" s="2"/>
      <c r="Q1178" s="2"/>
      <c r="R1178" s="28">
        <v>16.666666666666668</v>
      </c>
    </row>
    <row r="1179" spans="1:18" hidden="1" x14ac:dyDescent="0.25">
      <c r="A1179" s="16">
        <v>45695</v>
      </c>
      <c r="B1179" s="2" t="s">
        <v>204</v>
      </c>
      <c r="C1179" s="2">
        <v>720</v>
      </c>
      <c r="D1179" s="19">
        <v>0.34</v>
      </c>
      <c r="E1179" s="11">
        <v>0.26200000000000001</v>
      </c>
      <c r="F1179" s="2">
        <f t="shared" si="197"/>
        <v>660</v>
      </c>
      <c r="G1179" s="2">
        <f t="shared" si="198"/>
        <v>0.72</v>
      </c>
      <c r="H1179" s="2">
        <f t="shared" si="199"/>
        <v>1.0909090909090908</v>
      </c>
      <c r="I1179" s="12">
        <v>0.02</v>
      </c>
      <c r="J1179" s="12">
        <v>7.0000000000000007E-2</v>
      </c>
      <c r="K1179" s="12">
        <f t="shared" si="200"/>
        <v>0.30939818181818185</v>
      </c>
      <c r="L1179" s="12">
        <f t="shared" si="201"/>
        <v>1.4903072727272728</v>
      </c>
      <c r="M1179" s="2"/>
      <c r="N1179" s="2"/>
      <c r="O1179" s="2">
        <f>L1179*500</f>
        <v>745.15363636363645</v>
      </c>
      <c r="P1179" s="2"/>
      <c r="Q1179" s="2"/>
      <c r="R1179" s="28">
        <v>16.666666666666668</v>
      </c>
    </row>
    <row r="1180" spans="1:18" hidden="1" x14ac:dyDescent="0.25">
      <c r="A1180" s="16">
        <v>45695</v>
      </c>
      <c r="B1180" s="2" t="s">
        <v>118</v>
      </c>
      <c r="C1180" s="2">
        <v>260</v>
      </c>
      <c r="D1180" s="19">
        <v>0.41</v>
      </c>
      <c r="E1180" s="11">
        <v>0.47</v>
      </c>
      <c r="F1180" s="2">
        <f t="shared" si="197"/>
        <v>590</v>
      </c>
      <c r="G1180" s="2">
        <f t="shared" si="198"/>
        <v>0.26</v>
      </c>
      <c r="H1180" s="2">
        <f t="shared" si="199"/>
        <v>0.44067796610169491</v>
      </c>
      <c r="I1180" s="12">
        <v>0.02</v>
      </c>
      <c r="J1180" s="12">
        <v>7.0000000000000007E-2</v>
      </c>
      <c r="K1180" s="12">
        <f t="shared" si="200"/>
        <v>0.2494186440677966</v>
      </c>
      <c r="L1180" s="12">
        <f t="shared" si="201"/>
        <v>0.7800966101694915</v>
      </c>
      <c r="M1180" s="2">
        <f>L1180*250</f>
        <v>195.02415254237289</v>
      </c>
      <c r="N1180" s="2"/>
      <c r="O1180" s="2"/>
      <c r="P1180" s="2"/>
      <c r="Q1180" s="2"/>
      <c r="R1180" s="28">
        <v>16.666666666666668</v>
      </c>
    </row>
    <row r="1181" spans="1:18" hidden="1" x14ac:dyDescent="0.25">
      <c r="A1181" s="16">
        <v>45695</v>
      </c>
      <c r="B1181" s="2" t="s">
        <v>111</v>
      </c>
      <c r="C1181" s="2">
        <v>570</v>
      </c>
      <c r="D1181" s="19">
        <v>0.37</v>
      </c>
      <c r="E1181" s="11">
        <v>0.39</v>
      </c>
      <c r="F1181" s="2">
        <f t="shared" si="197"/>
        <v>630</v>
      </c>
      <c r="G1181" s="2">
        <f t="shared" si="198"/>
        <v>0.56999999999999995</v>
      </c>
      <c r="H1181" s="2">
        <f t="shared" si="199"/>
        <v>0.90476190476190477</v>
      </c>
      <c r="I1181" s="12">
        <v>0.02</v>
      </c>
      <c r="J1181" s="12">
        <v>7.0000000000000007E-2</v>
      </c>
      <c r="K1181" s="12">
        <f t="shared" si="200"/>
        <v>0.38795714285714283</v>
      </c>
      <c r="L1181" s="12">
        <f t="shared" si="201"/>
        <v>1.3827190476190476</v>
      </c>
      <c r="M1181" s="2">
        <f>L1181*250</f>
        <v>345.6797619047619</v>
      </c>
      <c r="N1181" s="2"/>
      <c r="O1181" s="2"/>
      <c r="P1181" s="2"/>
      <c r="Q1181" s="2"/>
      <c r="R1181" s="28">
        <v>16.666666666666668</v>
      </c>
    </row>
    <row r="1182" spans="1:18" hidden="1" x14ac:dyDescent="0.25">
      <c r="A1182" s="16">
        <v>45695</v>
      </c>
      <c r="B1182" s="2" t="s">
        <v>90</v>
      </c>
      <c r="C1182" s="2">
        <v>360</v>
      </c>
      <c r="D1182" s="19">
        <v>0.12</v>
      </c>
      <c r="E1182" s="11">
        <v>0.30499999999999999</v>
      </c>
      <c r="F1182" s="2">
        <f t="shared" si="197"/>
        <v>880</v>
      </c>
      <c r="G1182" s="2">
        <f t="shared" si="198"/>
        <v>0.36</v>
      </c>
      <c r="H1182" s="2">
        <f t="shared" si="199"/>
        <v>0.40909090909090912</v>
      </c>
      <c r="I1182" s="12">
        <v>0.02</v>
      </c>
      <c r="J1182" s="12">
        <v>7.0000000000000007E-2</v>
      </c>
      <c r="K1182" s="12">
        <f t="shared" si="200"/>
        <v>0.15222272727272729</v>
      </c>
      <c r="L1182" s="12">
        <f t="shared" si="201"/>
        <v>0.65131363636363648</v>
      </c>
      <c r="M1182" s="2"/>
      <c r="N1182" s="2"/>
      <c r="O1182" s="2">
        <f>L1182*500</f>
        <v>325.65681818181827</v>
      </c>
      <c r="P1182" s="2"/>
      <c r="Q1182" s="2"/>
      <c r="R1182" s="28">
        <v>16.666666666666668</v>
      </c>
    </row>
    <row r="1183" spans="1:18" hidden="1" x14ac:dyDescent="0.25">
      <c r="A1183" s="16">
        <v>45695</v>
      </c>
      <c r="B1183" s="2" t="s">
        <v>120</v>
      </c>
      <c r="C1183" s="2">
        <v>300</v>
      </c>
      <c r="D1183" s="19">
        <v>0.57999999999999996</v>
      </c>
      <c r="E1183" s="11">
        <v>0.37</v>
      </c>
      <c r="F1183" s="2">
        <f t="shared" si="197"/>
        <v>420</v>
      </c>
      <c r="G1183" s="2">
        <f t="shared" si="198"/>
        <v>0.3</v>
      </c>
      <c r="H1183" s="2">
        <f t="shared" si="199"/>
        <v>0.7142857142857143</v>
      </c>
      <c r="I1183" s="12">
        <v>0.02</v>
      </c>
      <c r="J1183" s="12">
        <v>7.0000000000000007E-2</v>
      </c>
      <c r="K1183" s="12">
        <f t="shared" si="200"/>
        <v>0.29758571428571429</v>
      </c>
      <c r="L1183" s="12">
        <f t="shared" si="201"/>
        <v>1.1018714285714286</v>
      </c>
      <c r="M1183" s="2">
        <f>L1183*250</f>
        <v>275.46785714285716</v>
      </c>
      <c r="N1183" s="2"/>
      <c r="O1183" s="2"/>
      <c r="P1183" s="2"/>
      <c r="Q1183" s="2"/>
      <c r="R1183" s="28">
        <v>16.666666666666668</v>
      </c>
    </row>
    <row r="1184" spans="1:18" hidden="1" x14ac:dyDescent="0.25">
      <c r="A1184" s="16">
        <v>45695</v>
      </c>
      <c r="B1184" s="2" t="s">
        <v>159</v>
      </c>
      <c r="C1184" s="2">
        <v>380</v>
      </c>
      <c r="D1184" s="19">
        <v>0</v>
      </c>
      <c r="E1184" s="11">
        <v>0.59599999999999997</v>
      </c>
      <c r="F1184" s="2">
        <f t="shared" si="197"/>
        <v>1000</v>
      </c>
      <c r="G1184" s="2">
        <f t="shared" si="198"/>
        <v>0.38</v>
      </c>
      <c r="H1184" s="2">
        <f t="shared" si="199"/>
        <v>0.38</v>
      </c>
      <c r="I1184" s="12">
        <v>0.02</v>
      </c>
      <c r="J1184" s="12">
        <v>7.0000000000000007E-2</v>
      </c>
      <c r="K1184" s="12">
        <f t="shared" si="200"/>
        <v>0.28011999999999998</v>
      </c>
      <c r="L1184" s="12">
        <f t="shared" si="201"/>
        <v>0.75012000000000001</v>
      </c>
      <c r="M1184" s="2"/>
      <c r="N1184" s="2"/>
      <c r="O1184" s="2">
        <f>L1184*500</f>
        <v>375.06</v>
      </c>
      <c r="P1184" s="2"/>
      <c r="Q1184" s="2"/>
      <c r="R1184" s="28">
        <v>16.666666666666668</v>
      </c>
    </row>
    <row r="1185" spans="1:18" hidden="1" x14ac:dyDescent="0.25">
      <c r="A1185" s="16">
        <v>45695</v>
      </c>
      <c r="B1185" s="2" t="s">
        <v>92</v>
      </c>
      <c r="C1185" s="2">
        <v>470</v>
      </c>
      <c r="D1185" s="19">
        <v>0.01</v>
      </c>
      <c r="E1185" s="11">
        <v>0.152</v>
      </c>
      <c r="F1185" s="2">
        <f t="shared" si="197"/>
        <v>990</v>
      </c>
      <c r="G1185" s="2">
        <f t="shared" si="198"/>
        <v>0.47</v>
      </c>
      <c r="H1185" s="2">
        <f t="shared" si="199"/>
        <v>0.47474747474747475</v>
      </c>
      <c r="I1185" s="12">
        <v>0.02</v>
      </c>
      <c r="J1185" s="12">
        <v>7.0000000000000007E-2</v>
      </c>
      <c r="K1185" s="12">
        <f t="shared" si="200"/>
        <v>8.584161616161616E-2</v>
      </c>
      <c r="L1185" s="12">
        <f t="shared" si="201"/>
        <v>0.65058909090909089</v>
      </c>
      <c r="M1185" s="2"/>
      <c r="N1185" s="2"/>
      <c r="O1185" s="2">
        <f>L1185*500</f>
        <v>325.29454545454547</v>
      </c>
      <c r="P1185" s="2"/>
      <c r="Q1185" s="2"/>
      <c r="R1185" s="28">
        <v>16.666666666666668</v>
      </c>
    </row>
    <row r="1186" spans="1:18" hidden="1" x14ac:dyDescent="0.25">
      <c r="A1186" s="16">
        <v>45695</v>
      </c>
      <c r="B1186" s="2" t="s">
        <v>146</v>
      </c>
      <c r="C1186" s="2">
        <v>470</v>
      </c>
      <c r="D1186" s="19">
        <v>0.01</v>
      </c>
      <c r="E1186" s="11">
        <v>0.222</v>
      </c>
      <c r="F1186" s="2">
        <f t="shared" si="197"/>
        <v>990</v>
      </c>
      <c r="G1186" s="2">
        <f t="shared" si="198"/>
        <v>0.47</v>
      </c>
      <c r="H1186" s="2">
        <f t="shared" si="199"/>
        <v>0.47474747474747475</v>
      </c>
      <c r="I1186" s="12">
        <v>0.02</v>
      </c>
      <c r="J1186" s="12">
        <v>7.0000000000000007E-2</v>
      </c>
      <c r="K1186" s="12">
        <f t="shared" si="200"/>
        <v>0.1253739393939394</v>
      </c>
      <c r="L1186" s="12">
        <f t="shared" si="201"/>
        <v>0.69012141414141415</v>
      </c>
      <c r="M1186" s="2"/>
      <c r="N1186" s="2"/>
      <c r="O1186" s="2">
        <f>L1186*500</f>
        <v>345.06070707070705</v>
      </c>
      <c r="P1186" s="2"/>
      <c r="Q1186" s="2"/>
      <c r="R1186" s="28">
        <v>16.666666666666668</v>
      </c>
    </row>
    <row r="1187" spans="1:18" hidden="1" x14ac:dyDescent="0.25">
      <c r="A1187" s="16">
        <v>45696</v>
      </c>
      <c r="B1187" s="2" t="s">
        <v>94</v>
      </c>
      <c r="C1187" s="2">
        <v>300</v>
      </c>
      <c r="D1187" s="19">
        <v>0.21</v>
      </c>
      <c r="E1187" s="11">
        <v>4.4999999999999998E-2</v>
      </c>
      <c r="F1187" s="2">
        <f t="shared" si="197"/>
        <v>790</v>
      </c>
      <c r="G1187" s="2">
        <f t="shared" si="198"/>
        <v>0.3</v>
      </c>
      <c r="H1187" s="2">
        <f t="shared" si="199"/>
        <v>0.379746835443038</v>
      </c>
      <c r="I1187" s="12">
        <v>0.02</v>
      </c>
      <c r="J1187" s="12">
        <v>7.0000000000000007E-2</v>
      </c>
      <c r="K1187" s="12">
        <f t="shared" si="200"/>
        <v>2.1138607594936711E-2</v>
      </c>
      <c r="L1187" s="12">
        <f t="shared" si="201"/>
        <v>0.49088544303797471</v>
      </c>
      <c r="M1187" s="2"/>
      <c r="N1187" s="2"/>
      <c r="O1187" s="2">
        <f>L1187*500</f>
        <v>245.44272151898736</v>
      </c>
      <c r="P1187" s="2"/>
      <c r="Q1187" s="2"/>
      <c r="R1187" s="28">
        <v>16.666666666666668</v>
      </c>
    </row>
    <row r="1188" spans="1:18" hidden="1" x14ac:dyDescent="0.25">
      <c r="A1188" s="16">
        <v>45696</v>
      </c>
      <c r="B1188" s="2" t="s">
        <v>95</v>
      </c>
      <c r="C1188" s="2">
        <v>300</v>
      </c>
      <c r="D1188" s="19">
        <v>0.21</v>
      </c>
      <c r="E1188" s="11">
        <v>4.4999999999999998E-2</v>
      </c>
      <c r="F1188" s="2">
        <f t="shared" si="197"/>
        <v>790</v>
      </c>
      <c r="G1188" s="2">
        <f t="shared" si="198"/>
        <v>0.3</v>
      </c>
      <c r="H1188" s="2">
        <f t="shared" si="199"/>
        <v>0.379746835443038</v>
      </c>
      <c r="I1188" s="12">
        <v>0.02</v>
      </c>
      <c r="J1188" s="12">
        <v>7.0000000000000007E-2</v>
      </c>
      <c r="K1188" s="12">
        <f t="shared" si="200"/>
        <v>2.1138607594936711E-2</v>
      </c>
      <c r="L1188" s="12">
        <f t="shared" si="201"/>
        <v>0.49088544303797471</v>
      </c>
      <c r="M1188" s="2"/>
      <c r="N1188" s="2"/>
      <c r="O1188" s="2">
        <f>L1188*500</f>
        <v>245.44272151898736</v>
      </c>
      <c r="P1188" s="2"/>
      <c r="Q1188" s="2"/>
      <c r="R1188" s="28">
        <v>16.666666666666668</v>
      </c>
    </row>
    <row r="1189" spans="1:18" hidden="1" x14ac:dyDescent="0.25">
      <c r="A1189" s="16">
        <v>45696</v>
      </c>
      <c r="B1189" s="2" t="s">
        <v>120</v>
      </c>
      <c r="C1189" s="2">
        <v>250</v>
      </c>
      <c r="D1189" s="19">
        <v>0.5</v>
      </c>
      <c r="E1189" s="11">
        <v>0.5</v>
      </c>
      <c r="F1189" s="2">
        <f t="shared" si="197"/>
        <v>500</v>
      </c>
      <c r="G1189" s="2">
        <f t="shared" si="198"/>
        <v>0.25</v>
      </c>
      <c r="H1189" s="2">
        <f t="shared" si="199"/>
        <v>0.5</v>
      </c>
      <c r="I1189" s="12">
        <v>0.02</v>
      </c>
      <c r="J1189" s="12">
        <v>7.0000000000000007E-2</v>
      </c>
      <c r="K1189" s="12">
        <f t="shared" si="200"/>
        <v>0.29500000000000004</v>
      </c>
      <c r="L1189" s="12">
        <f t="shared" si="201"/>
        <v>0.88500000000000012</v>
      </c>
      <c r="M1189" s="2">
        <f>L1189*250</f>
        <v>221.25000000000003</v>
      </c>
      <c r="N1189" s="2"/>
      <c r="O1189" s="2"/>
      <c r="P1189" s="2"/>
      <c r="Q1189" s="2"/>
      <c r="R1189" s="28">
        <v>16.666666666666668</v>
      </c>
    </row>
    <row r="1190" spans="1:18" hidden="1" x14ac:dyDescent="0.25">
      <c r="A1190" s="16">
        <v>45696</v>
      </c>
      <c r="B1190" s="2" t="s">
        <v>204</v>
      </c>
      <c r="C1190" s="2">
        <v>750</v>
      </c>
      <c r="D1190" s="19">
        <v>0.4</v>
      </c>
      <c r="E1190" s="11">
        <v>0.187</v>
      </c>
      <c r="F1190" s="2">
        <f t="shared" si="197"/>
        <v>600</v>
      </c>
      <c r="G1190" s="2">
        <f t="shared" si="198"/>
        <v>0.75</v>
      </c>
      <c r="H1190" s="2">
        <f t="shared" si="199"/>
        <v>1.25</v>
      </c>
      <c r="I1190" s="12">
        <v>0.02</v>
      </c>
      <c r="J1190" s="12">
        <v>7.0000000000000007E-2</v>
      </c>
      <c r="K1190" s="12">
        <f t="shared" si="200"/>
        <v>0.25058000000000002</v>
      </c>
      <c r="L1190" s="12">
        <f t="shared" si="201"/>
        <v>1.5905800000000001</v>
      </c>
      <c r="M1190" s="2"/>
      <c r="N1190" s="2"/>
      <c r="O1190" s="2">
        <f>L1190*500</f>
        <v>795.29000000000008</v>
      </c>
      <c r="P1190" s="2"/>
      <c r="Q1190" s="2"/>
      <c r="R1190" s="28">
        <v>16.666666666666668</v>
      </c>
    </row>
    <row r="1191" spans="1:18" hidden="1" x14ac:dyDescent="0.25">
      <c r="A1191" s="16">
        <v>45696</v>
      </c>
      <c r="B1191" s="2" t="s">
        <v>205</v>
      </c>
      <c r="C1191" s="2">
        <v>750</v>
      </c>
      <c r="D1191" s="19">
        <v>0.4</v>
      </c>
      <c r="E1191" s="11">
        <v>0.12</v>
      </c>
      <c r="F1191" s="2">
        <f t="shared" si="197"/>
        <v>600</v>
      </c>
      <c r="G1191" s="2">
        <f t="shared" si="198"/>
        <v>0.75</v>
      </c>
      <c r="H1191" s="2">
        <f t="shared" si="199"/>
        <v>1.25</v>
      </c>
      <c r="I1191" s="12">
        <v>0.02</v>
      </c>
      <c r="J1191" s="12">
        <v>7.0000000000000007E-2</v>
      </c>
      <c r="K1191" s="12">
        <f t="shared" si="200"/>
        <v>0.1608</v>
      </c>
      <c r="L1191" s="12">
        <f t="shared" si="201"/>
        <v>1.5008000000000001</v>
      </c>
      <c r="M1191" s="2">
        <f>L1191*250</f>
        <v>375.20000000000005</v>
      </c>
      <c r="N1191" s="2"/>
      <c r="O1191" s="2"/>
      <c r="P1191" s="2"/>
      <c r="Q1191" s="2"/>
      <c r="R1191" s="28">
        <v>16.666666666666668</v>
      </c>
    </row>
    <row r="1192" spans="1:18" hidden="1" x14ac:dyDescent="0.25">
      <c r="A1192" s="16">
        <v>45697</v>
      </c>
      <c r="B1192" s="2" t="s">
        <v>90</v>
      </c>
      <c r="C1192" s="2">
        <v>400</v>
      </c>
      <c r="D1192" s="19">
        <v>0.13</v>
      </c>
      <c r="E1192" s="11">
        <v>0.25600000000000001</v>
      </c>
      <c r="F1192" s="2">
        <f t="shared" si="197"/>
        <v>870</v>
      </c>
      <c r="G1192" s="2">
        <f t="shared" si="198"/>
        <v>0.4</v>
      </c>
      <c r="H1192" s="2">
        <f t="shared" si="199"/>
        <v>0.45977011494252873</v>
      </c>
      <c r="I1192" s="12">
        <v>0.02</v>
      </c>
      <c r="J1192" s="12">
        <v>7.0000000000000007E-2</v>
      </c>
      <c r="K1192" s="12">
        <f t="shared" si="200"/>
        <v>0.14074114942528734</v>
      </c>
      <c r="L1192" s="12">
        <f t="shared" si="201"/>
        <v>0.69051126436781607</v>
      </c>
      <c r="M1192" s="2"/>
      <c r="N1192" s="2"/>
      <c r="O1192" s="2">
        <f t="shared" ref="O1192:O1199" si="206">L1192*500</f>
        <v>345.25563218390806</v>
      </c>
      <c r="P1192" s="2"/>
      <c r="Q1192" s="2"/>
      <c r="R1192" s="28">
        <v>16.666666666666668</v>
      </c>
    </row>
    <row r="1193" spans="1:18" hidden="1" x14ac:dyDescent="0.25">
      <c r="A1193" s="16">
        <v>45697</v>
      </c>
      <c r="B1193" s="2" t="s">
        <v>94</v>
      </c>
      <c r="C1193" s="2">
        <v>320</v>
      </c>
      <c r="D1193" s="19">
        <v>0.1</v>
      </c>
      <c r="E1193" s="11">
        <v>0.1</v>
      </c>
      <c r="F1193" s="2">
        <f t="shared" si="197"/>
        <v>900</v>
      </c>
      <c r="G1193" s="2">
        <f t="shared" si="198"/>
        <v>0.32</v>
      </c>
      <c r="H1193" s="2">
        <f t="shared" si="199"/>
        <v>0.35555555555555557</v>
      </c>
      <c r="I1193" s="12">
        <v>0.02</v>
      </c>
      <c r="J1193" s="12">
        <v>7.0000000000000007E-2</v>
      </c>
      <c r="K1193" s="12">
        <f t="shared" si="200"/>
        <v>4.4555555555555564E-2</v>
      </c>
      <c r="L1193" s="12">
        <f t="shared" si="201"/>
        <v>0.49011111111111116</v>
      </c>
      <c r="M1193" s="2"/>
      <c r="N1193" s="2"/>
      <c r="O1193" s="2">
        <f t="shared" si="206"/>
        <v>245.05555555555557</v>
      </c>
      <c r="P1193" s="2"/>
      <c r="Q1193" s="2"/>
      <c r="R1193" s="28">
        <v>16.666666666666668</v>
      </c>
    </row>
    <row r="1194" spans="1:18" hidden="1" x14ac:dyDescent="0.25">
      <c r="A1194" s="16">
        <v>45697</v>
      </c>
      <c r="B1194" s="2" t="s">
        <v>95</v>
      </c>
      <c r="C1194" s="2">
        <v>320</v>
      </c>
      <c r="D1194" s="19">
        <v>0.1</v>
      </c>
      <c r="E1194" s="11">
        <v>0.1</v>
      </c>
      <c r="F1194" s="2">
        <f t="shared" si="197"/>
        <v>900</v>
      </c>
      <c r="G1194" s="2">
        <f t="shared" si="198"/>
        <v>0.32</v>
      </c>
      <c r="H1194" s="2">
        <f t="shared" si="199"/>
        <v>0.35555555555555557</v>
      </c>
      <c r="I1194" s="12">
        <v>0.02</v>
      </c>
      <c r="J1194" s="12">
        <v>7.0000000000000007E-2</v>
      </c>
      <c r="K1194" s="12">
        <f t="shared" si="200"/>
        <v>4.4555555555555564E-2</v>
      </c>
      <c r="L1194" s="12">
        <f t="shared" si="201"/>
        <v>0.49011111111111116</v>
      </c>
      <c r="M1194" s="2"/>
      <c r="N1194" s="2"/>
      <c r="O1194" s="2">
        <f t="shared" si="206"/>
        <v>245.05555555555557</v>
      </c>
      <c r="P1194" s="2"/>
      <c r="Q1194" s="2"/>
      <c r="R1194" s="28">
        <v>16.666666666666668</v>
      </c>
    </row>
    <row r="1195" spans="1:18" hidden="1" x14ac:dyDescent="0.25">
      <c r="A1195" s="16">
        <v>45697</v>
      </c>
      <c r="B1195" s="2" t="s">
        <v>160</v>
      </c>
      <c r="C1195" s="2">
        <v>600</v>
      </c>
      <c r="D1195" s="19">
        <v>0.37</v>
      </c>
      <c r="E1195" s="11">
        <v>0.43</v>
      </c>
      <c r="F1195" s="2">
        <f t="shared" si="197"/>
        <v>630</v>
      </c>
      <c r="G1195" s="2">
        <f t="shared" si="198"/>
        <v>0.6</v>
      </c>
      <c r="H1195" s="2">
        <f t="shared" si="199"/>
        <v>0.95238095238095233</v>
      </c>
      <c r="I1195" s="12">
        <v>0.02</v>
      </c>
      <c r="J1195" s="12">
        <v>7.0000000000000007E-2</v>
      </c>
      <c r="K1195" s="12">
        <f t="shared" si="200"/>
        <v>0.44822380952380952</v>
      </c>
      <c r="L1195" s="12">
        <f t="shared" si="201"/>
        <v>1.490604761904762</v>
      </c>
      <c r="M1195" s="2"/>
      <c r="N1195" s="2"/>
      <c r="O1195" s="2">
        <f t="shared" si="206"/>
        <v>745.30238095238099</v>
      </c>
      <c r="P1195" s="2"/>
      <c r="Q1195" s="2"/>
      <c r="R1195" s="28">
        <v>16.666666666666668</v>
      </c>
    </row>
    <row r="1196" spans="1:18" hidden="1" x14ac:dyDescent="0.25">
      <c r="A1196" s="16">
        <v>45697</v>
      </c>
      <c r="B1196" s="2" t="s">
        <v>111</v>
      </c>
      <c r="C1196" s="2">
        <v>600</v>
      </c>
      <c r="D1196" s="19">
        <v>0.37</v>
      </c>
      <c r="E1196" s="11">
        <v>0.44</v>
      </c>
      <c r="F1196" s="2">
        <f t="shared" si="197"/>
        <v>630</v>
      </c>
      <c r="G1196" s="2">
        <f t="shared" si="198"/>
        <v>0.6</v>
      </c>
      <c r="H1196" s="2">
        <f t="shared" si="199"/>
        <v>0.95238095238095233</v>
      </c>
      <c r="I1196" s="12">
        <v>0.02</v>
      </c>
      <c r="J1196" s="12">
        <v>7.0000000000000007E-2</v>
      </c>
      <c r="K1196" s="12">
        <f t="shared" si="200"/>
        <v>0.45864761904761908</v>
      </c>
      <c r="L1196" s="12">
        <f t="shared" si="201"/>
        <v>1.5010285714285714</v>
      </c>
      <c r="M1196" s="2">
        <f>L1196*250</f>
        <v>375.25714285714287</v>
      </c>
      <c r="N1196" s="2"/>
      <c r="O1196" s="2"/>
      <c r="P1196" s="2"/>
      <c r="Q1196" s="2"/>
      <c r="R1196" s="28">
        <v>16.666666666666668</v>
      </c>
    </row>
    <row r="1197" spans="1:18" hidden="1" x14ac:dyDescent="0.25">
      <c r="A1197" s="16">
        <v>45697</v>
      </c>
      <c r="B1197" s="2" t="s">
        <v>113</v>
      </c>
      <c r="C1197" s="2">
        <v>600</v>
      </c>
      <c r="D1197" s="19">
        <v>0.37</v>
      </c>
      <c r="E1197" s="11">
        <v>0.9</v>
      </c>
      <c r="F1197" s="2">
        <f t="shared" si="197"/>
        <v>630</v>
      </c>
      <c r="G1197" s="2">
        <f t="shared" si="198"/>
        <v>0.6</v>
      </c>
      <c r="H1197" s="2">
        <f t="shared" si="199"/>
        <v>0.95238095238095233</v>
      </c>
      <c r="I1197" s="12">
        <v>0.02</v>
      </c>
      <c r="J1197" s="12">
        <v>7.0000000000000007E-2</v>
      </c>
      <c r="K1197" s="12">
        <f t="shared" si="200"/>
        <v>0.93814285714285717</v>
      </c>
      <c r="L1197" s="12">
        <f t="shared" si="201"/>
        <v>1.9805238095238096</v>
      </c>
      <c r="M1197" s="2">
        <f>L1197*250</f>
        <v>495.13095238095241</v>
      </c>
      <c r="N1197" s="2"/>
      <c r="O1197" s="2"/>
      <c r="P1197" s="2"/>
      <c r="Q1197" s="2"/>
      <c r="R1197" s="28">
        <v>16.666666666666668</v>
      </c>
    </row>
    <row r="1198" spans="1:18" hidden="1" x14ac:dyDescent="0.25">
      <c r="A1198" s="16">
        <v>45697</v>
      </c>
      <c r="B1198" s="2" t="s">
        <v>152</v>
      </c>
      <c r="C1198" s="2">
        <v>240</v>
      </c>
      <c r="D1198" s="19">
        <v>0</v>
      </c>
      <c r="E1198" s="11">
        <v>0.112</v>
      </c>
      <c r="F1198" s="2">
        <f t="shared" si="197"/>
        <v>1000</v>
      </c>
      <c r="G1198" s="2">
        <f t="shared" si="198"/>
        <v>0.24</v>
      </c>
      <c r="H1198" s="2">
        <f t="shared" si="199"/>
        <v>0.24</v>
      </c>
      <c r="I1198" s="12">
        <v>0.02</v>
      </c>
      <c r="J1198" s="12">
        <v>7.0000000000000007E-2</v>
      </c>
      <c r="K1198" s="12">
        <f t="shared" si="200"/>
        <v>3.696E-2</v>
      </c>
      <c r="L1198" s="12">
        <f t="shared" si="201"/>
        <v>0.36696000000000001</v>
      </c>
      <c r="M1198" s="2"/>
      <c r="N1198" s="2"/>
      <c r="O1198" s="2">
        <f>L1198*450</f>
        <v>165.13200000000001</v>
      </c>
      <c r="P1198" s="2"/>
      <c r="Q1198" s="2"/>
      <c r="R1198" s="28">
        <v>16.666666666666668</v>
      </c>
    </row>
    <row r="1199" spans="1:18" hidden="1" x14ac:dyDescent="0.25">
      <c r="A1199" s="16">
        <v>45697</v>
      </c>
      <c r="B1199" s="2" t="s">
        <v>106</v>
      </c>
      <c r="C1199" s="2">
        <v>240</v>
      </c>
      <c r="D1199" s="19">
        <v>0</v>
      </c>
      <c r="E1199" s="11">
        <v>0.182</v>
      </c>
      <c r="F1199" s="2">
        <f t="shared" si="197"/>
        <v>1000</v>
      </c>
      <c r="G1199" s="2">
        <f t="shared" si="198"/>
        <v>0.24</v>
      </c>
      <c r="H1199" s="2">
        <f t="shared" si="199"/>
        <v>0.24</v>
      </c>
      <c r="I1199" s="12">
        <v>0.02</v>
      </c>
      <c r="J1199" s="12">
        <v>7.0000000000000007E-2</v>
      </c>
      <c r="K1199" s="12">
        <f t="shared" si="200"/>
        <v>6.0060000000000002E-2</v>
      </c>
      <c r="L1199" s="12">
        <f t="shared" si="201"/>
        <v>0.39006000000000002</v>
      </c>
      <c r="M1199" s="2"/>
      <c r="N1199" s="2"/>
      <c r="O1199" s="2">
        <f t="shared" si="206"/>
        <v>195.03</v>
      </c>
      <c r="P1199" s="2"/>
      <c r="Q1199" s="2"/>
      <c r="R1199" s="28">
        <v>16.666666666666668</v>
      </c>
    </row>
    <row r="1200" spans="1:18" hidden="1" x14ac:dyDescent="0.25">
      <c r="A1200" s="16">
        <v>45697</v>
      </c>
      <c r="B1200" s="2" t="s">
        <v>118</v>
      </c>
      <c r="C1200" s="2">
        <v>280</v>
      </c>
      <c r="D1200" s="19">
        <v>0.34</v>
      </c>
      <c r="E1200" s="11">
        <v>0.52</v>
      </c>
      <c r="F1200" s="2">
        <f t="shared" si="197"/>
        <v>660</v>
      </c>
      <c r="G1200" s="2">
        <f t="shared" si="198"/>
        <v>0.28000000000000003</v>
      </c>
      <c r="H1200" s="2">
        <f t="shared" si="199"/>
        <v>0.42424242424242425</v>
      </c>
      <c r="I1200" s="12">
        <v>0.02</v>
      </c>
      <c r="J1200" s="12">
        <v>7.0000000000000007E-2</v>
      </c>
      <c r="K1200" s="12">
        <f t="shared" si="200"/>
        <v>0.26740606060606065</v>
      </c>
      <c r="L1200" s="12">
        <f t="shared" si="201"/>
        <v>0.78164848484848493</v>
      </c>
      <c r="M1200" s="2">
        <f>L1200*250</f>
        <v>195.41212121212124</v>
      </c>
      <c r="N1200" s="2"/>
      <c r="O1200" s="2"/>
      <c r="P1200" s="2"/>
      <c r="Q1200" s="2"/>
      <c r="R1200" s="28">
        <v>16.666666666666668</v>
      </c>
    </row>
    <row r="1201" spans="1:18" hidden="1" x14ac:dyDescent="0.25">
      <c r="A1201" s="16">
        <v>45697</v>
      </c>
      <c r="B1201" s="2" t="s">
        <v>39</v>
      </c>
      <c r="C1201" s="2">
        <v>430</v>
      </c>
      <c r="D1201" s="19">
        <v>0.17</v>
      </c>
      <c r="E1201" s="11">
        <v>7.0000000000000007E-2</v>
      </c>
      <c r="F1201" s="2">
        <f t="shared" si="197"/>
        <v>830</v>
      </c>
      <c r="G1201" s="2">
        <f t="shared" si="198"/>
        <v>0.43</v>
      </c>
      <c r="H1201" s="2">
        <f t="shared" si="199"/>
        <v>0.51807228915662651</v>
      </c>
      <c r="I1201" s="12">
        <v>0.02</v>
      </c>
      <c r="J1201" s="12">
        <v>7.0000000000000007E-2</v>
      </c>
      <c r="K1201" s="12">
        <f t="shared" si="200"/>
        <v>4.2565060240963869E-2</v>
      </c>
      <c r="L1201" s="12">
        <f t="shared" si="201"/>
        <v>0.65063734939759044</v>
      </c>
      <c r="M1201" s="2"/>
      <c r="N1201" s="2"/>
      <c r="O1201" s="2">
        <f>L1201*500</f>
        <v>325.31867469879523</v>
      </c>
      <c r="P1201" s="2"/>
      <c r="Q1201" s="2"/>
      <c r="R1201" s="28">
        <v>16.666666666666668</v>
      </c>
    </row>
    <row r="1202" spans="1:18" hidden="1" x14ac:dyDescent="0.25">
      <c r="A1202" s="16">
        <v>45699</v>
      </c>
      <c r="B1202" s="2" t="s">
        <v>160</v>
      </c>
      <c r="C1202" s="2">
        <v>700</v>
      </c>
      <c r="D1202" s="19">
        <v>0.35</v>
      </c>
      <c r="E1202" s="11">
        <v>0.27800000000000002</v>
      </c>
      <c r="F1202" s="2">
        <f t="shared" si="197"/>
        <v>650</v>
      </c>
      <c r="G1202" s="2">
        <f t="shared" si="198"/>
        <v>0.7</v>
      </c>
      <c r="H1202" s="2">
        <f t="shared" si="199"/>
        <v>1.0769230769230769</v>
      </c>
      <c r="I1202" s="12">
        <v>0.02</v>
      </c>
      <c r="J1202" s="12">
        <v>7.0000000000000007E-2</v>
      </c>
      <c r="K1202" s="12">
        <f t="shared" si="200"/>
        <v>0.3244046153846154</v>
      </c>
      <c r="L1202" s="12">
        <f t="shared" si="201"/>
        <v>1.4913276923076924</v>
      </c>
      <c r="M1202" s="2"/>
      <c r="N1202" s="2"/>
      <c r="O1202" s="2">
        <f>L1202*500</f>
        <v>745.66384615384618</v>
      </c>
      <c r="P1202" s="2"/>
      <c r="Q1202" s="2"/>
      <c r="R1202" s="28">
        <v>16.666666666666668</v>
      </c>
    </row>
    <row r="1203" spans="1:18" hidden="1" x14ac:dyDescent="0.25">
      <c r="A1203" s="16">
        <v>45699</v>
      </c>
      <c r="B1203" s="2" t="s">
        <v>111</v>
      </c>
      <c r="C1203" s="2">
        <v>700</v>
      </c>
      <c r="D1203" s="19">
        <v>0.35</v>
      </c>
      <c r="E1203" s="11">
        <v>0.28599999999999998</v>
      </c>
      <c r="F1203" s="2">
        <f t="shared" si="197"/>
        <v>650</v>
      </c>
      <c r="G1203" s="2">
        <f t="shared" si="198"/>
        <v>0.7</v>
      </c>
      <c r="H1203" s="2">
        <f t="shared" si="199"/>
        <v>1.0769230769230769</v>
      </c>
      <c r="I1203" s="12">
        <v>0.02</v>
      </c>
      <c r="J1203" s="12">
        <v>7.0000000000000007E-2</v>
      </c>
      <c r="K1203" s="12">
        <f t="shared" si="200"/>
        <v>0.33373999999999998</v>
      </c>
      <c r="L1203" s="12">
        <f t="shared" si="201"/>
        <v>1.5006630769230769</v>
      </c>
      <c r="M1203" s="2">
        <f>L1203*250</f>
        <v>375.16576923076923</v>
      </c>
      <c r="N1203" s="2"/>
      <c r="O1203" s="2"/>
      <c r="P1203" s="2"/>
      <c r="Q1203" s="2"/>
      <c r="R1203" s="28">
        <v>16.666666666666668</v>
      </c>
    </row>
    <row r="1204" spans="1:18" hidden="1" x14ac:dyDescent="0.25">
      <c r="A1204" s="16">
        <v>45699</v>
      </c>
      <c r="B1204" s="2" t="s">
        <v>113</v>
      </c>
      <c r="C1204" s="2">
        <v>700</v>
      </c>
      <c r="D1204" s="19">
        <v>0.35</v>
      </c>
      <c r="E1204" s="11">
        <v>0.7</v>
      </c>
      <c r="F1204" s="2">
        <f t="shared" si="197"/>
        <v>650</v>
      </c>
      <c r="G1204" s="2">
        <f t="shared" si="198"/>
        <v>0.7</v>
      </c>
      <c r="H1204" s="2">
        <f t="shared" si="199"/>
        <v>1.0769230769230769</v>
      </c>
      <c r="I1204" s="12">
        <v>0.02</v>
      </c>
      <c r="J1204" s="12">
        <v>7.0000000000000007E-2</v>
      </c>
      <c r="K1204" s="12">
        <f t="shared" si="200"/>
        <v>0.81684615384615378</v>
      </c>
      <c r="L1204" s="12">
        <f t="shared" si="201"/>
        <v>1.9837692307692307</v>
      </c>
      <c r="M1204" s="2">
        <f>L1204*250</f>
        <v>495.94230769230768</v>
      </c>
      <c r="N1204" s="2"/>
      <c r="O1204" s="2"/>
      <c r="P1204" s="2"/>
      <c r="Q1204" s="2"/>
      <c r="R1204" s="28">
        <v>16.666666666666668</v>
      </c>
    </row>
    <row r="1205" spans="1:18" hidden="1" x14ac:dyDescent="0.25">
      <c r="A1205" s="16">
        <v>45699</v>
      </c>
      <c r="B1205" s="2" t="s">
        <v>90</v>
      </c>
      <c r="C1205" s="2">
        <v>430</v>
      </c>
      <c r="D1205" s="19">
        <v>0.15</v>
      </c>
      <c r="E1205" s="11">
        <v>0.16</v>
      </c>
      <c r="F1205" s="2">
        <f t="shared" si="197"/>
        <v>850</v>
      </c>
      <c r="G1205" s="2">
        <f t="shared" si="198"/>
        <v>0.43</v>
      </c>
      <c r="H1205" s="2">
        <f t="shared" si="199"/>
        <v>0.50588235294117645</v>
      </c>
      <c r="I1205" s="12">
        <v>0.02</v>
      </c>
      <c r="J1205" s="12">
        <v>7.0000000000000007E-2</v>
      </c>
      <c r="K1205" s="12">
        <f t="shared" si="200"/>
        <v>9.5341176470588249E-2</v>
      </c>
      <c r="L1205" s="12">
        <f t="shared" si="201"/>
        <v>0.69122352941176479</v>
      </c>
      <c r="M1205" s="2"/>
      <c r="N1205" s="2"/>
      <c r="O1205" s="2">
        <f>L1205*500</f>
        <v>345.61176470588242</v>
      </c>
      <c r="P1205" s="2"/>
      <c r="Q1205" s="2"/>
      <c r="R1205" s="28">
        <v>16.666666666666668</v>
      </c>
    </row>
    <row r="1206" spans="1:18" hidden="1" x14ac:dyDescent="0.25">
      <c r="A1206" s="16">
        <v>45699</v>
      </c>
      <c r="B1206" s="2" t="s">
        <v>192</v>
      </c>
      <c r="C1206" s="2">
        <v>630</v>
      </c>
      <c r="D1206" s="19">
        <v>0</v>
      </c>
      <c r="E1206" s="11">
        <v>4.2000000000000003E-2</v>
      </c>
      <c r="F1206" s="2">
        <f t="shared" si="197"/>
        <v>1000</v>
      </c>
      <c r="G1206" s="2">
        <f t="shared" si="198"/>
        <v>0.63</v>
      </c>
      <c r="H1206" s="2">
        <f t="shared" si="199"/>
        <v>0.63</v>
      </c>
      <c r="I1206" s="12">
        <v>0.02</v>
      </c>
      <c r="J1206" s="12">
        <v>7.0000000000000007E-2</v>
      </c>
      <c r="K1206" s="12">
        <f t="shared" si="200"/>
        <v>3.024E-2</v>
      </c>
      <c r="L1206" s="12">
        <f t="shared" si="201"/>
        <v>0.75024000000000002</v>
      </c>
      <c r="M1206" s="2"/>
      <c r="N1206" s="2"/>
      <c r="O1206" s="2">
        <f>L1206*500</f>
        <v>375.12</v>
      </c>
      <c r="P1206" s="2"/>
      <c r="Q1206" s="2"/>
      <c r="R1206" s="28">
        <v>16.666666666666668</v>
      </c>
    </row>
    <row r="1207" spans="1:18" hidden="1" x14ac:dyDescent="0.25">
      <c r="A1207" s="16">
        <v>45699</v>
      </c>
      <c r="B1207" s="2" t="s">
        <v>93</v>
      </c>
      <c r="C1207" s="2">
        <v>630</v>
      </c>
      <c r="D1207" s="19">
        <v>0</v>
      </c>
      <c r="E1207" s="11">
        <v>9.8000000000000004E-2</v>
      </c>
      <c r="F1207" s="2">
        <f t="shared" si="197"/>
        <v>1000</v>
      </c>
      <c r="G1207" s="2">
        <f t="shared" si="198"/>
        <v>0.63</v>
      </c>
      <c r="H1207" s="2">
        <f t="shared" si="199"/>
        <v>0.63</v>
      </c>
      <c r="I1207" s="12">
        <v>0.02</v>
      </c>
      <c r="J1207" s="12">
        <v>7.0000000000000007E-2</v>
      </c>
      <c r="K1207" s="12">
        <f t="shared" si="200"/>
        <v>7.0559999999999998E-2</v>
      </c>
      <c r="L1207" s="12">
        <f t="shared" si="201"/>
        <v>0.79055999999999993</v>
      </c>
      <c r="M1207" s="2"/>
      <c r="N1207" s="2"/>
      <c r="O1207" s="2">
        <f>L1207*500</f>
        <v>395.28</v>
      </c>
      <c r="P1207" s="2"/>
      <c r="Q1207" s="2"/>
      <c r="R1207" s="28">
        <v>16.666666666666668</v>
      </c>
    </row>
    <row r="1208" spans="1:18" hidden="1" x14ac:dyDescent="0.25">
      <c r="A1208" s="16">
        <v>45699</v>
      </c>
      <c r="B1208" s="2" t="s">
        <v>114</v>
      </c>
      <c r="C1208" s="2">
        <v>600</v>
      </c>
      <c r="D1208" s="19">
        <v>0.64</v>
      </c>
      <c r="E1208" s="11">
        <v>0.128</v>
      </c>
      <c r="F1208" s="2">
        <f t="shared" si="197"/>
        <v>360</v>
      </c>
      <c r="G1208" s="2">
        <f t="shared" si="198"/>
        <v>0.6</v>
      </c>
      <c r="H1208" s="2">
        <f t="shared" si="199"/>
        <v>1.6666666666666667</v>
      </c>
      <c r="I1208" s="12">
        <v>0.02</v>
      </c>
      <c r="J1208" s="12">
        <v>7.0000000000000007E-2</v>
      </c>
      <c r="K1208" s="12">
        <f t="shared" si="200"/>
        <v>0.22485333333333335</v>
      </c>
      <c r="L1208" s="12">
        <f t="shared" si="201"/>
        <v>1.9815200000000002</v>
      </c>
      <c r="M1208" s="2">
        <f>L1208*250</f>
        <v>495.38000000000005</v>
      </c>
      <c r="N1208" s="2"/>
      <c r="O1208" s="2"/>
      <c r="P1208" s="2"/>
      <c r="Q1208" s="2"/>
      <c r="R1208" s="28">
        <v>16.666666666666668</v>
      </c>
    </row>
    <row r="1209" spans="1:18" hidden="1" x14ac:dyDescent="0.25">
      <c r="A1209" s="16">
        <v>45700</v>
      </c>
      <c r="B1209" s="2" t="s">
        <v>128</v>
      </c>
      <c r="C1209" s="2">
        <v>300</v>
      </c>
      <c r="D1209" s="19">
        <v>0</v>
      </c>
      <c r="E1209" s="11">
        <v>0.41499999999999998</v>
      </c>
      <c r="F1209" s="2">
        <f t="shared" si="197"/>
        <v>1000</v>
      </c>
      <c r="G1209" s="2">
        <f t="shared" si="198"/>
        <v>0.3</v>
      </c>
      <c r="H1209" s="2">
        <f t="shared" si="199"/>
        <v>0.3</v>
      </c>
      <c r="I1209" s="12">
        <v>0.02</v>
      </c>
      <c r="J1209" s="12">
        <v>7.0000000000000007E-2</v>
      </c>
      <c r="K1209" s="12">
        <f t="shared" si="200"/>
        <v>0.16184999999999999</v>
      </c>
      <c r="L1209" s="12">
        <f t="shared" si="201"/>
        <v>0.55184999999999995</v>
      </c>
      <c r="M1209" s="2"/>
      <c r="N1209" s="2"/>
      <c r="O1209" s="2">
        <f>L1209*500</f>
        <v>275.92499999999995</v>
      </c>
      <c r="P1209" s="2"/>
      <c r="Q1209" s="2"/>
      <c r="R1209" s="28">
        <v>16.666666666666668</v>
      </c>
    </row>
    <row r="1210" spans="1:18" hidden="1" x14ac:dyDescent="0.25">
      <c r="A1210" s="16">
        <v>45700</v>
      </c>
      <c r="B1210" s="2" t="s">
        <v>118</v>
      </c>
      <c r="C1210" s="2">
        <v>280</v>
      </c>
      <c r="D1210" s="19">
        <v>0.33</v>
      </c>
      <c r="E1210" s="11">
        <v>0.54</v>
      </c>
      <c r="F1210" s="2">
        <f t="shared" si="197"/>
        <v>670</v>
      </c>
      <c r="G1210" s="2">
        <f t="shared" si="198"/>
        <v>0.28000000000000003</v>
      </c>
      <c r="H1210" s="2">
        <f t="shared" si="199"/>
        <v>0.41791044776119401</v>
      </c>
      <c r="I1210" s="12">
        <v>0.02</v>
      </c>
      <c r="J1210" s="12">
        <v>7.0000000000000007E-2</v>
      </c>
      <c r="K1210" s="12">
        <f t="shared" si="200"/>
        <v>0.2742716417910448</v>
      </c>
      <c r="L1210" s="12">
        <f t="shared" si="201"/>
        <v>0.78218208955223878</v>
      </c>
      <c r="M1210" s="2">
        <f>L1210*250</f>
        <v>195.54552238805971</v>
      </c>
      <c r="N1210" s="2"/>
      <c r="O1210" s="2"/>
      <c r="P1210" s="2"/>
      <c r="Q1210" s="2"/>
      <c r="R1210" s="28">
        <v>16.666666666666668</v>
      </c>
    </row>
    <row r="1211" spans="1:18" hidden="1" x14ac:dyDescent="0.25">
      <c r="A1211" s="16">
        <v>45700</v>
      </c>
      <c r="B1211" s="2" t="s">
        <v>40</v>
      </c>
      <c r="C1211" s="2">
        <v>250</v>
      </c>
      <c r="D1211" s="19">
        <v>0.01</v>
      </c>
      <c r="E1211" s="11">
        <v>2.5000000000000001E-2</v>
      </c>
      <c r="F1211" s="2">
        <f t="shared" si="197"/>
        <v>990</v>
      </c>
      <c r="G1211" s="2">
        <f t="shared" si="198"/>
        <v>0.25</v>
      </c>
      <c r="H1211" s="2">
        <f t="shared" si="199"/>
        <v>0.25252525252525254</v>
      </c>
      <c r="I1211" s="12">
        <v>0.02</v>
      </c>
      <c r="J1211" s="12">
        <v>7.0000000000000007E-2</v>
      </c>
      <c r="K1211" s="12">
        <f t="shared" si="200"/>
        <v>8.5631313131313141E-3</v>
      </c>
      <c r="L1211" s="12">
        <f t="shared" si="201"/>
        <v>0.35108838383838387</v>
      </c>
      <c r="M1211" s="2"/>
      <c r="N1211" s="2"/>
      <c r="O1211" s="2">
        <f>L1211*500</f>
        <v>175.54419191919195</v>
      </c>
      <c r="P1211" s="2"/>
      <c r="Q1211" s="2"/>
      <c r="R1211" s="28">
        <v>16.666666666666668</v>
      </c>
    </row>
    <row r="1212" spans="1:18" hidden="1" x14ac:dyDescent="0.25">
      <c r="A1212" s="16">
        <v>45700</v>
      </c>
      <c r="B1212" s="2" t="s">
        <v>94</v>
      </c>
      <c r="C1212" s="2">
        <v>320</v>
      </c>
      <c r="D1212" s="19">
        <v>0.17</v>
      </c>
      <c r="E1212" s="11">
        <v>3.1E-2</v>
      </c>
      <c r="F1212" s="2">
        <f t="shared" si="197"/>
        <v>830</v>
      </c>
      <c r="G1212" s="2">
        <f t="shared" si="198"/>
        <v>0.32</v>
      </c>
      <c r="H1212" s="2">
        <f t="shared" si="199"/>
        <v>0.38554216867469882</v>
      </c>
      <c r="I1212" s="12">
        <v>0.02</v>
      </c>
      <c r="J1212" s="12">
        <v>7.0000000000000007E-2</v>
      </c>
      <c r="K1212" s="12">
        <f t="shared" si="200"/>
        <v>1.4741807228915663E-2</v>
      </c>
      <c r="L1212" s="12">
        <f t="shared" si="201"/>
        <v>0.4902839759036145</v>
      </c>
      <c r="M1212" s="2"/>
      <c r="N1212" s="2"/>
      <c r="O1212" s="2">
        <f>L1212*500</f>
        <v>245.14198795180724</v>
      </c>
      <c r="P1212" s="2"/>
      <c r="Q1212" s="2"/>
      <c r="R1212" s="28">
        <v>16.666666666666668</v>
      </c>
    </row>
    <row r="1213" spans="1:18" hidden="1" x14ac:dyDescent="0.25">
      <c r="A1213" s="16">
        <v>45700</v>
      </c>
      <c r="B1213" s="2" t="s">
        <v>173</v>
      </c>
      <c r="C1213" s="2">
        <v>600</v>
      </c>
      <c r="D1213" s="19">
        <v>0.32</v>
      </c>
      <c r="E1213" s="11">
        <v>0.52600000000000002</v>
      </c>
      <c r="F1213" s="2">
        <f t="shared" si="197"/>
        <v>680</v>
      </c>
      <c r="G1213" s="2">
        <f t="shared" si="198"/>
        <v>0.6</v>
      </c>
      <c r="H1213" s="2">
        <f t="shared" si="199"/>
        <v>0.88235294117647056</v>
      </c>
      <c r="I1213" s="12">
        <v>0.02</v>
      </c>
      <c r="J1213" s="12">
        <v>7.0000000000000007E-2</v>
      </c>
      <c r="K1213" s="12">
        <f t="shared" si="200"/>
        <v>0.51145764705882357</v>
      </c>
      <c r="L1213" s="12">
        <f t="shared" si="201"/>
        <v>1.4838105882352943</v>
      </c>
      <c r="M1213" s="2"/>
      <c r="N1213" s="2">
        <f>L1213*300</f>
        <v>445.14317647058829</v>
      </c>
      <c r="O1213" s="2"/>
      <c r="P1213" s="2"/>
      <c r="Q1213" s="2"/>
      <c r="R1213" s="28">
        <v>16.666666666666668</v>
      </c>
    </row>
    <row r="1214" spans="1:18" hidden="1" x14ac:dyDescent="0.25">
      <c r="A1214" s="16">
        <v>45700</v>
      </c>
      <c r="B1214" s="2" t="s">
        <v>160</v>
      </c>
      <c r="C1214" s="2">
        <v>600</v>
      </c>
      <c r="D1214" s="19">
        <v>0.32</v>
      </c>
      <c r="E1214" s="11">
        <v>0.53400000000000003</v>
      </c>
      <c r="F1214" s="2">
        <f t="shared" si="197"/>
        <v>680</v>
      </c>
      <c r="G1214" s="2">
        <f t="shared" si="198"/>
        <v>0.6</v>
      </c>
      <c r="H1214" s="2">
        <f t="shared" si="199"/>
        <v>0.88235294117647056</v>
      </c>
      <c r="I1214" s="12">
        <v>0.02</v>
      </c>
      <c r="J1214" s="12">
        <v>7.0000000000000007E-2</v>
      </c>
      <c r="K1214" s="12">
        <f t="shared" si="200"/>
        <v>0.5192364705882353</v>
      </c>
      <c r="L1214" s="12">
        <f t="shared" si="201"/>
        <v>1.4915894117647059</v>
      </c>
      <c r="M1214" s="2"/>
      <c r="N1214" s="2"/>
      <c r="O1214" s="2">
        <f>L1214*500</f>
        <v>745.79470588235301</v>
      </c>
      <c r="P1214" s="2"/>
      <c r="Q1214" s="2"/>
      <c r="R1214" s="28">
        <v>16.666666666666668</v>
      </c>
    </row>
    <row r="1215" spans="1:18" hidden="1" x14ac:dyDescent="0.25">
      <c r="A1215" s="16">
        <v>45700</v>
      </c>
      <c r="B1215" s="2" t="s">
        <v>208</v>
      </c>
      <c r="C1215" s="2">
        <v>600</v>
      </c>
      <c r="D1215" s="19">
        <v>0.32</v>
      </c>
      <c r="E1215" s="11">
        <v>0.54500000000000004</v>
      </c>
      <c r="F1215" s="2">
        <f t="shared" si="197"/>
        <v>680</v>
      </c>
      <c r="G1215" s="2">
        <f t="shared" si="198"/>
        <v>0.6</v>
      </c>
      <c r="H1215" s="2">
        <f t="shared" si="199"/>
        <v>0.88235294117647056</v>
      </c>
      <c r="I1215" s="12">
        <v>0.02</v>
      </c>
      <c r="J1215" s="12">
        <v>7.0000000000000007E-2</v>
      </c>
      <c r="K1215" s="12">
        <f t="shared" si="200"/>
        <v>0.52993235294117658</v>
      </c>
      <c r="L1215" s="12">
        <f t="shared" si="201"/>
        <v>1.5022852941176472</v>
      </c>
      <c r="M1215" s="2">
        <f>L1215*250</f>
        <v>375.57132352941181</v>
      </c>
      <c r="N1215" s="2"/>
      <c r="O1215" s="2"/>
      <c r="P1215" s="2"/>
      <c r="Q1215" s="2"/>
      <c r="R1215" s="28">
        <v>16.666666666666668</v>
      </c>
    </row>
    <row r="1216" spans="1:18" hidden="1" x14ac:dyDescent="0.25">
      <c r="A1216" s="16">
        <v>45700</v>
      </c>
      <c r="B1216" s="2" t="s">
        <v>204</v>
      </c>
      <c r="C1216" s="2">
        <v>750</v>
      </c>
      <c r="D1216" s="19">
        <v>0.34</v>
      </c>
      <c r="E1216" s="11">
        <v>0.215</v>
      </c>
      <c r="F1216" s="2">
        <f t="shared" si="197"/>
        <v>660</v>
      </c>
      <c r="G1216" s="2">
        <f t="shared" si="198"/>
        <v>0.75</v>
      </c>
      <c r="H1216" s="2">
        <f t="shared" si="199"/>
        <v>1.1363636363636365</v>
      </c>
      <c r="I1216" s="12">
        <v>0.02</v>
      </c>
      <c r="J1216" s="12">
        <v>7.0000000000000007E-2</v>
      </c>
      <c r="K1216" s="12">
        <f t="shared" si="200"/>
        <v>0.26366818181818186</v>
      </c>
      <c r="L1216" s="12">
        <f t="shared" si="201"/>
        <v>1.4900318181818184</v>
      </c>
      <c r="M1216" s="2"/>
      <c r="N1216" s="2"/>
      <c r="O1216" s="2">
        <f>L1216*500</f>
        <v>745.01590909090919</v>
      </c>
      <c r="P1216" s="2"/>
      <c r="Q1216" s="2"/>
      <c r="R1216" s="28">
        <v>16.666666666666668</v>
      </c>
    </row>
    <row r="1217" spans="1:18" hidden="1" x14ac:dyDescent="0.25">
      <c r="A1217" s="16">
        <v>45700</v>
      </c>
      <c r="B1217" s="2" t="s">
        <v>205</v>
      </c>
      <c r="C1217" s="2">
        <v>750</v>
      </c>
      <c r="D1217" s="19">
        <v>0.34</v>
      </c>
      <c r="E1217" s="11">
        <v>0.224</v>
      </c>
      <c r="F1217" s="2">
        <f t="shared" si="197"/>
        <v>660</v>
      </c>
      <c r="G1217" s="2">
        <f t="shared" si="198"/>
        <v>0.75</v>
      </c>
      <c r="H1217" s="2">
        <f t="shared" si="199"/>
        <v>1.1363636363636365</v>
      </c>
      <c r="I1217" s="12">
        <v>0.02</v>
      </c>
      <c r="J1217" s="12">
        <v>7.0000000000000007E-2</v>
      </c>
      <c r="K1217" s="12">
        <f t="shared" si="200"/>
        <v>0.27470545454545459</v>
      </c>
      <c r="L1217" s="12">
        <f t="shared" si="201"/>
        <v>1.5010690909090911</v>
      </c>
      <c r="M1217" s="2">
        <f>L1217*250</f>
        <v>375.26727272727277</v>
      </c>
      <c r="N1217" s="2"/>
      <c r="O1217" s="2"/>
      <c r="P1217" s="2"/>
      <c r="Q1217" s="2"/>
      <c r="R1217" s="28">
        <v>16.666666666666668</v>
      </c>
    </row>
    <row r="1218" spans="1:18" hidden="1" x14ac:dyDescent="0.25">
      <c r="A1218" s="16">
        <v>45700</v>
      </c>
      <c r="B1218" s="2" t="s">
        <v>138</v>
      </c>
      <c r="C1218" s="2">
        <v>460</v>
      </c>
      <c r="D1218" s="19">
        <v>0.64</v>
      </c>
      <c r="E1218" s="11">
        <v>0.24299999999999999</v>
      </c>
      <c r="F1218" s="2">
        <f t="shared" si="197"/>
        <v>360</v>
      </c>
      <c r="G1218" s="2">
        <f t="shared" si="198"/>
        <v>0.46</v>
      </c>
      <c r="H1218" s="2">
        <f t="shared" si="199"/>
        <v>1.2777777777777777</v>
      </c>
      <c r="I1218" s="12">
        <v>0.02</v>
      </c>
      <c r="J1218" s="12">
        <v>7.0000000000000007E-2</v>
      </c>
      <c r="K1218" s="12">
        <f t="shared" si="200"/>
        <v>0.33237</v>
      </c>
      <c r="L1218" s="12">
        <f t="shared" si="201"/>
        <v>1.7001477777777778</v>
      </c>
      <c r="M1218" s="2">
        <f>L1218*250</f>
        <v>425.03694444444443</v>
      </c>
      <c r="N1218" s="2"/>
      <c r="O1218" s="2"/>
      <c r="P1218" s="2"/>
      <c r="Q1218" s="2"/>
      <c r="R1218" s="28">
        <v>16.666666666666668</v>
      </c>
    </row>
    <row r="1219" spans="1:18" hidden="1" x14ac:dyDescent="0.25">
      <c r="A1219" s="16">
        <v>45700</v>
      </c>
      <c r="B1219" s="2" t="s">
        <v>125</v>
      </c>
      <c r="C1219" s="2">
        <v>220</v>
      </c>
      <c r="D1219" s="19">
        <v>0</v>
      </c>
      <c r="E1219" s="11">
        <v>0.58499999999999996</v>
      </c>
      <c r="F1219" s="2">
        <f t="shared" si="197"/>
        <v>1000</v>
      </c>
      <c r="G1219" s="2">
        <f t="shared" si="198"/>
        <v>0.22</v>
      </c>
      <c r="H1219" s="2">
        <f t="shared" si="199"/>
        <v>0.22</v>
      </c>
      <c r="I1219" s="12">
        <v>0.02</v>
      </c>
      <c r="J1219" s="12">
        <v>7.0000000000000007E-2</v>
      </c>
      <c r="K1219" s="12">
        <f t="shared" si="200"/>
        <v>0.18134999999999998</v>
      </c>
      <c r="L1219" s="12">
        <f t="shared" si="201"/>
        <v>0.49134999999999995</v>
      </c>
      <c r="M1219" s="2"/>
      <c r="N1219" s="2"/>
      <c r="O1219" s="2">
        <f>L1219*500</f>
        <v>245.67499999999998</v>
      </c>
      <c r="P1219" s="2"/>
      <c r="Q1219" s="2"/>
      <c r="R1219" s="28">
        <v>16.666666666666668</v>
      </c>
    </row>
    <row r="1220" spans="1:18" hidden="1" x14ac:dyDescent="0.25">
      <c r="A1220" s="16">
        <v>45700</v>
      </c>
      <c r="B1220" s="2" t="s">
        <v>162</v>
      </c>
      <c r="C1220" s="2">
        <v>250</v>
      </c>
      <c r="D1220" s="19">
        <v>0</v>
      </c>
      <c r="E1220" s="11">
        <v>0.15</v>
      </c>
      <c r="F1220" s="2">
        <f t="shared" si="197"/>
        <v>1000</v>
      </c>
      <c r="G1220" s="2">
        <f t="shared" si="198"/>
        <v>0.25</v>
      </c>
      <c r="H1220" s="2">
        <f t="shared" si="199"/>
        <v>0.25</v>
      </c>
      <c r="I1220" s="12">
        <v>0.02</v>
      </c>
      <c r="J1220" s="12">
        <v>7.0000000000000007E-2</v>
      </c>
      <c r="K1220" s="12">
        <f t="shared" si="200"/>
        <v>5.1000000000000004E-2</v>
      </c>
      <c r="L1220" s="12">
        <f t="shared" si="201"/>
        <v>0.39100000000000001</v>
      </c>
      <c r="M1220" s="2"/>
      <c r="N1220" s="2"/>
      <c r="O1220" s="2">
        <f>L1220*500</f>
        <v>195.5</v>
      </c>
      <c r="P1220" s="2"/>
      <c r="Q1220" s="2"/>
      <c r="R1220" s="28">
        <v>16.666666666666668</v>
      </c>
    </row>
    <row r="1221" spans="1:18" hidden="1" x14ac:dyDescent="0.25">
      <c r="A1221" s="16">
        <v>45700</v>
      </c>
      <c r="B1221" s="2" t="s">
        <v>110</v>
      </c>
      <c r="C1221" s="2">
        <v>100</v>
      </c>
      <c r="D1221" s="19">
        <v>0.04</v>
      </c>
      <c r="E1221" s="11">
        <v>0.5</v>
      </c>
      <c r="F1221" s="2">
        <f t="shared" si="197"/>
        <v>960</v>
      </c>
      <c r="G1221" s="2">
        <f t="shared" si="198"/>
        <v>0.1</v>
      </c>
      <c r="H1221" s="2">
        <f t="shared" si="199"/>
        <v>0.10416666666666667</v>
      </c>
      <c r="I1221" s="12">
        <v>0.02</v>
      </c>
      <c r="J1221" s="12">
        <v>7.0000000000000007E-2</v>
      </c>
      <c r="K1221" s="12">
        <f t="shared" si="200"/>
        <v>9.7083333333333341E-2</v>
      </c>
      <c r="L1221" s="12">
        <f t="shared" si="201"/>
        <v>0.29125000000000001</v>
      </c>
      <c r="M1221" s="2"/>
      <c r="N1221" s="2"/>
      <c r="O1221" s="2">
        <f>L1221*500</f>
        <v>145.625</v>
      </c>
      <c r="P1221" s="2"/>
      <c r="Q1221" s="2"/>
      <c r="R1221" s="28">
        <v>16.666666666666668</v>
      </c>
    </row>
    <row r="1222" spans="1:18" hidden="1" x14ac:dyDescent="0.25">
      <c r="A1222" s="16">
        <v>45701</v>
      </c>
      <c r="B1222" s="2" t="s">
        <v>202</v>
      </c>
      <c r="C1222" s="2">
        <v>370</v>
      </c>
      <c r="D1222" s="19">
        <v>0.52</v>
      </c>
      <c r="E1222" s="11">
        <v>0.38400000000000001</v>
      </c>
      <c r="F1222" s="2">
        <f t="shared" si="197"/>
        <v>480</v>
      </c>
      <c r="G1222" s="2">
        <f t="shared" si="198"/>
        <v>0.37</v>
      </c>
      <c r="H1222" s="2">
        <f t="shared" si="199"/>
        <v>0.77083333333333337</v>
      </c>
      <c r="I1222" s="12">
        <v>0.02</v>
      </c>
      <c r="J1222" s="12">
        <v>7.0000000000000007E-2</v>
      </c>
      <c r="K1222" s="12">
        <f t="shared" si="200"/>
        <v>0.33056000000000002</v>
      </c>
      <c r="L1222" s="12">
        <f t="shared" si="201"/>
        <v>1.1913933333333333</v>
      </c>
      <c r="M1222" s="2"/>
      <c r="N1222" s="2"/>
      <c r="O1222" s="2">
        <f>L1222*500</f>
        <v>595.6966666666666</v>
      </c>
      <c r="P1222" s="2"/>
      <c r="Q1222" s="2"/>
      <c r="R1222" s="28">
        <v>16.666666666666668</v>
      </c>
    </row>
    <row r="1223" spans="1:18" hidden="1" x14ac:dyDescent="0.25">
      <c r="A1223" s="16">
        <v>45701</v>
      </c>
      <c r="B1223" s="2" t="s">
        <v>142</v>
      </c>
      <c r="C1223" s="2">
        <v>370</v>
      </c>
      <c r="D1223" s="19">
        <v>0.52</v>
      </c>
      <c r="E1223" s="11">
        <v>0.28000000000000003</v>
      </c>
      <c r="F1223" s="2">
        <f t="shared" si="197"/>
        <v>480</v>
      </c>
      <c r="G1223" s="2">
        <f t="shared" si="198"/>
        <v>0.37</v>
      </c>
      <c r="H1223" s="2">
        <f t="shared" si="199"/>
        <v>0.77083333333333337</v>
      </c>
      <c r="I1223" s="12">
        <v>0.02</v>
      </c>
      <c r="J1223" s="12">
        <v>7.0000000000000007E-2</v>
      </c>
      <c r="K1223" s="12">
        <f t="shared" si="200"/>
        <v>0.24103333333333335</v>
      </c>
      <c r="L1223" s="12">
        <f t="shared" si="201"/>
        <v>1.1018666666666668</v>
      </c>
      <c r="M1223" s="2">
        <f>L1223*250</f>
        <v>275.4666666666667</v>
      </c>
      <c r="N1223" s="2"/>
      <c r="O1223" s="2"/>
      <c r="P1223" s="2"/>
      <c r="Q1223" s="2"/>
      <c r="R1223" s="28">
        <v>16.666666666666668</v>
      </c>
    </row>
    <row r="1224" spans="1:18" hidden="1" x14ac:dyDescent="0.25">
      <c r="A1224" s="16">
        <v>45701</v>
      </c>
      <c r="B1224" s="2" t="s">
        <v>120</v>
      </c>
      <c r="C1224" s="2">
        <v>280</v>
      </c>
      <c r="D1224" s="19">
        <v>0.5</v>
      </c>
      <c r="E1224" s="11">
        <v>0.39</v>
      </c>
      <c r="F1224" s="2">
        <f t="shared" si="197"/>
        <v>500</v>
      </c>
      <c r="G1224" s="2">
        <f t="shared" si="198"/>
        <v>0.28000000000000003</v>
      </c>
      <c r="H1224" s="2">
        <f t="shared" si="199"/>
        <v>0.56000000000000005</v>
      </c>
      <c r="I1224" s="12">
        <v>0.02</v>
      </c>
      <c r="J1224" s="12">
        <v>7.0000000000000007E-2</v>
      </c>
      <c r="K1224" s="12">
        <f t="shared" si="200"/>
        <v>0.25350000000000006</v>
      </c>
      <c r="L1224" s="12">
        <f t="shared" si="201"/>
        <v>0.90350000000000019</v>
      </c>
      <c r="M1224" s="2">
        <f>L1224*250</f>
        <v>225.87500000000006</v>
      </c>
      <c r="N1224" s="2"/>
      <c r="O1224" s="2"/>
      <c r="P1224" s="2"/>
      <c r="Q1224" s="2"/>
      <c r="R1224" s="28">
        <v>16.666666666666668</v>
      </c>
    </row>
    <row r="1225" spans="1:18" hidden="1" x14ac:dyDescent="0.25">
      <c r="A1225" s="16">
        <v>45701</v>
      </c>
      <c r="B1225" s="2" t="s">
        <v>152</v>
      </c>
      <c r="C1225" s="2">
        <v>250</v>
      </c>
      <c r="D1225" s="19">
        <v>0.02</v>
      </c>
      <c r="E1225" s="11">
        <v>0.25600000000000001</v>
      </c>
      <c r="F1225" s="2">
        <f t="shared" si="197"/>
        <v>980</v>
      </c>
      <c r="G1225" s="2">
        <f t="shared" si="198"/>
        <v>0.25</v>
      </c>
      <c r="H1225" s="2">
        <f t="shared" si="199"/>
        <v>0.25510204081632654</v>
      </c>
      <c r="I1225" s="12">
        <v>0.02</v>
      </c>
      <c r="J1225" s="12">
        <v>7.0000000000000007E-2</v>
      </c>
      <c r="K1225" s="12">
        <f t="shared" si="200"/>
        <v>8.8346122448979603E-2</v>
      </c>
      <c r="L1225" s="12">
        <f t="shared" si="201"/>
        <v>0.43344816326530616</v>
      </c>
      <c r="M1225" s="2"/>
      <c r="N1225" s="2"/>
      <c r="O1225" s="2">
        <f>L1225*450</f>
        <v>195.05167346938777</v>
      </c>
      <c r="P1225" s="2"/>
      <c r="Q1225" s="2"/>
      <c r="R1225" s="28">
        <v>16.666666666666668</v>
      </c>
    </row>
    <row r="1226" spans="1:18" hidden="1" x14ac:dyDescent="0.25">
      <c r="A1226" s="16">
        <v>45701</v>
      </c>
      <c r="B1226" s="2" t="s">
        <v>137</v>
      </c>
      <c r="C1226" s="2">
        <v>250</v>
      </c>
      <c r="D1226" s="19">
        <v>0.02</v>
      </c>
      <c r="E1226" s="11">
        <v>1.4999999999999999E-2</v>
      </c>
      <c r="F1226" s="2">
        <f t="shared" si="197"/>
        <v>980</v>
      </c>
      <c r="G1226" s="2">
        <f t="shared" si="198"/>
        <v>0.25</v>
      </c>
      <c r="H1226" s="2">
        <f t="shared" si="199"/>
        <v>0.25510204081632654</v>
      </c>
      <c r="I1226" s="12">
        <v>0.02</v>
      </c>
      <c r="J1226" s="12">
        <v>7.0000000000000007E-2</v>
      </c>
      <c r="K1226" s="12">
        <f t="shared" si="200"/>
        <v>5.1765306122448984E-3</v>
      </c>
      <c r="L1226" s="12">
        <f t="shared" si="201"/>
        <v>0.35027857142857144</v>
      </c>
      <c r="M1226" s="2"/>
      <c r="N1226" s="2"/>
      <c r="O1226" s="2">
        <f t="shared" ref="O1226:O1247" si="207">L1226*500</f>
        <v>175.13928571428573</v>
      </c>
      <c r="P1226" s="2"/>
      <c r="Q1226" s="2"/>
      <c r="R1226" s="28">
        <v>16.666666666666668</v>
      </c>
    </row>
    <row r="1227" spans="1:18" hidden="1" x14ac:dyDescent="0.25">
      <c r="A1227" s="16">
        <v>45701</v>
      </c>
      <c r="B1227" s="2" t="s">
        <v>107</v>
      </c>
      <c r="C1227" s="2">
        <v>430</v>
      </c>
      <c r="D1227" s="19">
        <v>0</v>
      </c>
      <c r="E1227" s="11">
        <v>0.25</v>
      </c>
      <c r="F1227" s="2">
        <f t="shared" si="197"/>
        <v>1000</v>
      </c>
      <c r="G1227" s="2">
        <f t="shared" si="198"/>
        <v>0.43</v>
      </c>
      <c r="H1227" s="2">
        <f t="shared" si="199"/>
        <v>0.43</v>
      </c>
      <c r="I1227" s="12">
        <v>0.02</v>
      </c>
      <c r="J1227" s="12">
        <v>7.0000000000000007E-2</v>
      </c>
      <c r="K1227" s="12">
        <f t="shared" si="200"/>
        <v>0.13</v>
      </c>
      <c r="L1227" s="12">
        <f t="shared" si="201"/>
        <v>0.65</v>
      </c>
      <c r="M1227" s="2"/>
      <c r="N1227" s="2"/>
      <c r="O1227" s="2">
        <f t="shared" si="207"/>
        <v>325</v>
      </c>
      <c r="P1227" s="2"/>
      <c r="Q1227" s="2"/>
      <c r="R1227" s="28">
        <v>16.666666666666668</v>
      </c>
    </row>
    <row r="1228" spans="1:18" hidden="1" x14ac:dyDescent="0.25">
      <c r="A1228" s="16">
        <v>45701</v>
      </c>
      <c r="B1228" s="2" t="s">
        <v>154</v>
      </c>
      <c r="C1228" s="2">
        <v>310</v>
      </c>
      <c r="D1228" s="19">
        <v>0.04</v>
      </c>
      <c r="E1228" s="11">
        <v>0.19</v>
      </c>
      <c r="F1228" s="2">
        <f t="shared" si="197"/>
        <v>960</v>
      </c>
      <c r="G1228" s="2">
        <f t="shared" si="198"/>
        <v>0.31</v>
      </c>
      <c r="H1228" s="2">
        <f t="shared" si="199"/>
        <v>0.32291666666666669</v>
      </c>
      <c r="I1228" s="12">
        <v>0.02</v>
      </c>
      <c r="J1228" s="12">
        <v>7.0000000000000007E-2</v>
      </c>
      <c r="K1228" s="12">
        <f t="shared" si="200"/>
        <v>7.8454166666666672E-2</v>
      </c>
      <c r="L1228" s="12">
        <f t="shared" si="201"/>
        <v>0.49137083333333337</v>
      </c>
      <c r="M1228" s="2"/>
      <c r="N1228" s="2"/>
      <c r="O1228" s="2">
        <f t="shared" si="207"/>
        <v>245.6854166666667</v>
      </c>
      <c r="P1228" s="2"/>
      <c r="Q1228" s="2"/>
      <c r="R1228" s="28">
        <v>16.666666666666668</v>
      </c>
    </row>
    <row r="1229" spans="1:18" hidden="1" x14ac:dyDescent="0.25">
      <c r="A1229" s="16">
        <v>45701</v>
      </c>
      <c r="B1229" s="2" t="s">
        <v>206</v>
      </c>
      <c r="C1229" s="2">
        <v>310</v>
      </c>
      <c r="D1229" s="19">
        <v>0.04</v>
      </c>
      <c r="E1229" s="11">
        <v>0.19</v>
      </c>
      <c r="F1229" s="2">
        <f t="shared" si="197"/>
        <v>960</v>
      </c>
      <c r="G1229" s="2">
        <f t="shared" si="198"/>
        <v>0.31</v>
      </c>
      <c r="H1229" s="2">
        <f t="shared" si="199"/>
        <v>0.32291666666666669</v>
      </c>
      <c r="I1229" s="12">
        <v>0.02</v>
      </c>
      <c r="J1229" s="12">
        <v>7.0000000000000007E-2</v>
      </c>
      <c r="K1229" s="12">
        <f t="shared" si="200"/>
        <v>7.8454166666666672E-2</v>
      </c>
      <c r="L1229" s="12">
        <f t="shared" si="201"/>
        <v>0.49137083333333337</v>
      </c>
      <c r="M1229" s="2"/>
      <c r="N1229" s="2"/>
      <c r="O1229" s="2">
        <f t="shared" si="207"/>
        <v>245.6854166666667</v>
      </c>
      <c r="P1229" s="2"/>
      <c r="Q1229" s="2"/>
      <c r="R1229" s="28">
        <v>16.666666666666668</v>
      </c>
    </row>
    <row r="1230" spans="1:18" hidden="1" x14ac:dyDescent="0.25">
      <c r="A1230" s="16">
        <v>45701</v>
      </c>
      <c r="B1230" s="2" t="s">
        <v>90</v>
      </c>
      <c r="C1230" s="2">
        <v>370</v>
      </c>
      <c r="D1230" s="19">
        <v>0.18</v>
      </c>
      <c r="E1230" s="11">
        <v>0.27500000000000002</v>
      </c>
      <c r="F1230" s="2">
        <f t="shared" si="197"/>
        <v>820</v>
      </c>
      <c r="G1230" s="2">
        <f t="shared" si="198"/>
        <v>0.37</v>
      </c>
      <c r="H1230" s="2">
        <f t="shared" si="199"/>
        <v>0.45121951219512196</v>
      </c>
      <c r="I1230" s="12">
        <v>0.02</v>
      </c>
      <c r="J1230" s="12">
        <v>7.0000000000000007E-2</v>
      </c>
      <c r="K1230" s="12">
        <f t="shared" si="200"/>
        <v>0.14883536585365856</v>
      </c>
      <c r="L1230" s="12">
        <f t="shared" si="201"/>
        <v>0.69005487804878052</v>
      </c>
      <c r="M1230" s="2"/>
      <c r="N1230" s="2"/>
      <c r="O1230" s="2">
        <f t="shared" si="207"/>
        <v>345.02743902439028</v>
      </c>
      <c r="P1230" s="2"/>
      <c r="Q1230" s="2"/>
      <c r="R1230" s="28">
        <v>16.666666666666668</v>
      </c>
    </row>
    <row r="1231" spans="1:18" hidden="1" x14ac:dyDescent="0.25">
      <c r="A1231" s="16">
        <v>45701</v>
      </c>
      <c r="B1231" s="2" t="s">
        <v>91</v>
      </c>
      <c r="C1231" s="2">
        <v>370</v>
      </c>
      <c r="D1231" s="19">
        <v>0.18</v>
      </c>
      <c r="E1231" s="11">
        <v>0.27500000000000002</v>
      </c>
      <c r="F1231" s="2">
        <f t="shared" si="197"/>
        <v>820</v>
      </c>
      <c r="G1231" s="2">
        <f t="shared" si="198"/>
        <v>0.37</v>
      </c>
      <c r="H1231" s="2">
        <f t="shared" si="199"/>
        <v>0.45121951219512196</v>
      </c>
      <c r="I1231" s="12">
        <v>0.02</v>
      </c>
      <c r="J1231" s="12">
        <v>7.0000000000000007E-2</v>
      </c>
      <c r="K1231" s="12">
        <f t="shared" si="200"/>
        <v>0.14883536585365856</v>
      </c>
      <c r="L1231" s="12">
        <f t="shared" si="201"/>
        <v>0.69005487804878052</v>
      </c>
      <c r="M1231" s="2"/>
      <c r="N1231" s="2"/>
      <c r="O1231" s="2">
        <f t="shared" si="207"/>
        <v>345.02743902439028</v>
      </c>
      <c r="P1231" s="2"/>
      <c r="Q1231" s="2"/>
      <c r="R1231" s="28">
        <v>16.666666666666668</v>
      </c>
    </row>
    <row r="1232" spans="1:18" hidden="1" x14ac:dyDescent="0.25">
      <c r="A1232" s="16">
        <v>45701</v>
      </c>
      <c r="B1232" s="2" t="s">
        <v>196</v>
      </c>
      <c r="C1232" s="2">
        <v>550</v>
      </c>
      <c r="D1232" s="19">
        <v>7.0000000000000007E-2</v>
      </c>
      <c r="E1232" s="11">
        <v>1.2999999999999999E-2</v>
      </c>
      <c r="F1232" s="2">
        <f t="shared" si="197"/>
        <v>930</v>
      </c>
      <c r="G1232" s="2">
        <f t="shared" si="198"/>
        <v>0.55000000000000004</v>
      </c>
      <c r="H1232" s="2">
        <f t="shared" si="199"/>
        <v>0.59139784946236562</v>
      </c>
      <c r="I1232" s="12">
        <v>0.02</v>
      </c>
      <c r="J1232" s="12">
        <v>7.0000000000000007E-2</v>
      </c>
      <c r="K1232" s="12">
        <f t="shared" si="200"/>
        <v>8.8581720430107522E-3</v>
      </c>
      <c r="L1232" s="12">
        <f t="shared" si="201"/>
        <v>0.69025602150537635</v>
      </c>
      <c r="M1232" s="2"/>
      <c r="N1232" s="2"/>
      <c r="O1232" s="2">
        <f t="shared" si="207"/>
        <v>345.12801075268817</v>
      </c>
      <c r="P1232" s="2"/>
      <c r="Q1232" s="2"/>
      <c r="R1232" s="28">
        <v>16.666666666666668</v>
      </c>
    </row>
    <row r="1233" spans="1:18" hidden="1" x14ac:dyDescent="0.25">
      <c r="A1233" s="16">
        <v>45701</v>
      </c>
      <c r="B1233" s="2" t="s">
        <v>192</v>
      </c>
      <c r="C1233" s="2">
        <v>550</v>
      </c>
      <c r="D1233" s="19">
        <v>7.0000000000000007E-2</v>
      </c>
      <c r="E1233" s="11">
        <v>0.10199999999999999</v>
      </c>
      <c r="F1233" s="2">
        <f t="shared" ref="F1233:F1234" si="208">1000-1000*D1233</f>
        <v>930</v>
      </c>
      <c r="G1233" s="2">
        <f t="shared" ref="G1233:G1234" si="209">C1233/1000</f>
        <v>0.55000000000000004</v>
      </c>
      <c r="H1233" s="2">
        <f t="shared" ref="H1233:H1234" si="210">C1233/F1233</f>
        <v>0.59139784946236562</v>
      </c>
      <c r="I1233" s="12">
        <v>0.02</v>
      </c>
      <c r="J1233" s="12">
        <v>7.0000000000000007E-2</v>
      </c>
      <c r="K1233" s="12">
        <f t="shared" ref="K1233:K1234" si="211">SUM(H1233:J1233)*E1233</f>
        <v>6.950258064516128E-2</v>
      </c>
      <c r="L1233" s="12">
        <f t="shared" ref="L1233:L1234" si="212">SUM(H1233:K1233)</f>
        <v>0.75090043010752683</v>
      </c>
      <c r="M1233" s="2"/>
      <c r="N1233" s="2"/>
      <c r="O1233" s="2">
        <f t="shared" ref="O1233:O1234" si="213">L1233*500</f>
        <v>375.45021505376343</v>
      </c>
      <c r="P1233" s="2"/>
      <c r="Q1233" s="2"/>
      <c r="R1233" s="28">
        <v>16.666666666666668</v>
      </c>
    </row>
    <row r="1234" spans="1:18" hidden="1" x14ac:dyDescent="0.25">
      <c r="A1234" s="16">
        <v>45701</v>
      </c>
      <c r="B1234" s="2" t="s">
        <v>93</v>
      </c>
      <c r="C1234" s="2">
        <v>550</v>
      </c>
      <c r="D1234" s="19">
        <v>7.0000000000000007E-2</v>
      </c>
      <c r="E1234" s="11">
        <v>0.16</v>
      </c>
      <c r="F1234" s="2">
        <f t="shared" si="208"/>
        <v>930</v>
      </c>
      <c r="G1234" s="2">
        <f t="shared" si="209"/>
        <v>0.55000000000000004</v>
      </c>
      <c r="H1234" s="2">
        <f t="shared" si="210"/>
        <v>0.59139784946236562</v>
      </c>
      <c r="I1234" s="12">
        <v>0.02</v>
      </c>
      <c r="J1234" s="12">
        <v>7.0000000000000007E-2</v>
      </c>
      <c r="K1234" s="12">
        <f t="shared" si="211"/>
        <v>0.1090236559139785</v>
      </c>
      <c r="L1234" s="12">
        <f t="shared" si="212"/>
        <v>0.79042150537634415</v>
      </c>
      <c r="M1234" s="2"/>
      <c r="N1234" s="2"/>
      <c r="O1234" s="2">
        <f t="shared" si="213"/>
        <v>395.21075268817208</v>
      </c>
      <c r="P1234" s="2"/>
      <c r="Q1234" s="2"/>
      <c r="R1234" s="28">
        <v>16.666666666666668</v>
      </c>
    </row>
    <row r="1235" spans="1:18" hidden="1" x14ac:dyDescent="0.25">
      <c r="A1235" s="16">
        <v>45702</v>
      </c>
      <c r="B1235" s="2" t="s">
        <v>116</v>
      </c>
      <c r="C1235" s="2">
        <v>600</v>
      </c>
      <c r="D1235" s="19">
        <v>0.13</v>
      </c>
      <c r="E1235" s="11">
        <v>1.4999999999999999E-2</v>
      </c>
      <c r="F1235" s="2">
        <f t="shared" si="197"/>
        <v>870</v>
      </c>
      <c r="G1235" s="2">
        <f t="shared" ref="G1235:G1316" si="214">C1235/1000</f>
        <v>0.6</v>
      </c>
      <c r="H1235" s="2">
        <f t="shared" ref="H1235:H1316" si="215">C1235/F1235</f>
        <v>0.68965517241379315</v>
      </c>
      <c r="I1235" s="12">
        <v>0.02</v>
      </c>
      <c r="J1235" s="12">
        <v>7.0000000000000007E-2</v>
      </c>
      <c r="K1235" s="12">
        <f t="shared" ref="K1235:K1316" si="216">SUM(H1235:J1235)*E1235</f>
        <v>1.1694827586206899E-2</v>
      </c>
      <c r="L1235" s="12">
        <f t="shared" ref="L1235:L1316" si="217">SUM(H1235:K1235)</f>
        <v>0.79135000000000011</v>
      </c>
      <c r="M1235" s="2"/>
      <c r="N1235" s="2"/>
      <c r="O1235" s="2">
        <f t="shared" si="207"/>
        <v>395.67500000000007</v>
      </c>
      <c r="P1235" s="2"/>
      <c r="Q1235" s="2"/>
      <c r="R1235" s="28">
        <v>16.666666666666668</v>
      </c>
    </row>
    <row r="1236" spans="1:18" hidden="1" x14ac:dyDescent="0.25">
      <c r="A1236" s="16">
        <v>45702</v>
      </c>
      <c r="B1236" s="2" t="s">
        <v>110</v>
      </c>
      <c r="C1236" s="2">
        <v>110</v>
      </c>
      <c r="D1236" s="19">
        <v>0</v>
      </c>
      <c r="E1236" s="11">
        <v>0.45</v>
      </c>
      <c r="F1236" s="2">
        <f t="shared" si="197"/>
        <v>1000</v>
      </c>
      <c r="G1236" s="2">
        <f t="shared" si="214"/>
        <v>0.11</v>
      </c>
      <c r="H1236" s="2">
        <f t="shared" si="215"/>
        <v>0.11</v>
      </c>
      <c r="I1236" s="12">
        <v>0.02</v>
      </c>
      <c r="J1236" s="12">
        <v>7.0000000000000007E-2</v>
      </c>
      <c r="K1236" s="12">
        <f t="shared" si="216"/>
        <v>9.0000000000000011E-2</v>
      </c>
      <c r="L1236" s="12">
        <f t="shared" si="217"/>
        <v>0.29000000000000004</v>
      </c>
      <c r="M1236" s="2"/>
      <c r="N1236" s="2"/>
      <c r="O1236" s="2">
        <f t="shared" si="207"/>
        <v>145.00000000000003</v>
      </c>
      <c r="P1236" s="2"/>
      <c r="Q1236" s="2"/>
      <c r="R1236" s="28">
        <v>16.666666666666668</v>
      </c>
    </row>
    <row r="1237" spans="1:18" hidden="1" x14ac:dyDescent="0.25">
      <c r="A1237" s="16">
        <v>45702</v>
      </c>
      <c r="B1237" s="2" t="s">
        <v>162</v>
      </c>
      <c r="C1237" s="2">
        <v>240</v>
      </c>
      <c r="D1237" s="19">
        <v>0.01</v>
      </c>
      <c r="E1237" s="11">
        <v>0.17499999999999999</v>
      </c>
      <c r="F1237" s="2">
        <f t="shared" si="197"/>
        <v>990</v>
      </c>
      <c r="G1237" s="2">
        <f t="shared" si="214"/>
        <v>0.24</v>
      </c>
      <c r="H1237" s="2">
        <f t="shared" si="215"/>
        <v>0.24242424242424243</v>
      </c>
      <c r="I1237" s="12">
        <v>0.02</v>
      </c>
      <c r="J1237" s="12">
        <v>7.0000000000000007E-2</v>
      </c>
      <c r="K1237" s="12">
        <f t="shared" si="216"/>
        <v>5.8174242424242427E-2</v>
      </c>
      <c r="L1237" s="12">
        <f t="shared" si="217"/>
        <v>0.39059848484848486</v>
      </c>
      <c r="M1237" s="2"/>
      <c r="N1237" s="2"/>
      <c r="O1237" s="2">
        <f t="shared" si="207"/>
        <v>195.29924242424244</v>
      </c>
      <c r="P1237" s="2"/>
      <c r="Q1237" s="2"/>
      <c r="R1237" s="28">
        <v>16.666666666666668</v>
      </c>
    </row>
    <row r="1238" spans="1:18" hidden="1" x14ac:dyDescent="0.25">
      <c r="A1238" s="16">
        <v>45702</v>
      </c>
      <c r="B1238" s="2" t="s">
        <v>204</v>
      </c>
      <c r="C1238" s="2">
        <v>750</v>
      </c>
      <c r="D1238" s="19">
        <v>0.35</v>
      </c>
      <c r="E1238" s="11">
        <v>0.19800000000000001</v>
      </c>
      <c r="F1238" s="2">
        <f t="shared" si="197"/>
        <v>650</v>
      </c>
      <c r="G1238" s="2">
        <f t="shared" si="214"/>
        <v>0.75</v>
      </c>
      <c r="H1238" s="2">
        <f t="shared" si="215"/>
        <v>1.1538461538461537</v>
      </c>
      <c r="I1238" s="12">
        <v>0.02</v>
      </c>
      <c r="J1238" s="12">
        <v>7.0000000000000007E-2</v>
      </c>
      <c r="K1238" s="12">
        <f t="shared" si="216"/>
        <v>0.24628153846153847</v>
      </c>
      <c r="L1238" s="12">
        <f t="shared" si="217"/>
        <v>1.4901276923076923</v>
      </c>
      <c r="M1238" s="2"/>
      <c r="N1238" s="2"/>
      <c r="O1238" s="2">
        <f t="shared" si="207"/>
        <v>745.06384615384616</v>
      </c>
      <c r="P1238" s="2"/>
      <c r="Q1238" s="2"/>
      <c r="R1238" s="28">
        <v>16.666666666666668</v>
      </c>
    </row>
    <row r="1239" spans="1:18" hidden="1" x14ac:dyDescent="0.25">
      <c r="A1239" s="16">
        <v>45702</v>
      </c>
      <c r="B1239" s="2" t="s">
        <v>205</v>
      </c>
      <c r="C1239" s="2">
        <v>750</v>
      </c>
      <c r="D1239" s="19">
        <v>0.35</v>
      </c>
      <c r="E1239" s="11">
        <v>0.20699999999999999</v>
      </c>
      <c r="F1239" s="2">
        <f t="shared" si="197"/>
        <v>650</v>
      </c>
      <c r="G1239" s="2">
        <f t="shared" si="214"/>
        <v>0.75</v>
      </c>
      <c r="H1239" s="2">
        <f t="shared" si="215"/>
        <v>1.1538461538461537</v>
      </c>
      <c r="I1239" s="12">
        <v>0.02</v>
      </c>
      <c r="J1239" s="12">
        <v>7.0000000000000007E-2</v>
      </c>
      <c r="K1239" s="12">
        <f t="shared" si="216"/>
        <v>0.25747615384615385</v>
      </c>
      <c r="L1239" s="12">
        <f t="shared" si="217"/>
        <v>1.5013223076923077</v>
      </c>
      <c r="M1239" s="2">
        <f>L1239*250</f>
        <v>375.33057692307693</v>
      </c>
      <c r="N1239" s="2"/>
      <c r="O1239" s="2"/>
      <c r="P1239" s="2"/>
      <c r="Q1239" s="2"/>
      <c r="R1239" s="28">
        <v>16.666666666666668</v>
      </c>
    </row>
    <row r="1240" spans="1:18" hidden="1" x14ac:dyDescent="0.25">
      <c r="A1240" s="16">
        <v>45703</v>
      </c>
      <c r="B1240" s="2" t="s">
        <v>202</v>
      </c>
      <c r="C1240" s="2">
        <v>270</v>
      </c>
      <c r="D1240" s="19">
        <v>0.53</v>
      </c>
      <c r="E1240" s="11">
        <v>1.0720000000000001</v>
      </c>
      <c r="F1240" s="2">
        <f t="shared" si="197"/>
        <v>470</v>
      </c>
      <c r="G1240" s="2">
        <f t="shared" si="214"/>
        <v>0.27</v>
      </c>
      <c r="H1240" s="2">
        <f t="shared" si="215"/>
        <v>0.57446808510638303</v>
      </c>
      <c r="I1240" s="12">
        <v>0</v>
      </c>
      <c r="J1240" s="12">
        <v>0</v>
      </c>
      <c r="K1240" s="12">
        <f t="shared" si="216"/>
        <v>0.61582978723404269</v>
      </c>
      <c r="L1240" s="12">
        <f t="shared" si="217"/>
        <v>1.1902978723404258</v>
      </c>
      <c r="M1240" s="2"/>
      <c r="N1240" s="2"/>
      <c r="O1240" s="2">
        <f>L1240*500</f>
        <v>595.14893617021289</v>
      </c>
      <c r="P1240" s="2"/>
      <c r="Q1240" s="2"/>
      <c r="R1240" s="28">
        <v>16.666666666666668</v>
      </c>
    </row>
    <row r="1241" spans="1:18" hidden="1" x14ac:dyDescent="0.25">
      <c r="A1241" s="16">
        <v>45703</v>
      </c>
      <c r="B1241" s="2" t="s">
        <v>142</v>
      </c>
      <c r="C1241" s="2">
        <v>270</v>
      </c>
      <c r="D1241" s="19">
        <v>0.53</v>
      </c>
      <c r="E1241" s="11">
        <v>0.91500000000000004</v>
      </c>
      <c r="F1241" s="2">
        <f t="shared" si="197"/>
        <v>470</v>
      </c>
      <c r="G1241" s="2">
        <f t="shared" si="214"/>
        <v>0.27</v>
      </c>
      <c r="H1241" s="2">
        <f t="shared" si="215"/>
        <v>0.57446808510638303</v>
      </c>
      <c r="I1241" s="12">
        <v>0</v>
      </c>
      <c r="J1241" s="12">
        <v>0</v>
      </c>
      <c r="K1241" s="12">
        <f t="shared" si="216"/>
        <v>0.52563829787234051</v>
      </c>
      <c r="L1241" s="12">
        <f t="shared" si="217"/>
        <v>1.1001063829787237</v>
      </c>
      <c r="M1241" s="2">
        <f>L1241*250</f>
        <v>275.02659574468089</v>
      </c>
      <c r="N1241" s="2"/>
      <c r="O1241" s="2"/>
      <c r="P1241" s="2"/>
      <c r="Q1241" s="2"/>
      <c r="R1241" s="28">
        <v>16.666666666666668</v>
      </c>
    </row>
    <row r="1242" spans="1:18" hidden="1" x14ac:dyDescent="0.25">
      <c r="A1242" s="16">
        <v>45703</v>
      </c>
      <c r="B1242" s="2" t="s">
        <v>92</v>
      </c>
      <c r="C1242" s="2">
        <v>450</v>
      </c>
      <c r="D1242" s="19">
        <v>0</v>
      </c>
      <c r="E1242" s="11">
        <v>0.44500000000000001</v>
      </c>
      <c r="F1242" s="2">
        <f t="shared" si="197"/>
        <v>1000</v>
      </c>
      <c r="G1242" s="2">
        <f t="shared" si="214"/>
        <v>0.45</v>
      </c>
      <c r="H1242" s="2">
        <f t="shared" si="215"/>
        <v>0.45</v>
      </c>
      <c r="I1242" s="12">
        <v>0</v>
      </c>
      <c r="J1242" s="12">
        <v>0</v>
      </c>
      <c r="K1242" s="12">
        <f t="shared" si="216"/>
        <v>0.20025000000000001</v>
      </c>
      <c r="L1242" s="12">
        <f t="shared" si="217"/>
        <v>0.65024999999999999</v>
      </c>
      <c r="M1242" s="2"/>
      <c r="N1242" s="2"/>
      <c r="O1242" s="2">
        <f>L1242*500</f>
        <v>325.125</v>
      </c>
      <c r="P1242" s="2"/>
      <c r="Q1242" s="2"/>
      <c r="R1242" s="28">
        <v>16.666666666666668</v>
      </c>
    </row>
    <row r="1243" spans="1:18" hidden="1" x14ac:dyDescent="0.25">
      <c r="A1243" s="16">
        <v>45703</v>
      </c>
      <c r="B1243" s="2" t="s">
        <v>116</v>
      </c>
      <c r="C1243" s="2">
        <v>550</v>
      </c>
      <c r="D1243" s="19">
        <v>0.13</v>
      </c>
      <c r="E1243" s="11">
        <v>9.1999999999999998E-2</v>
      </c>
      <c r="F1243" s="2">
        <f t="shared" si="197"/>
        <v>870</v>
      </c>
      <c r="G1243" s="2">
        <f t="shared" si="214"/>
        <v>0.55000000000000004</v>
      </c>
      <c r="H1243" s="2">
        <f t="shared" si="215"/>
        <v>0.63218390804597702</v>
      </c>
      <c r="I1243" s="12">
        <v>0</v>
      </c>
      <c r="J1243" s="12">
        <v>0</v>
      </c>
      <c r="K1243" s="12">
        <f t="shared" si="216"/>
        <v>5.8160919540229887E-2</v>
      </c>
      <c r="L1243" s="12">
        <f t="shared" si="217"/>
        <v>0.69034482758620686</v>
      </c>
      <c r="M1243" s="2"/>
      <c r="N1243" s="2"/>
      <c r="O1243" s="2">
        <f>L1243*500</f>
        <v>345.17241379310343</v>
      </c>
      <c r="P1243" s="2"/>
      <c r="Q1243" s="2"/>
      <c r="R1243" s="28">
        <v>16.666666666666668</v>
      </c>
    </row>
    <row r="1244" spans="1:18" hidden="1" x14ac:dyDescent="0.25">
      <c r="A1244" s="16">
        <v>45704</v>
      </c>
      <c r="B1244" s="2" t="s">
        <v>207</v>
      </c>
      <c r="C1244" s="2">
        <v>1000</v>
      </c>
      <c r="D1244" s="19">
        <v>0.3</v>
      </c>
      <c r="E1244" s="11">
        <v>0.30499999999999999</v>
      </c>
      <c r="F1244" s="2">
        <f t="shared" si="197"/>
        <v>700</v>
      </c>
      <c r="G1244" s="2">
        <f t="shared" si="214"/>
        <v>1</v>
      </c>
      <c r="H1244" s="2">
        <f t="shared" si="215"/>
        <v>1.4285714285714286</v>
      </c>
      <c r="I1244" s="12">
        <v>0.02</v>
      </c>
      <c r="J1244" s="12">
        <v>7.0000000000000007E-2</v>
      </c>
      <c r="K1244" s="12">
        <f t="shared" si="216"/>
        <v>0.46316428571428575</v>
      </c>
      <c r="L1244" s="12">
        <f t="shared" si="217"/>
        <v>1.9817357142857144</v>
      </c>
      <c r="M1244" s="2">
        <f>L1244*250</f>
        <v>495.43392857142857</v>
      </c>
      <c r="N1244" s="2"/>
      <c r="O1244" s="2">
        <f t="shared" si="207"/>
        <v>990.86785714285713</v>
      </c>
      <c r="P1244" s="2"/>
      <c r="Q1244" s="2"/>
      <c r="R1244" s="28">
        <v>16.666666666666668</v>
      </c>
    </row>
    <row r="1245" spans="1:18" hidden="1" x14ac:dyDescent="0.25">
      <c r="A1245" s="16">
        <v>45706</v>
      </c>
      <c r="B1245" s="2" t="s">
        <v>114</v>
      </c>
      <c r="C1245" s="2">
        <v>740</v>
      </c>
      <c r="D1245" s="19">
        <v>0.59</v>
      </c>
      <c r="E1245" s="11">
        <v>4.4999999999999998E-2</v>
      </c>
      <c r="F1245" s="2">
        <f t="shared" si="197"/>
        <v>410</v>
      </c>
      <c r="G1245" s="2">
        <f t="shared" si="214"/>
        <v>0.74</v>
      </c>
      <c r="H1245" s="2">
        <f t="shared" si="215"/>
        <v>1.8048780487804879</v>
      </c>
      <c r="I1245" s="12">
        <v>0.02</v>
      </c>
      <c r="J1245" s="12">
        <v>7.0000000000000007E-2</v>
      </c>
      <c r="K1245" s="12">
        <f t="shared" si="216"/>
        <v>8.5269512195121952E-2</v>
      </c>
      <c r="L1245" s="12">
        <f t="shared" si="217"/>
        <v>1.9801475609756098</v>
      </c>
      <c r="M1245" s="2">
        <f>L1245*250</f>
        <v>495.03689024390246</v>
      </c>
      <c r="N1245" s="2"/>
      <c r="O1245" s="2">
        <f t="shared" si="207"/>
        <v>990.07378048780492</v>
      </c>
      <c r="P1245" s="2"/>
      <c r="Q1245" s="2"/>
      <c r="R1245" s="28">
        <v>16.666666666666668</v>
      </c>
    </row>
    <row r="1246" spans="1:18" hidden="1" x14ac:dyDescent="0.25">
      <c r="A1246" s="16">
        <v>45706</v>
      </c>
      <c r="B1246" s="2" t="s">
        <v>173</v>
      </c>
      <c r="C1246" s="2">
        <v>760</v>
      </c>
      <c r="D1246" s="19">
        <v>0.31</v>
      </c>
      <c r="E1246" s="11">
        <v>0.245</v>
      </c>
      <c r="F1246" s="2">
        <f t="shared" si="197"/>
        <v>690</v>
      </c>
      <c r="G1246" s="2">
        <f t="shared" si="214"/>
        <v>0.76</v>
      </c>
      <c r="H1246" s="2">
        <f t="shared" si="215"/>
        <v>1.1014492753623188</v>
      </c>
      <c r="I1246" s="12">
        <v>0.02</v>
      </c>
      <c r="J1246" s="12">
        <v>7.0000000000000007E-2</v>
      </c>
      <c r="K1246" s="12">
        <f t="shared" si="216"/>
        <v>0.29190507246376812</v>
      </c>
      <c r="L1246" s="12">
        <f t="shared" si="217"/>
        <v>1.4833543478260871</v>
      </c>
      <c r="M1246" s="2"/>
      <c r="N1246" s="2">
        <f>L1246*300</f>
        <v>445.00630434782613</v>
      </c>
      <c r="O1246" s="2"/>
      <c r="P1246" s="2"/>
      <c r="Q1246" s="2"/>
      <c r="R1246" s="28">
        <v>16.666666666666668</v>
      </c>
    </row>
    <row r="1247" spans="1:18" hidden="1" x14ac:dyDescent="0.25">
      <c r="A1247" s="16">
        <v>45706</v>
      </c>
      <c r="B1247" s="2" t="s">
        <v>160</v>
      </c>
      <c r="C1247" s="2">
        <v>760</v>
      </c>
      <c r="D1247" s="19">
        <v>0.31</v>
      </c>
      <c r="E1247" s="11">
        <v>0.252</v>
      </c>
      <c r="F1247" s="2">
        <f t="shared" si="197"/>
        <v>690</v>
      </c>
      <c r="G1247" s="2">
        <f t="shared" si="214"/>
        <v>0.76</v>
      </c>
      <c r="H1247" s="2">
        <f t="shared" si="215"/>
        <v>1.1014492753623188</v>
      </c>
      <c r="I1247" s="12">
        <v>0.02</v>
      </c>
      <c r="J1247" s="12">
        <v>7.0000000000000007E-2</v>
      </c>
      <c r="K1247" s="12">
        <f t="shared" si="216"/>
        <v>0.30024521739130439</v>
      </c>
      <c r="L1247" s="12">
        <f t="shared" si="217"/>
        <v>1.4916944927536233</v>
      </c>
      <c r="M1247" s="2"/>
      <c r="N1247" s="2"/>
      <c r="O1247" s="2">
        <f t="shared" si="207"/>
        <v>745.84724637681165</v>
      </c>
      <c r="P1247" s="2"/>
      <c r="Q1247" s="2"/>
      <c r="R1247" s="28">
        <v>16.666666666666668</v>
      </c>
    </row>
    <row r="1248" spans="1:18" hidden="1" x14ac:dyDescent="0.25">
      <c r="A1248" s="16">
        <v>45706</v>
      </c>
      <c r="B1248" s="2" t="s">
        <v>208</v>
      </c>
      <c r="C1248" s="2">
        <v>760</v>
      </c>
      <c r="D1248" s="19">
        <v>0.31</v>
      </c>
      <c r="E1248" s="11">
        <v>0.26</v>
      </c>
      <c r="F1248" s="2">
        <f t="shared" si="197"/>
        <v>690</v>
      </c>
      <c r="G1248" s="2">
        <f t="shared" si="214"/>
        <v>0.76</v>
      </c>
      <c r="H1248" s="2">
        <f t="shared" si="215"/>
        <v>1.1014492753623188</v>
      </c>
      <c r="I1248" s="12">
        <v>0.02</v>
      </c>
      <c r="J1248" s="12">
        <v>7.0000000000000007E-2</v>
      </c>
      <c r="K1248" s="12">
        <f t="shared" si="216"/>
        <v>0.30977681159420295</v>
      </c>
      <c r="L1248" s="12">
        <f t="shared" si="217"/>
        <v>1.5012260869565219</v>
      </c>
      <c r="M1248" s="2">
        <f>L1248*250</f>
        <v>375.30652173913046</v>
      </c>
      <c r="N1248" s="2"/>
      <c r="O1248" s="2"/>
      <c r="P1248" s="2"/>
      <c r="Q1248" s="2"/>
      <c r="R1248" s="28">
        <v>16.666666666666668</v>
      </c>
    </row>
    <row r="1249" spans="1:18" hidden="1" x14ac:dyDescent="0.25">
      <c r="A1249" s="16">
        <v>45706</v>
      </c>
      <c r="B1249" s="2" t="s">
        <v>113</v>
      </c>
      <c r="C1249" s="2">
        <v>760</v>
      </c>
      <c r="D1249" s="19">
        <v>0.31</v>
      </c>
      <c r="E1249" s="11">
        <v>0.66200000000000003</v>
      </c>
      <c r="F1249" s="2">
        <f t="shared" si="197"/>
        <v>690</v>
      </c>
      <c r="G1249" s="2">
        <f t="shared" si="214"/>
        <v>0.76</v>
      </c>
      <c r="H1249" s="2">
        <f t="shared" si="215"/>
        <v>1.1014492753623188</v>
      </c>
      <c r="I1249" s="12">
        <v>0.02</v>
      </c>
      <c r="J1249" s="12">
        <v>7.0000000000000007E-2</v>
      </c>
      <c r="K1249" s="12">
        <f t="shared" si="216"/>
        <v>0.78873942028985522</v>
      </c>
      <c r="L1249" s="12">
        <f t="shared" si="217"/>
        <v>1.9801886956521741</v>
      </c>
      <c r="M1249" s="2">
        <f>L1249*250</f>
        <v>495.04717391304354</v>
      </c>
      <c r="N1249" s="2"/>
      <c r="O1249" s="2"/>
      <c r="P1249" s="2"/>
      <c r="Q1249" s="2"/>
      <c r="R1249" s="28">
        <v>16.666666666666668</v>
      </c>
    </row>
    <row r="1250" spans="1:18" hidden="1" x14ac:dyDescent="0.25">
      <c r="A1250" s="16">
        <v>45706</v>
      </c>
      <c r="B1250" s="2" t="s">
        <v>162</v>
      </c>
      <c r="C1250" s="2">
        <v>260</v>
      </c>
      <c r="D1250" s="19">
        <v>0.09</v>
      </c>
      <c r="E1250" s="11">
        <v>0.30599999999999999</v>
      </c>
      <c r="F1250" s="2">
        <f t="shared" si="197"/>
        <v>910</v>
      </c>
      <c r="G1250" s="2">
        <f t="shared" si="214"/>
        <v>0.26</v>
      </c>
      <c r="H1250" s="2">
        <f t="shared" si="215"/>
        <v>0.2857142857142857</v>
      </c>
      <c r="I1250" s="12">
        <v>0.02</v>
      </c>
      <c r="J1250" s="12">
        <v>7.0000000000000007E-2</v>
      </c>
      <c r="K1250" s="12">
        <f t="shared" si="216"/>
        <v>0.11496857142857143</v>
      </c>
      <c r="L1250" s="12">
        <f t="shared" si="217"/>
        <v>0.49068285714285714</v>
      </c>
      <c r="M1250" s="2"/>
      <c r="N1250" s="2"/>
      <c r="O1250" s="2">
        <f>L1250*500</f>
        <v>245.34142857142857</v>
      </c>
      <c r="P1250" s="2"/>
      <c r="Q1250" s="2">
        <f>L1250*1000</f>
        <v>490.68285714285713</v>
      </c>
      <c r="R1250" s="28">
        <v>16.666666666666668</v>
      </c>
    </row>
    <row r="1251" spans="1:18" hidden="1" x14ac:dyDescent="0.25">
      <c r="A1251" s="16">
        <v>45706</v>
      </c>
      <c r="B1251" s="2" t="s">
        <v>120</v>
      </c>
      <c r="C1251" s="2">
        <v>340</v>
      </c>
      <c r="D1251" s="19">
        <v>0.54</v>
      </c>
      <c r="E1251" s="11">
        <v>0.182</v>
      </c>
      <c r="F1251" s="2">
        <f t="shared" si="197"/>
        <v>460</v>
      </c>
      <c r="G1251" s="2">
        <f t="shared" si="214"/>
        <v>0.34</v>
      </c>
      <c r="H1251" s="2">
        <f t="shared" si="215"/>
        <v>0.73913043478260865</v>
      </c>
      <c r="I1251" s="12">
        <v>0.02</v>
      </c>
      <c r="J1251" s="12">
        <v>7.0000000000000007E-2</v>
      </c>
      <c r="K1251" s="12">
        <f t="shared" si="216"/>
        <v>0.15090173913043478</v>
      </c>
      <c r="L1251" s="12">
        <f t="shared" si="217"/>
        <v>0.98003217391304354</v>
      </c>
      <c r="M1251" s="2">
        <f>L1251*250</f>
        <v>245.00804347826087</v>
      </c>
      <c r="N1251" s="2"/>
      <c r="O1251" s="2"/>
      <c r="P1251" s="2"/>
      <c r="Q1251" s="2"/>
      <c r="R1251" s="28">
        <v>16.666666666666668</v>
      </c>
    </row>
    <row r="1252" spans="1:18" hidden="1" x14ac:dyDescent="0.25">
      <c r="A1252" s="16">
        <v>45706</v>
      </c>
      <c r="B1252" s="2" t="s">
        <v>196</v>
      </c>
      <c r="C1252" s="2">
        <v>450</v>
      </c>
      <c r="D1252" s="19">
        <v>0</v>
      </c>
      <c r="E1252" s="11">
        <v>0.28000000000000003</v>
      </c>
      <c r="F1252" s="2">
        <f t="shared" si="197"/>
        <v>1000</v>
      </c>
      <c r="G1252" s="2">
        <f t="shared" si="214"/>
        <v>0.45</v>
      </c>
      <c r="H1252" s="2">
        <f t="shared" si="215"/>
        <v>0.45</v>
      </c>
      <c r="I1252" s="12">
        <v>0.02</v>
      </c>
      <c r="J1252" s="12">
        <v>7.0000000000000007E-2</v>
      </c>
      <c r="K1252" s="12">
        <f t="shared" si="216"/>
        <v>0.15120000000000003</v>
      </c>
      <c r="L1252" s="12">
        <f t="shared" si="217"/>
        <v>0.69120000000000004</v>
      </c>
      <c r="M1252" s="2"/>
      <c r="N1252" s="2"/>
      <c r="O1252" s="2">
        <f>L1252*500</f>
        <v>345.6</v>
      </c>
      <c r="P1252" s="2"/>
      <c r="Q1252" s="2"/>
      <c r="R1252" s="28">
        <v>16.666666666666668</v>
      </c>
    </row>
    <row r="1253" spans="1:18" hidden="1" x14ac:dyDescent="0.25">
      <c r="A1253" s="16">
        <v>45706</v>
      </c>
      <c r="B1253" s="2" t="s">
        <v>192</v>
      </c>
      <c r="C1253" s="2">
        <v>450</v>
      </c>
      <c r="D1253" s="19">
        <v>0</v>
      </c>
      <c r="E1253" s="11">
        <v>0.39</v>
      </c>
      <c r="F1253" s="2">
        <f t="shared" si="197"/>
        <v>1000</v>
      </c>
      <c r="G1253" s="2">
        <f t="shared" si="214"/>
        <v>0.45</v>
      </c>
      <c r="H1253" s="2">
        <f t="shared" si="215"/>
        <v>0.45</v>
      </c>
      <c r="I1253" s="12">
        <v>0.02</v>
      </c>
      <c r="J1253" s="12">
        <v>7.0000000000000007E-2</v>
      </c>
      <c r="K1253" s="12">
        <f t="shared" si="216"/>
        <v>0.21060000000000001</v>
      </c>
      <c r="L1253" s="12">
        <f t="shared" si="217"/>
        <v>0.75060000000000004</v>
      </c>
      <c r="M1253" s="2"/>
      <c r="N1253" s="2"/>
      <c r="O1253" s="2">
        <f>L1253*500</f>
        <v>375.3</v>
      </c>
      <c r="P1253" s="2"/>
      <c r="Q1253" s="2"/>
      <c r="R1253" s="28">
        <v>16.666666666666668</v>
      </c>
    </row>
    <row r="1254" spans="1:18" hidden="1" x14ac:dyDescent="0.25">
      <c r="A1254" s="16">
        <v>45706</v>
      </c>
      <c r="B1254" s="2" t="s">
        <v>93</v>
      </c>
      <c r="C1254" s="2">
        <v>450</v>
      </c>
      <c r="D1254" s="19">
        <v>0</v>
      </c>
      <c r="E1254" s="11">
        <v>0.46300000000000002</v>
      </c>
      <c r="F1254" s="2">
        <f t="shared" si="197"/>
        <v>1000</v>
      </c>
      <c r="G1254" s="2">
        <f t="shared" si="214"/>
        <v>0.45</v>
      </c>
      <c r="H1254" s="2">
        <f t="shared" si="215"/>
        <v>0.45</v>
      </c>
      <c r="I1254" s="12">
        <v>0.02</v>
      </c>
      <c r="J1254" s="12">
        <v>7.0000000000000007E-2</v>
      </c>
      <c r="K1254" s="12">
        <f t="shared" si="216"/>
        <v>0.25002000000000002</v>
      </c>
      <c r="L1254" s="12">
        <f t="shared" si="217"/>
        <v>0.79002000000000006</v>
      </c>
      <c r="M1254" s="2"/>
      <c r="N1254" s="2"/>
      <c r="O1254" s="2">
        <f>L1254*500</f>
        <v>395.01000000000005</v>
      </c>
      <c r="P1254" s="2"/>
      <c r="Q1254" s="2"/>
      <c r="R1254" s="28">
        <v>16.666666666666668</v>
      </c>
    </row>
    <row r="1255" spans="1:18" hidden="1" x14ac:dyDescent="0.25">
      <c r="A1255" s="16">
        <v>45706</v>
      </c>
      <c r="B1255" s="2" t="s">
        <v>209</v>
      </c>
      <c r="C1255" s="2">
        <v>300</v>
      </c>
      <c r="D1255" s="19">
        <v>0.08</v>
      </c>
      <c r="E1255" s="11">
        <v>0.2</v>
      </c>
      <c r="F1255" s="2">
        <f t="shared" si="197"/>
        <v>920</v>
      </c>
      <c r="G1255" s="2">
        <f t="shared" si="214"/>
        <v>0.3</v>
      </c>
      <c r="H1255" s="2">
        <f t="shared" si="215"/>
        <v>0.32608695652173914</v>
      </c>
      <c r="I1255" s="12">
        <v>0.02</v>
      </c>
      <c r="J1255" s="12">
        <v>7.0000000000000007E-2</v>
      </c>
      <c r="K1255" s="12">
        <f t="shared" si="216"/>
        <v>8.321739130434784E-2</v>
      </c>
      <c r="L1255" s="12">
        <f t="shared" si="217"/>
        <v>0.49930434782608701</v>
      </c>
      <c r="M1255" s="2">
        <f>L1255*250</f>
        <v>124.82608695652175</v>
      </c>
      <c r="N1255" s="2"/>
      <c r="O1255" s="2"/>
      <c r="P1255" s="2"/>
      <c r="Q1255" s="2"/>
      <c r="R1255" s="28">
        <v>16.666666666666668</v>
      </c>
    </row>
    <row r="1256" spans="1:18" hidden="1" x14ac:dyDescent="0.25">
      <c r="A1256" s="16">
        <v>45707</v>
      </c>
      <c r="B1256" s="2" t="s">
        <v>137</v>
      </c>
      <c r="C1256" s="2">
        <v>300</v>
      </c>
      <c r="D1256" s="19">
        <v>0</v>
      </c>
      <c r="E1256" s="11">
        <v>0.26</v>
      </c>
      <c r="F1256" s="2">
        <f t="shared" si="197"/>
        <v>1000</v>
      </c>
      <c r="G1256" s="2">
        <f t="shared" si="214"/>
        <v>0.3</v>
      </c>
      <c r="H1256" s="2">
        <f t="shared" si="215"/>
        <v>0.3</v>
      </c>
      <c r="I1256" s="12">
        <v>0.02</v>
      </c>
      <c r="J1256" s="12">
        <v>7.0000000000000007E-2</v>
      </c>
      <c r="K1256" s="12">
        <f t="shared" si="216"/>
        <v>0.1014</v>
      </c>
      <c r="L1256" s="12">
        <f t="shared" si="217"/>
        <v>0.4914</v>
      </c>
      <c r="M1256" s="2"/>
      <c r="N1256" s="2"/>
      <c r="O1256" s="2">
        <f>L1256*500</f>
        <v>245.7</v>
      </c>
      <c r="P1256" s="2"/>
      <c r="Q1256" s="2">
        <f>L1256*1000</f>
        <v>491.4</v>
      </c>
      <c r="R1256" s="28">
        <v>16.666666666666668</v>
      </c>
    </row>
    <row r="1257" spans="1:18" hidden="1" x14ac:dyDescent="0.25">
      <c r="A1257" s="16">
        <v>45707</v>
      </c>
      <c r="B1257" s="2" t="s">
        <v>152</v>
      </c>
      <c r="C1257" s="2">
        <v>300</v>
      </c>
      <c r="D1257" s="19">
        <v>0</v>
      </c>
      <c r="E1257" s="11">
        <v>0.28000000000000003</v>
      </c>
      <c r="F1257" s="2">
        <f t="shared" si="197"/>
        <v>1000</v>
      </c>
      <c r="G1257" s="2">
        <f t="shared" si="214"/>
        <v>0.3</v>
      </c>
      <c r="H1257" s="2">
        <f t="shared" si="215"/>
        <v>0.3</v>
      </c>
      <c r="I1257" s="12">
        <v>0.02</v>
      </c>
      <c r="J1257" s="12">
        <v>7.0000000000000007E-2</v>
      </c>
      <c r="K1257" s="12">
        <f t="shared" si="216"/>
        <v>0.10920000000000002</v>
      </c>
      <c r="L1257" s="12">
        <f t="shared" si="217"/>
        <v>0.49920000000000003</v>
      </c>
      <c r="M1257" s="2"/>
      <c r="N1257" s="2"/>
      <c r="O1257" s="2">
        <f>L1257*450</f>
        <v>224.64000000000001</v>
      </c>
      <c r="P1257" s="2"/>
      <c r="Q1257" s="2">
        <f>L1257*1000</f>
        <v>499.20000000000005</v>
      </c>
      <c r="R1257" s="28">
        <v>16.666666666666668</v>
      </c>
    </row>
    <row r="1258" spans="1:18" hidden="1" x14ac:dyDescent="0.25">
      <c r="A1258" s="16">
        <v>45708</v>
      </c>
      <c r="B1258" s="2" t="s">
        <v>204</v>
      </c>
      <c r="C1258" s="2">
        <v>720</v>
      </c>
      <c r="D1258" s="19">
        <v>0.41</v>
      </c>
      <c r="E1258" s="11">
        <v>0.22</v>
      </c>
      <c r="F1258" s="2">
        <f t="shared" si="197"/>
        <v>590</v>
      </c>
      <c r="G1258" s="2">
        <f t="shared" si="214"/>
        <v>0.72</v>
      </c>
      <c r="H1258" s="2">
        <f t="shared" si="215"/>
        <v>1.2203389830508475</v>
      </c>
      <c r="I1258" s="12">
        <v>0.02</v>
      </c>
      <c r="J1258" s="12">
        <v>7.0000000000000007E-2</v>
      </c>
      <c r="K1258" s="12">
        <f t="shared" si="216"/>
        <v>0.28827457627118647</v>
      </c>
      <c r="L1258" s="12">
        <f t="shared" si="217"/>
        <v>1.5986135593220341</v>
      </c>
      <c r="M1258" s="2"/>
      <c r="N1258" s="2"/>
      <c r="O1258" s="2">
        <f>L1258*500</f>
        <v>799.306779661017</v>
      </c>
      <c r="P1258" s="2"/>
      <c r="Q1258" s="2">
        <f>L1258*1000</f>
        <v>1598.613559322034</v>
      </c>
      <c r="R1258" s="28">
        <v>16.666666666666668</v>
      </c>
    </row>
    <row r="1259" spans="1:18" hidden="1" x14ac:dyDescent="0.25">
      <c r="A1259" s="16">
        <v>45708</v>
      </c>
      <c r="B1259" s="2" t="s">
        <v>205</v>
      </c>
      <c r="C1259" s="2">
        <v>720</v>
      </c>
      <c r="D1259" s="19">
        <v>0.41</v>
      </c>
      <c r="E1259" s="11">
        <v>0.22</v>
      </c>
      <c r="F1259" s="2">
        <f t="shared" si="197"/>
        <v>590</v>
      </c>
      <c r="G1259" s="2">
        <f t="shared" si="214"/>
        <v>0.72</v>
      </c>
      <c r="H1259" s="2">
        <f t="shared" si="215"/>
        <v>1.2203389830508475</v>
      </c>
      <c r="I1259" s="12">
        <v>0.02</v>
      </c>
      <c r="J1259" s="12">
        <v>7.0000000000000007E-2</v>
      </c>
      <c r="K1259" s="12">
        <f t="shared" si="216"/>
        <v>0.28827457627118647</v>
      </c>
      <c r="L1259" s="12">
        <f t="shared" si="217"/>
        <v>1.5986135593220341</v>
      </c>
      <c r="M1259" s="2">
        <f>L1259*250</f>
        <v>399.6533898305085</v>
      </c>
      <c r="N1259" s="2"/>
      <c r="O1259" s="2"/>
      <c r="P1259" s="2"/>
      <c r="Q1259" s="2">
        <f>L1259*1000</f>
        <v>1598.613559322034</v>
      </c>
      <c r="R1259" s="28">
        <v>16.666666666666668</v>
      </c>
    </row>
    <row r="1260" spans="1:18" hidden="1" x14ac:dyDescent="0.25">
      <c r="A1260" s="16">
        <v>45708</v>
      </c>
      <c r="B1260" s="2" t="s">
        <v>116</v>
      </c>
      <c r="C1260" s="2">
        <v>580</v>
      </c>
      <c r="D1260" s="19">
        <v>0</v>
      </c>
      <c r="E1260" s="11">
        <v>0.3</v>
      </c>
      <c r="F1260" s="2">
        <f t="shared" si="197"/>
        <v>1000</v>
      </c>
      <c r="G1260" s="2">
        <f t="shared" si="214"/>
        <v>0.57999999999999996</v>
      </c>
      <c r="H1260" s="2">
        <f t="shared" si="215"/>
        <v>0.57999999999999996</v>
      </c>
      <c r="I1260" s="12">
        <v>0.02</v>
      </c>
      <c r="J1260" s="12">
        <v>7.0000000000000007E-2</v>
      </c>
      <c r="K1260" s="12">
        <f t="shared" si="216"/>
        <v>0.20099999999999998</v>
      </c>
      <c r="L1260" s="12">
        <f t="shared" si="217"/>
        <v>0.87099999999999989</v>
      </c>
      <c r="M1260" s="2"/>
      <c r="N1260" s="2"/>
      <c r="O1260" s="2">
        <f>L1260*500</f>
        <v>435.49999999999994</v>
      </c>
      <c r="P1260" s="2"/>
      <c r="Q1260" s="2">
        <f>L1260*1000</f>
        <v>870.99999999999989</v>
      </c>
      <c r="R1260" s="28">
        <v>16.666666666666668</v>
      </c>
    </row>
    <row r="1261" spans="1:18" hidden="1" x14ac:dyDescent="0.25">
      <c r="A1261" s="16">
        <v>45708</v>
      </c>
      <c r="B1261" s="2" t="s">
        <v>160</v>
      </c>
      <c r="C1261" s="2">
        <v>770</v>
      </c>
      <c r="D1261" s="19">
        <v>0.44</v>
      </c>
      <c r="E1261" s="11">
        <v>1.7999999999999999E-2</v>
      </c>
      <c r="F1261" s="2">
        <f t="shared" si="197"/>
        <v>560</v>
      </c>
      <c r="G1261" s="2">
        <f t="shared" si="214"/>
        <v>0.77</v>
      </c>
      <c r="H1261" s="2">
        <f t="shared" si="215"/>
        <v>1.375</v>
      </c>
      <c r="I1261" s="12">
        <v>0.02</v>
      </c>
      <c r="J1261" s="12">
        <v>7.0000000000000007E-2</v>
      </c>
      <c r="K1261" s="12">
        <f t="shared" si="216"/>
        <v>2.6370000000000001E-2</v>
      </c>
      <c r="L1261" s="12">
        <f t="shared" si="217"/>
        <v>1.4913700000000001</v>
      </c>
      <c r="M1261" s="2"/>
      <c r="N1261" s="2"/>
      <c r="O1261" s="2">
        <f>L1261*500</f>
        <v>745.68500000000006</v>
      </c>
      <c r="P1261" s="2"/>
      <c r="Q1261" s="2"/>
      <c r="R1261" s="28">
        <v>16.666666666666668</v>
      </c>
    </row>
    <row r="1262" spans="1:18" hidden="1" x14ac:dyDescent="0.25">
      <c r="A1262" s="16">
        <v>45708</v>
      </c>
      <c r="B1262" s="2" t="s">
        <v>111</v>
      </c>
      <c r="C1262" s="2">
        <v>770</v>
      </c>
      <c r="D1262" s="19">
        <v>0.44</v>
      </c>
      <c r="E1262" s="11">
        <v>2.5000000000000001E-2</v>
      </c>
      <c r="F1262" s="2">
        <f t="shared" si="197"/>
        <v>560</v>
      </c>
      <c r="G1262" s="2">
        <f t="shared" si="214"/>
        <v>0.77</v>
      </c>
      <c r="H1262" s="2">
        <f t="shared" si="215"/>
        <v>1.375</v>
      </c>
      <c r="I1262" s="12">
        <v>0.02</v>
      </c>
      <c r="J1262" s="12">
        <v>7.0000000000000007E-2</v>
      </c>
      <c r="K1262" s="12">
        <f t="shared" si="216"/>
        <v>3.6625000000000005E-2</v>
      </c>
      <c r="L1262" s="12">
        <f t="shared" si="217"/>
        <v>1.501625</v>
      </c>
      <c r="M1262" s="2">
        <f>L1262*250</f>
        <v>375.40625</v>
      </c>
      <c r="N1262" s="2"/>
      <c r="O1262" s="2"/>
      <c r="P1262" s="2"/>
      <c r="Q1262" s="2"/>
      <c r="R1262" s="28">
        <v>16.666666666666668</v>
      </c>
    </row>
    <row r="1263" spans="1:18" hidden="1" x14ac:dyDescent="0.25">
      <c r="A1263" s="16">
        <v>45708</v>
      </c>
      <c r="B1263" s="2" t="s">
        <v>173</v>
      </c>
      <c r="C1263" s="2">
        <v>770</v>
      </c>
      <c r="D1263" s="19">
        <v>0.44</v>
      </c>
      <c r="E1263" s="11">
        <v>1.4E-2</v>
      </c>
      <c r="F1263" s="2">
        <f t="shared" si="197"/>
        <v>560</v>
      </c>
      <c r="G1263" s="2">
        <f t="shared" si="214"/>
        <v>0.77</v>
      </c>
      <c r="H1263" s="2">
        <f t="shared" si="215"/>
        <v>1.375</v>
      </c>
      <c r="I1263" s="12">
        <v>0.02</v>
      </c>
      <c r="J1263" s="12">
        <v>7.0000000000000007E-2</v>
      </c>
      <c r="K1263" s="12">
        <f t="shared" si="216"/>
        <v>2.051E-2</v>
      </c>
      <c r="L1263" s="12">
        <f t="shared" si="217"/>
        <v>1.4855100000000001</v>
      </c>
      <c r="M1263" s="2"/>
      <c r="N1263" s="2">
        <f>L1263*300</f>
        <v>445.65300000000002</v>
      </c>
      <c r="O1263" s="2"/>
      <c r="P1263" s="2"/>
      <c r="Q1263" s="2"/>
      <c r="R1263" s="28">
        <v>16.666666666666668</v>
      </c>
    </row>
    <row r="1264" spans="1:18" hidden="1" x14ac:dyDescent="0.25">
      <c r="A1264" s="16">
        <v>45708</v>
      </c>
      <c r="B1264" s="2" t="s">
        <v>113</v>
      </c>
      <c r="C1264" s="2">
        <v>770</v>
      </c>
      <c r="D1264" s="19">
        <v>0.44</v>
      </c>
      <c r="E1264" s="11">
        <v>0.35199999999999998</v>
      </c>
      <c r="F1264" s="2">
        <f t="shared" si="197"/>
        <v>560</v>
      </c>
      <c r="G1264" s="2">
        <f t="shared" si="214"/>
        <v>0.77</v>
      </c>
      <c r="H1264" s="2">
        <f t="shared" si="215"/>
        <v>1.375</v>
      </c>
      <c r="I1264" s="12">
        <v>0.02</v>
      </c>
      <c r="J1264" s="12">
        <v>7.0000000000000007E-2</v>
      </c>
      <c r="K1264" s="12">
        <f t="shared" si="216"/>
        <v>0.51568000000000003</v>
      </c>
      <c r="L1264" s="12">
        <f t="shared" si="217"/>
        <v>1.98068</v>
      </c>
      <c r="M1264" s="2">
        <f>L1264*250</f>
        <v>495.17</v>
      </c>
      <c r="N1264" s="2"/>
      <c r="O1264" s="2"/>
      <c r="P1264" s="2"/>
      <c r="Q1264" s="2"/>
      <c r="R1264" s="28">
        <v>16.666666666666668</v>
      </c>
    </row>
    <row r="1265" spans="1:18" hidden="1" x14ac:dyDescent="0.25">
      <c r="A1265" s="16">
        <v>45708</v>
      </c>
      <c r="B1265" s="2" t="s">
        <v>90</v>
      </c>
      <c r="C1265" s="2">
        <v>400</v>
      </c>
      <c r="D1265" s="19">
        <v>0.15</v>
      </c>
      <c r="E1265" s="11">
        <v>0.23200000000000001</v>
      </c>
      <c r="F1265" s="2">
        <f t="shared" si="197"/>
        <v>850</v>
      </c>
      <c r="G1265" s="2">
        <f t="shared" si="214"/>
        <v>0.4</v>
      </c>
      <c r="H1265" s="2">
        <f t="shared" si="215"/>
        <v>0.47058823529411764</v>
      </c>
      <c r="I1265" s="12">
        <v>0.02</v>
      </c>
      <c r="J1265" s="12">
        <v>7.0000000000000007E-2</v>
      </c>
      <c r="K1265" s="12">
        <f t="shared" si="216"/>
        <v>0.1300564705882353</v>
      </c>
      <c r="L1265" s="12">
        <f t="shared" si="217"/>
        <v>0.69064470588235294</v>
      </c>
      <c r="M1265" s="2"/>
      <c r="N1265" s="2"/>
      <c r="O1265" s="2">
        <f>L1265*500</f>
        <v>345.32235294117646</v>
      </c>
      <c r="P1265" s="2"/>
      <c r="Q1265" s="2"/>
      <c r="R1265" s="28">
        <v>16.666666666666668</v>
      </c>
    </row>
    <row r="1266" spans="1:18" hidden="1" x14ac:dyDescent="0.25">
      <c r="A1266" s="16">
        <v>45708</v>
      </c>
      <c r="B1266" s="2" t="s">
        <v>91</v>
      </c>
      <c r="C1266" s="2">
        <v>400</v>
      </c>
      <c r="D1266" s="19">
        <v>0.15</v>
      </c>
      <c r="E1266" s="11">
        <v>0.23200000000000001</v>
      </c>
      <c r="F1266" s="2">
        <f t="shared" si="197"/>
        <v>850</v>
      </c>
      <c r="G1266" s="2">
        <f t="shared" si="214"/>
        <v>0.4</v>
      </c>
      <c r="H1266" s="2">
        <f t="shared" si="215"/>
        <v>0.47058823529411764</v>
      </c>
      <c r="I1266" s="12">
        <v>0.02</v>
      </c>
      <c r="J1266" s="12">
        <v>7.0000000000000007E-2</v>
      </c>
      <c r="K1266" s="12">
        <f t="shared" si="216"/>
        <v>0.1300564705882353</v>
      </c>
      <c r="L1266" s="12">
        <f t="shared" si="217"/>
        <v>0.69064470588235294</v>
      </c>
      <c r="M1266" s="2"/>
      <c r="N1266" s="2"/>
      <c r="O1266" s="2">
        <f>L1266*500</f>
        <v>345.32235294117646</v>
      </c>
      <c r="P1266" s="2"/>
      <c r="Q1266" s="2"/>
      <c r="R1266" s="28">
        <v>16.666666666666668</v>
      </c>
    </row>
    <row r="1267" spans="1:18" hidden="1" x14ac:dyDescent="0.25">
      <c r="A1267" s="16">
        <v>45708</v>
      </c>
      <c r="B1267" s="2" t="s">
        <v>106</v>
      </c>
      <c r="C1267" s="2">
        <v>270</v>
      </c>
      <c r="D1267" s="19">
        <v>0</v>
      </c>
      <c r="E1267" s="11">
        <v>0.36499999999999999</v>
      </c>
      <c r="F1267" s="2">
        <f t="shared" si="197"/>
        <v>1000</v>
      </c>
      <c r="G1267" s="2">
        <f t="shared" si="214"/>
        <v>0.27</v>
      </c>
      <c r="H1267" s="2">
        <f t="shared" si="215"/>
        <v>0.27</v>
      </c>
      <c r="I1267" s="12">
        <v>0.02</v>
      </c>
      <c r="J1267" s="12">
        <v>7.0000000000000007E-2</v>
      </c>
      <c r="K1267" s="12">
        <f t="shared" si="216"/>
        <v>0.13140000000000002</v>
      </c>
      <c r="L1267" s="12">
        <f t="shared" si="217"/>
        <v>0.49140000000000006</v>
      </c>
      <c r="M1267" s="2"/>
      <c r="N1267" s="2"/>
      <c r="O1267" s="2">
        <f>L1267*500</f>
        <v>245.70000000000002</v>
      </c>
      <c r="P1267" s="2"/>
      <c r="Q1267" s="2"/>
      <c r="R1267" s="28">
        <v>16.666666666666668</v>
      </c>
    </row>
    <row r="1268" spans="1:18" hidden="1" x14ac:dyDescent="0.25">
      <c r="A1268" s="16">
        <v>45708</v>
      </c>
      <c r="B1268" s="2" t="s">
        <v>152</v>
      </c>
      <c r="C1268" s="2">
        <v>270</v>
      </c>
      <c r="D1268" s="19">
        <v>0</v>
      </c>
      <c r="E1268" s="11">
        <v>0.39</v>
      </c>
      <c r="F1268" s="2">
        <f t="shared" si="197"/>
        <v>1000</v>
      </c>
      <c r="G1268" s="2">
        <f t="shared" si="214"/>
        <v>0.27</v>
      </c>
      <c r="H1268" s="2">
        <f t="shared" si="215"/>
        <v>0.27</v>
      </c>
      <c r="I1268" s="12">
        <v>0.02</v>
      </c>
      <c r="J1268" s="12">
        <v>7.0000000000000007E-2</v>
      </c>
      <c r="K1268" s="12">
        <f t="shared" si="216"/>
        <v>0.14040000000000002</v>
      </c>
      <c r="L1268" s="12">
        <f t="shared" si="217"/>
        <v>0.50040000000000007</v>
      </c>
      <c r="M1268" s="2"/>
      <c r="N1268" s="2"/>
      <c r="O1268" s="2">
        <f>L1268*450</f>
        <v>225.18000000000004</v>
      </c>
      <c r="P1268" s="2"/>
      <c r="Q1268" s="2"/>
      <c r="R1268" s="28">
        <v>16.666666666666668</v>
      </c>
    </row>
    <row r="1269" spans="1:18" hidden="1" x14ac:dyDescent="0.25">
      <c r="A1269" s="16">
        <v>45708</v>
      </c>
      <c r="B1269" s="2" t="s">
        <v>120</v>
      </c>
      <c r="C1269" s="2">
        <v>300</v>
      </c>
      <c r="D1269" s="19">
        <v>0.52</v>
      </c>
      <c r="E1269" s="11">
        <v>0.26</v>
      </c>
      <c r="F1269" s="2">
        <f t="shared" si="197"/>
        <v>480</v>
      </c>
      <c r="G1269" s="2">
        <f t="shared" si="214"/>
        <v>0.3</v>
      </c>
      <c r="H1269" s="2">
        <f t="shared" si="215"/>
        <v>0.625</v>
      </c>
      <c r="I1269" s="12">
        <v>0.02</v>
      </c>
      <c r="J1269" s="12">
        <v>7.0000000000000007E-2</v>
      </c>
      <c r="K1269" s="12">
        <f t="shared" si="216"/>
        <v>0.18590000000000004</v>
      </c>
      <c r="L1269" s="12">
        <f t="shared" si="217"/>
        <v>0.90090000000000015</v>
      </c>
      <c r="M1269" s="2">
        <f>L1269*250</f>
        <v>225.22500000000002</v>
      </c>
      <c r="N1269" s="2"/>
      <c r="O1269" s="2"/>
      <c r="P1269" s="2"/>
      <c r="Q1269" s="2"/>
      <c r="R1269" s="28">
        <v>16.666666666666668</v>
      </c>
    </row>
    <row r="1270" spans="1:18" hidden="1" x14ac:dyDescent="0.25">
      <c r="A1270" s="16">
        <v>45710</v>
      </c>
      <c r="B1270" s="2" t="s">
        <v>160</v>
      </c>
      <c r="C1270" s="2">
        <v>1000</v>
      </c>
      <c r="D1270" s="19">
        <v>0.36</v>
      </c>
      <c r="E1270" s="11">
        <v>0.09</v>
      </c>
      <c r="F1270" s="2">
        <f t="shared" si="197"/>
        <v>640</v>
      </c>
      <c r="G1270" s="2">
        <f t="shared" si="214"/>
        <v>1</v>
      </c>
      <c r="H1270" s="2">
        <f t="shared" si="215"/>
        <v>1.5625</v>
      </c>
      <c r="I1270" s="12">
        <v>0.02</v>
      </c>
      <c r="J1270" s="12">
        <v>7.0000000000000007E-2</v>
      </c>
      <c r="K1270" s="12">
        <f t="shared" si="216"/>
        <v>0.148725</v>
      </c>
      <c r="L1270" s="12">
        <f t="shared" si="217"/>
        <v>1.8012250000000001</v>
      </c>
      <c r="M1270" s="2"/>
      <c r="N1270" s="2"/>
      <c r="O1270" s="2">
        <f>L1270*500</f>
        <v>900.61250000000007</v>
      </c>
      <c r="P1270" s="2"/>
      <c r="Q1270" s="2">
        <f>L1270*1000</f>
        <v>1801.2250000000001</v>
      </c>
      <c r="R1270" s="28">
        <v>16.666666666666668</v>
      </c>
    </row>
    <row r="1271" spans="1:18" hidden="1" x14ac:dyDescent="0.25">
      <c r="A1271" s="16">
        <v>45710</v>
      </c>
      <c r="B1271" s="2" t="s">
        <v>111</v>
      </c>
      <c r="C1271" s="2">
        <v>1000</v>
      </c>
      <c r="D1271" s="19">
        <v>0.36</v>
      </c>
      <c r="E1271" s="11">
        <v>0.09</v>
      </c>
      <c r="F1271" s="2">
        <f t="shared" si="197"/>
        <v>640</v>
      </c>
      <c r="G1271" s="2">
        <f t="shared" si="214"/>
        <v>1</v>
      </c>
      <c r="H1271" s="2">
        <f t="shared" si="215"/>
        <v>1.5625</v>
      </c>
      <c r="I1271" s="12">
        <v>0.02</v>
      </c>
      <c r="J1271" s="12">
        <v>7.0000000000000007E-2</v>
      </c>
      <c r="K1271" s="12">
        <f t="shared" si="216"/>
        <v>0.148725</v>
      </c>
      <c r="L1271" s="12">
        <f t="shared" si="217"/>
        <v>1.8012250000000001</v>
      </c>
      <c r="M1271" s="2">
        <f>L1271*250</f>
        <v>450.30625000000003</v>
      </c>
      <c r="N1271" s="2"/>
      <c r="O1271" s="2"/>
      <c r="P1271" s="2"/>
      <c r="Q1271" s="2">
        <f>L1271*1000</f>
        <v>1801.2250000000001</v>
      </c>
      <c r="R1271" s="28">
        <v>16.666666666666668</v>
      </c>
    </row>
    <row r="1272" spans="1:18" hidden="1" x14ac:dyDescent="0.25">
      <c r="A1272" s="16">
        <v>45713</v>
      </c>
      <c r="B1272" s="2" t="s">
        <v>137</v>
      </c>
      <c r="C1272" s="2">
        <v>230</v>
      </c>
      <c r="D1272" s="19">
        <v>0</v>
      </c>
      <c r="E1272" s="11">
        <v>0.53200000000000003</v>
      </c>
      <c r="F1272" s="2">
        <f t="shared" si="197"/>
        <v>1000</v>
      </c>
      <c r="G1272" s="2">
        <f t="shared" si="214"/>
        <v>0.23</v>
      </c>
      <c r="H1272" s="2">
        <f t="shared" si="215"/>
        <v>0.23</v>
      </c>
      <c r="I1272" s="12">
        <v>0.02</v>
      </c>
      <c r="J1272" s="12">
        <v>7.0000000000000007E-2</v>
      </c>
      <c r="K1272" s="12">
        <f t="shared" si="216"/>
        <v>0.17024</v>
      </c>
      <c r="L1272" s="12">
        <f t="shared" si="217"/>
        <v>0.49024000000000001</v>
      </c>
      <c r="M1272" s="2"/>
      <c r="N1272" s="2"/>
      <c r="O1272" s="2">
        <f>L1272*500</f>
        <v>245.12</v>
      </c>
      <c r="P1272" s="2"/>
      <c r="Q1272" s="2"/>
      <c r="R1272" s="28">
        <v>16.666666666666668</v>
      </c>
    </row>
    <row r="1273" spans="1:18" hidden="1" x14ac:dyDescent="0.25">
      <c r="A1273" s="16">
        <v>45713</v>
      </c>
      <c r="B1273" s="2" t="s">
        <v>152</v>
      </c>
      <c r="C1273" s="2">
        <v>230</v>
      </c>
      <c r="D1273" s="19">
        <v>0</v>
      </c>
      <c r="E1273" s="11">
        <v>0.56499999999999995</v>
      </c>
      <c r="F1273" s="2">
        <f t="shared" si="197"/>
        <v>1000</v>
      </c>
      <c r="G1273" s="2">
        <f t="shared" si="214"/>
        <v>0.23</v>
      </c>
      <c r="H1273" s="2">
        <f t="shared" si="215"/>
        <v>0.23</v>
      </c>
      <c r="I1273" s="12">
        <v>0.02</v>
      </c>
      <c r="J1273" s="12">
        <v>7.0000000000000007E-2</v>
      </c>
      <c r="K1273" s="12">
        <f t="shared" si="216"/>
        <v>0.18079999999999999</v>
      </c>
      <c r="L1273" s="12">
        <f t="shared" si="217"/>
        <v>0.50080000000000002</v>
      </c>
      <c r="M1273" s="2"/>
      <c r="N1273" s="2"/>
      <c r="O1273" s="2">
        <f>L1273*450</f>
        <v>225.36</v>
      </c>
      <c r="P1273" s="2"/>
      <c r="Q1273" s="2"/>
      <c r="R1273" s="28">
        <v>16.666666666666668</v>
      </c>
    </row>
    <row r="1274" spans="1:18" hidden="1" x14ac:dyDescent="0.25">
      <c r="A1274" s="16">
        <v>45713</v>
      </c>
      <c r="B1274" s="2" t="s">
        <v>94</v>
      </c>
      <c r="C1274" s="2">
        <v>280</v>
      </c>
      <c r="D1274" s="19">
        <v>0.125</v>
      </c>
      <c r="E1274" s="11">
        <v>0.34499999999999997</v>
      </c>
      <c r="F1274" s="2">
        <f t="shared" si="197"/>
        <v>875</v>
      </c>
      <c r="G1274" s="2">
        <f t="shared" si="214"/>
        <v>0.28000000000000003</v>
      </c>
      <c r="H1274" s="2">
        <f t="shared" si="215"/>
        <v>0.32</v>
      </c>
      <c r="I1274" s="12">
        <v>0.02</v>
      </c>
      <c r="J1274" s="12">
        <v>7.0000000000000007E-2</v>
      </c>
      <c r="K1274" s="12">
        <f t="shared" si="216"/>
        <v>0.14144999999999999</v>
      </c>
      <c r="L1274" s="12">
        <f t="shared" si="217"/>
        <v>0.55145</v>
      </c>
      <c r="M1274" s="2"/>
      <c r="N1274" s="2"/>
      <c r="O1274" s="2">
        <f>L1274*500</f>
        <v>275.72500000000002</v>
      </c>
      <c r="P1274" s="2"/>
      <c r="Q1274" s="2"/>
      <c r="R1274" s="28">
        <v>16.666666666666668</v>
      </c>
    </row>
    <row r="1275" spans="1:18" hidden="1" x14ac:dyDescent="0.25">
      <c r="A1275" s="16">
        <v>45713</v>
      </c>
      <c r="B1275" s="2" t="s">
        <v>95</v>
      </c>
      <c r="C1275" s="2">
        <v>280</v>
      </c>
      <c r="D1275" s="19">
        <v>0.125</v>
      </c>
      <c r="E1275" s="11">
        <v>0.34499999999999997</v>
      </c>
      <c r="F1275" s="2">
        <f t="shared" si="197"/>
        <v>875</v>
      </c>
      <c r="G1275" s="2">
        <f t="shared" si="214"/>
        <v>0.28000000000000003</v>
      </c>
      <c r="H1275" s="2">
        <f t="shared" si="215"/>
        <v>0.32</v>
      </c>
      <c r="I1275" s="12">
        <v>0.02</v>
      </c>
      <c r="J1275" s="12">
        <v>7.0000000000000007E-2</v>
      </c>
      <c r="K1275" s="12">
        <f t="shared" si="216"/>
        <v>0.14144999999999999</v>
      </c>
      <c r="L1275" s="12">
        <f t="shared" si="217"/>
        <v>0.55145</v>
      </c>
      <c r="M1275" s="2"/>
      <c r="N1275" s="2"/>
      <c r="O1275" s="2">
        <f>L1275*500</f>
        <v>275.72500000000002</v>
      </c>
      <c r="P1275" s="2"/>
      <c r="Q1275" s="2"/>
      <c r="R1275" s="28">
        <v>16.666666666666668</v>
      </c>
    </row>
    <row r="1276" spans="1:18" hidden="1" x14ac:dyDescent="0.25">
      <c r="A1276" s="16">
        <v>45713</v>
      </c>
      <c r="B1276" s="2" t="s">
        <v>90</v>
      </c>
      <c r="C1276" s="2">
        <v>400</v>
      </c>
      <c r="D1276" s="19">
        <v>0.12</v>
      </c>
      <c r="E1276" s="11">
        <v>0.27</v>
      </c>
      <c r="F1276" s="2">
        <f t="shared" si="197"/>
        <v>880</v>
      </c>
      <c r="G1276" s="2">
        <f t="shared" si="214"/>
        <v>0.4</v>
      </c>
      <c r="H1276" s="2">
        <f t="shared" si="215"/>
        <v>0.45454545454545453</v>
      </c>
      <c r="I1276" s="12">
        <v>0.02</v>
      </c>
      <c r="J1276" s="12">
        <v>7.0000000000000007E-2</v>
      </c>
      <c r="K1276" s="12">
        <f t="shared" si="216"/>
        <v>0.14702727272727273</v>
      </c>
      <c r="L1276" s="12">
        <f t="shared" si="217"/>
        <v>0.69157272727272723</v>
      </c>
      <c r="M1276" s="2"/>
      <c r="N1276" s="2"/>
      <c r="O1276" s="2">
        <f>L1276*500</f>
        <v>345.7863636363636</v>
      </c>
      <c r="P1276" s="2"/>
      <c r="Q1276" s="2"/>
      <c r="R1276" s="28">
        <v>16.666666666666668</v>
      </c>
    </row>
    <row r="1277" spans="1:18" hidden="1" x14ac:dyDescent="0.25">
      <c r="A1277" s="16">
        <v>45713</v>
      </c>
      <c r="B1277" s="2" t="s">
        <v>91</v>
      </c>
      <c r="C1277" s="2">
        <v>400</v>
      </c>
      <c r="D1277" s="19">
        <v>0.12</v>
      </c>
      <c r="E1277" s="11">
        <v>0.27</v>
      </c>
      <c r="F1277" s="2">
        <f t="shared" si="197"/>
        <v>880</v>
      </c>
      <c r="G1277" s="2">
        <f t="shared" si="214"/>
        <v>0.4</v>
      </c>
      <c r="H1277" s="2">
        <f t="shared" si="215"/>
        <v>0.45454545454545453</v>
      </c>
      <c r="I1277" s="12">
        <v>0.02</v>
      </c>
      <c r="J1277" s="12">
        <v>7.0000000000000007E-2</v>
      </c>
      <c r="K1277" s="12">
        <f t="shared" si="216"/>
        <v>0.14702727272727273</v>
      </c>
      <c r="L1277" s="12">
        <f t="shared" si="217"/>
        <v>0.69157272727272723</v>
      </c>
      <c r="M1277" s="2"/>
      <c r="N1277" s="2"/>
      <c r="O1277" s="2">
        <f>L1277*500</f>
        <v>345.7863636363636</v>
      </c>
      <c r="P1277" s="2"/>
      <c r="Q1277" s="2"/>
      <c r="R1277" s="28">
        <v>16.666666666666668</v>
      </c>
    </row>
    <row r="1278" spans="1:18" hidden="1" x14ac:dyDescent="0.25">
      <c r="A1278" s="16">
        <v>45713</v>
      </c>
      <c r="B1278" s="2" t="s">
        <v>210</v>
      </c>
      <c r="C1278" s="2">
        <v>120</v>
      </c>
      <c r="D1278" s="19">
        <v>0</v>
      </c>
      <c r="E1278" s="11">
        <v>0.39</v>
      </c>
      <c r="F1278" s="2">
        <f t="shared" si="197"/>
        <v>1000</v>
      </c>
      <c r="G1278" s="2">
        <f t="shared" si="214"/>
        <v>0.12</v>
      </c>
      <c r="H1278" s="2">
        <f t="shared" si="215"/>
        <v>0.12</v>
      </c>
      <c r="I1278" s="12">
        <v>0.02</v>
      </c>
      <c r="J1278" s="12">
        <v>7.0000000000000007E-2</v>
      </c>
      <c r="K1278" s="12">
        <f t="shared" si="216"/>
        <v>8.1900000000000001E-2</v>
      </c>
      <c r="L1278" s="12">
        <f t="shared" si="217"/>
        <v>0.29189999999999999</v>
      </c>
      <c r="M1278" s="2"/>
      <c r="N1278" s="2"/>
      <c r="O1278" s="2">
        <f>L1278*500</f>
        <v>145.94999999999999</v>
      </c>
      <c r="P1278" s="2"/>
      <c r="Q1278" s="2"/>
      <c r="R1278" s="28">
        <v>16.666666666666668</v>
      </c>
    </row>
    <row r="1279" spans="1:18" hidden="1" x14ac:dyDescent="0.25">
      <c r="A1279" s="16">
        <v>45713</v>
      </c>
      <c r="B1279" s="2" t="s">
        <v>118</v>
      </c>
      <c r="C1279" s="2">
        <v>300</v>
      </c>
      <c r="D1279" s="19">
        <v>0.39</v>
      </c>
      <c r="E1279" s="11">
        <v>0.34499999999999997</v>
      </c>
      <c r="F1279" s="2">
        <f t="shared" si="197"/>
        <v>610</v>
      </c>
      <c r="G1279" s="2">
        <f t="shared" si="214"/>
        <v>0.3</v>
      </c>
      <c r="H1279" s="2">
        <f t="shared" si="215"/>
        <v>0.49180327868852458</v>
      </c>
      <c r="I1279" s="12">
        <v>0.02</v>
      </c>
      <c r="J1279" s="12">
        <v>7.0000000000000007E-2</v>
      </c>
      <c r="K1279" s="12">
        <f t="shared" si="216"/>
        <v>0.20072213114754095</v>
      </c>
      <c r="L1279" s="12">
        <f t="shared" si="217"/>
        <v>0.78252540983606544</v>
      </c>
      <c r="M1279" s="2">
        <f>L1279*250</f>
        <v>195.63135245901637</v>
      </c>
      <c r="N1279" s="2"/>
      <c r="O1279" s="2"/>
      <c r="P1279" s="2"/>
      <c r="Q1279" s="2"/>
      <c r="R1279" s="28">
        <v>16.666666666666668</v>
      </c>
    </row>
    <row r="1280" spans="1:18" hidden="1" x14ac:dyDescent="0.25">
      <c r="A1280" s="16">
        <v>45714</v>
      </c>
      <c r="B1280" s="2" t="s">
        <v>180</v>
      </c>
      <c r="C1280" s="2">
        <v>700</v>
      </c>
      <c r="D1280" s="19">
        <v>0.17</v>
      </c>
      <c r="E1280" s="11">
        <v>0.26500000000000001</v>
      </c>
      <c r="F1280" s="2">
        <f t="shared" si="197"/>
        <v>830</v>
      </c>
      <c r="G1280" s="2">
        <f t="shared" si="214"/>
        <v>0.7</v>
      </c>
      <c r="H1280" s="2">
        <f t="shared" si="215"/>
        <v>0.84337349397590367</v>
      </c>
      <c r="I1280" s="12">
        <v>0.02</v>
      </c>
      <c r="J1280" s="12">
        <v>7.0000000000000007E-2</v>
      </c>
      <c r="K1280" s="12">
        <f t="shared" si="216"/>
        <v>0.24734397590361451</v>
      </c>
      <c r="L1280" s="12">
        <f t="shared" si="217"/>
        <v>1.1807174698795182</v>
      </c>
      <c r="M1280" s="2">
        <f>L1280*250</f>
        <v>295.17936746987954</v>
      </c>
      <c r="N1280" s="2"/>
      <c r="O1280" s="2"/>
      <c r="P1280" s="2"/>
      <c r="Q1280" s="2">
        <f>L1280*1000</f>
        <v>1180.7174698795181</v>
      </c>
      <c r="R1280" s="28">
        <v>16.666666666666668</v>
      </c>
    </row>
    <row r="1281" spans="1:18" hidden="1" x14ac:dyDescent="0.25">
      <c r="A1281" s="16">
        <v>45717</v>
      </c>
      <c r="B1281" s="2" t="s">
        <v>152</v>
      </c>
      <c r="C1281" s="2">
        <v>260</v>
      </c>
      <c r="D1281" s="19">
        <v>0</v>
      </c>
      <c r="E1281" s="11">
        <v>0</v>
      </c>
      <c r="F1281" s="2">
        <f t="shared" si="197"/>
        <v>1000</v>
      </c>
      <c r="G1281" s="2">
        <f t="shared" si="214"/>
        <v>0.26</v>
      </c>
      <c r="H1281" s="2">
        <f t="shared" si="215"/>
        <v>0.26</v>
      </c>
      <c r="I1281" s="12">
        <v>0.02</v>
      </c>
      <c r="J1281" s="12">
        <v>7.0000000000000007E-2</v>
      </c>
      <c r="K1281" s="12">
        <f t="shared" si="216"/>
        <v>0</v>
      </c>
      <c r="L1281" s="12">
        <f t="shared" si="217"/>
        <v>0.35000000000000003</v>
      </c>
      <c r="M1281" s="2"/>
      <c r="N1281" s="2"/>
      <c r="O1281" s="2">
        <f>L1281*450</f>
        <v>157.50000000000003</v>
      </c>
      <c r="P1281" s="2"/>
      <c r="Q1281" s="2"/>
      <c r="R1281" s="28">
        <v>16.666666666666668</v>
      </c>
    </row>
    <row r="1282" spans="1:18" hidden="1" x14ac:dyDescent="0.25">
      <c r="A1282" s="16">
        <v>45717</v>
      </c>
      <c r="B1282" s="2" t="s">
        <v>106</v>
      </c>
      <c r="C1282" s="2">
        <v>260</v>
      </c>
      <c r="D1282" s="19">
        <v>0</v>
      </c>
      <c r="E1282" s="11">
        <v>0</v>
      </c>
      <c r="F1282" s="2">
        <f t="shared" si="197"/>
        <v>1000</v>
      </c>
      <c r="G1282" s="2">
        <f t="shared" si="214"/>
        <v>0.26</v>
      </c>
      <c r="H1282" s="2">
        <f t="shared" si="215"/>
        <v>0.26</v>
      </c>
      <c r="I1282" s="12">
        <v>0.02</v>
      </c>
      <c r="J1282" s="12">
        <v>7.0000000000000007E-2</v>
      </c>
      <c r="K1282" s="12">
        <f t="shared" si="216"/>
        <v>0</v>
      </c>
      <c r="L1282" s="12">
        <f t="shared" si="217"/>
        <v>0.35000000000000003</v>
      </c>
      <c r="M1282" s="2"/>
      <c r="N1282" s="2"/>
      <c r="O1282" s="2">
        <f>L1282*500</f>
        <v>175.00000000000003</v>
      </c>
      <c r="P1282" s="2"/>
      <c r="Q1282" s="2"/>
      <c r="R1282" s="28">
        <v>16.666666666666668</v>
      </c>
    </row>
    <row r="1283" spans="1:18" hidden="1" x14ac:dyDescent="0.25">
      <c r="A1283" s="16">
        <v>45717</v>
      </c>
      <c r="B1283" s="2" t="s">
        <v>173</v>
      </c>
      <c r="C1283" s="2">
        <v>670</v>
      </c>
      <c r="D1283" s="19">
        <v>0.3</v>
      </c>
      <c r="E1283" s="11">
        <v>0.26</v>
      </c>
      <c r="F1283" s="2">
        <f t="shared" si="197"/>
        <v>700</v>
      </c>
      <c r="G1283" s="2">
        <f t="shared" si="214"/>
        <v>0.67</v>
      </c>
      <c r="H1283" s="2">
        <f t="shared" si="215"/>
        <v>0.95714285714285718</v>
      </c>
      <c r="I1283" s="12">
        <v>0.02</v>
      </c>
      <c r="J1283" s="12">
        <v>7.0000000000000007E-2</v>
      </c>
      <c r="K1283" s="12">
        <f t="shared" si="216"/>
        <v>0.27225714285714286</v>
      </c>
      <c r="L1283" s="12">
        <f t="shared" si="217"/>
        <v>1.3193999999999999</v>
      </c>
      <c r="M1283" s="2"/>
      <c r="N1283" s="2">
        <f>L1283*300</f>
        <v>395.82</v>
      </c>
      <c r="O1283" s="2"/>
      <c r="P1283" s="2"/>
      <c r="Q1283" s="2">
        <f>L1283*1000</f>
        <v>1319.3999999999999</v>
      </c>
      <c r="R1283" s="28">
        <v>16.666666666666668</v>
      </c>
    </row>
    <row r="1284" spans="1:18" hidden="1" x14ac:dyDescent="0.25">
      <c r="A1284" s="16">
        <v>45717</v>
      </c>
      <c r="B1284" s="2" t="s">
        <v>160</v>
      </c>
      <c r="C1284" s="2">
        <v>670</v>
      </c>
      <c r="D1284" s="19">
        <v>0.3</v>
      </c>
      <c r="E1284" s="11">
        <v>0.28999999999999998</v>
      </c>
      <c r="F1284" s="2">
        <f t="shared" si="197"/>
        <v>700</v>
      </c>
      <c r="G1284" s="2">
        <f t="shared" si="214"/>
        <v>0.67</v>
      </c>
      <c r="H1284" s="2">
        <f t="shared" si="215"/>
        <v>0.95714285714285718</v>
      </c>
      <c r="I1284" s="12">
        <v>0.02</v>
      </c>
      <c r="J1284" s="12">
        <v>7.0000000000000007E-2</v>
      </c>
      <c r="K1284" s="12">
        <f t="shared" si="216"/>
        <v>0.30367142857142854</v>
      </c>
      <c r="L1284" s="12">
        <f t="shared" si="217"/>
        <v>1.3508142857142857</v>
      </c>
      <c r="M1284" s="2"/>
      <c r="N1284" s="2"/>
      <c r="O1284" s="2">
        <f>L1284*500</f>
        <v>675.40714285714284</v>
      </c>
      <c r="P1284" s="2"/>
      <c r="Q1284" s="2">
        <f>L1284*1000</f>
        <v>1350.8142857142857</v>
      </c>
      <c r="R1284" s="28">
        <v>16.666666666666668</v>
      </c>
    </row>
    <row r="1285" spans="1:18" hidden="1" x14ac:dyDescent="0.25">
      <c r="A1285" s="16">
        <v>45717</v>
      </c>
      <c r="B1285" s="2" t="s">
        <v>111</v>
      </c>
      <c r="C1285" s="2">
        <v>670</v>
      </c>
      <c r="D1285" s="19">
        <v>0.3</v>
      </c>
      <c r="E1285" s="11">
        <v>0.434</v>
      </c>
      <c r="F1285" s="2">
        <f t="shared" si="197"/>
        <v>700</v>
      </c>
      <c r="G1285" s="2">
        <f t="shared" si="214"/>
        <v>0.67</v>
      </c>
      <c r="H1285" s="2">
        <f t="shared" si="215"/>
        <v>0.95714285714285718</v>
      </c>
      <c r="I1285" s="12">
        <v>0.02</v>
      </c>
      <c r="J1285" s="12">
        <v>7.0000000000000007E-2</v>
      </c>
      <c r="K1285" s="12">
        <f t="shared" si="216"/>
        <v>0.45445999999999998</v>
      </c>
      <c r="L1285" s="12">
        <f t="shared" si="217"/>
        <v>1.5016028571428572</v>
      </c>
      <c r="M1285" s="2">
        <f>L1285*250</f>
        <v>375.40071428571429</v>
      </c>
      <c r="N1285" s="2"/>
      <c r="O1285" s="2"/>
      <c r="P1285" s="2"/>
      <c r="Q1285" s="2">
        <f>L1285*1000</f>
        <v>1501.6028571428571</v>
      </c>
      <c r="R1285" s="28">
        <v>16.666666666666668</v>
      </c>
    </row>
    <row r="1286" spans="1:18" hidden="1" x14ac:dyDescent="0.25">
      <c r="A1286" s="16">
        <v>45717</v>
      </c>
      <c r="B1286" s="2" t="s">
        <v>205</v>
      </c>
      <c r="C1286" s="2">
        <v>750</v>
      </c>
      <c r="D1286" s="19">
        <v>0.39</v>
      </c>
      <c r="E1286" s="11">
        <v>0.2</v>
      </c>
      <c r="F1286" s="2">
        <f t="shared" si="197"/>
        <v>610</v>
      </c>
      <c r="G1286" s="2">
        <f t="shared" si="214"/>
        <v>0.75</v>
      </c>
      <c r="H1286" s="2">
        <f t="shared" si="215"/>
        <v>1.2295081967213115</v>
      </c>
      <c r="I1286" s="12">
        <v>0.02</v>
      </c>
      <c r="J1286" s="12">
        <v>7.0000000000000007E-2</v>
      </c>
      <c r="K1286" s="12">
        <f t="shared" si="216"/>
        <v>0.26390163934426231</v>
      </c>
      <c r="L1286" s="12">
        <f t="shared" si="217"/>
        <v>1.583409836065574</v>
      </c>
      <c r="M1286" s="2">
        <f>L1286*250</f>
        <v>395.85245901639348</v>
      </c>
      <c r="N1286" s="2"/>
      <c r="O1286" s="2"/>
      <c r="P1286" s="2"/>
      <c r="Q1286" s="2"/>
      <c r="R1286" s="28">
        <v>16.666666666666668</v>
      </c>
    </row>
    <row r="1287" spans="1:18" hidden="1" x14ac:dyDescent="0.25">
      <c r="A1287" s="16">
        <v>45717</v>
      </c>
      <c r="B1287" s="2" t="s">
        <v>95</v>
      </c>
      <c r="C1287" s="2">
        <v>320</v>
      </c>
      <c r="D1287" s="19">
        <v>0</v>
      </c>
      <c r="E1287" s="11">
        <v>0</v>
      </c>
      <c r="F1287" s="2">
        <f t="shared" si="197"/>
        <v>1000</v>
      </c>
      <c r="G1287" s="2">
        <f t="shared" si="214"/>
        <v>0.32</v>
      </c>
      <c r="H1287" s="2">
        <f t="shared" si="215"/>
        <v>0.32</v>
      </c>
      <c r="I1287" s="12">
        <v>0.02</v>
      </c>
      <c r="J1287" s="12">
        <v>7.0000000000000007E-2</v>
      </c>
      <c r="K1287" s="12">
        <f t="shared" si="216"/>
        <v>0</v>
      </c>
      <c r="L1287" s="12">
        <f t="shared" si="217"/>
        <v>0.41000000000000003</v>
      </c>
      <c r="M1287" s="2"/>
      <c r="N1287" s="2"/>
      <c r="O1287" s="2">
        <f t="shared" ref="O1287:O1294" si="218">L1287*500</f>
        <v>205.00000000000003</v>
      </c>
      <c r="P1287" s="2"/>
      <c r="Q1287" s="2"/>
      <c r="R1287" s="28">
        <v>16.666666666666668</v>
      </c>
    </row>
    <row r="1288" spans="1:18" hidden="1" x14ac:dyDescent="0.25">
      <c r="A1288" s="16">
        <v>45717</v>
      </c>
      <c r="B1288" s="2" t="s">
        <v>94</v>
      </c>
      <c r="C1288" s="2">
        <v>320</v>
      </c>
      <c r="D1288" s="19">
        <v>0</v>
      </c>
      <c r="E1288" s="11">
        <v>0</v>
      </c>
      <c r="F1288" s="2">
        <f t="shared" si="197"/>
        <v>1000</v>
      </c>
      <c r="G1288" s="2">
        <f t="shared" si="214"/>
        <v>0.32</v>
      </c>
      <c r="H1288" s="2">
        <f t="shared" si="215"/>
        <v>0.32</v>
      </c>
      <c r="I1288" s="12">
        <v>0.02</v>
      </c>
      <c r="J1288" s="12">
        <v>7.0000000000000007E-2</v>
      </c>
      <c r="K1288" s="12">
        <f t="shared" si="216"/>
        <v>0</v>
      </c>
      <c r="L1288" s="12">
        <f t="shared" si="217"/>
        <v>0.41000000000000003</v>
      </c>
      <c r="M1288" s="2"/>
      <c r="N1288" s="2"/>
      <c r="O1288" s="2">
        <f t="shared" si="218"/>
        <v>205.00000000000003</v>
      </c>
      <c r="P1288" s="2"/>
      <c r="Q1288" s="2"/>
      <c r="R1288" s="28">
        <v>16.666666666666668</v>
      </c>
    </row>
    <row r="1289" spans="1:18" hidden="1" x14ac:dyDescent="0.25">
      <c r="A1289" s="16">
        <v>45717</v>
      </c>
      <c r="B1289" s="2" t="s">
        <v>116</v>
      </c>
      <c r="C1289" s="2">
        <v>600</v>
      </c>
      <c r="D1289" s="19">
        <v>0.17</v>
      </c>
      <c r="E1289" s="11">
        <v>0.94499999999999995</v>
      </c>
      <c r="F1289" s="2">
        <f t="shared" si="197"/>
        <v>830</v>
      </c>
      <c r="G1289" s="2">
        <f t="shared" si="214"/>
        <v>0.6</v>
      </c>
      <c r="H1289" s="2">
        <f t="shared" si="215"/>
        <v>0.72289156626506024</v>
      </c>
      <c r="I1289" s="12">
        <v>0.02</v>
      </c>
      <c r="J1289" s="12">
        <v>7.0000000000000007E-2</v>
      </c>
      <c r="K1289" s="12">
        <f t="shared" si="216"/>
        <v>0.76818253012048188</v>
      </c>
      <c r="L1289" s="12">
        <f t="shared" si="217"/>
        <v>1.5810740963855421</v>
      </c>
      <c r="M1289" s="2"/>
      <c r="N1289" s="2"/>
      <c r="O1289" s="2">
        <f t="shared" si="218"/>
        <v>790.53704819277107</v>
      </c>
      <c r="P1289" s="2"/>
      <c r="Q1289" s="2"/>
      <c r="R1289" s="28">
        <v>16.666666666666668</v>
      </c>
    </row>
    <row r="1290" spans="1:18" hidden="1" x14ac:dyDescent="0.25">
      <c r="A1290" s="16">
        <v>45717</v>
      </c>
      <c r="B1290" s="2" t="s">
        <v>90</v>
      </c>
      <c r="C1290" s="2">
        <v>400</v>
      </c>
      <c r="D1290" s="19">
        <v>0.21</v>
      </c>
      <c r="E1290" s="11">
        <v>0.16</v>
      </c>
      <c r="F1290" s="2">
        <f t="shared" si="197"/>
        <v>790</v>
      </c>
      <c r="G1290" s="2">
        <f t="shared" si="214"/>
        <v>0.4</v>
      </c>
      <c r="H1290" s="2">
        <f t="shared" si="215"/>
        <v>0.50632911392405067</v>
      </c>
      <c r="I1290" s="12">
        <v>0.02</v>
      </c>
      <c r="J1290" s="12">
        <v>7.0000000000000007E-2</v>
      </c>
      <c r="K1290" s="12">
        <f t="shared" si="216"/>
        <v>9.5412658227848127E-2</v>
      </c>
      <c r="L1290" s="12">
        <f t="shared" si="217"/>
        <v>0.69174177215189891</v>
      </c>
      <c r="M1290" s="2"/>
      <c r="N1290" s="2"/>
      <c r="O1290" s="2">
        <f t="shared" si="218"/>
        <v>345.87088607594944</v>
      </c>
      <c r="P1290" s="2"/>
      <c r="Q1290" s="2"/>
      <c r="R1290" s="28">
        <v>16.666666666666668</v>
      </c>
    </row>
    <row r="1291" spans="1:18" hidden="1" x14ac:dyDescent="0.25">
      <c r="A1291" s="16">
        <v>45717</v>
      </c>
      <c r="B1291" s="2" t="s">
        <v>91</v>
      </c>
      <c r="C1291" s="2">
        <v>400</v>
      </c>
      <c r="D1291" s="19">
        <v>0.21</v>
      </c>
      <c r="E1291" s="11">
        <v>0.16</v>
      </c>
      <c r="F1291" s="2">
        <f t="shared" si="197"/>
        <v>790</v>
      </c>
      <c r="G1291" s="2">
        <f t="shared" si="214"/>
        <v>0.4</v>
      </c>
      <c r="H1291" s="2">
        <f t="shared" si="215"/>
        <v>0.50632911392405067</v>
      </c>
      <c r="I1291" s="12">
        <v>0.02</v>
      </c>
      <c r="J1291" s="12">
        <v>7.0000000000000007E-2</v>
      </c>
      <c r="K1291" s="12">
        <f t="shared" si="216"/>
        <v>9.5412658227848127E-2</v>
      </c>
      <c r="L1291" s="12">
        <f t="shared" si="217"/>
        <v>0.69174177215189891</v>
      </c>
      <c r="M1291" s="2"/>
      <c r="N1291" s="2"/>
      <c r="O1291" s="2">
        <f t="shared" si="218"/>
        <v>345.87088607594944</v>
      </c>
      <c r="P1291" s="2"/>
      <c r="Q1291" s="2"/>
      <c r="R1291" s="28">
        <v>16.666666666666668</v>
      </c>
    </row>
    <row r="1292" spans="1:18" hidden="1" x14ac:dyDescent="0.25">
      <c r="A1292" s="16">
        <v>45720</v>
      </c>
      <c r="B1292" s="2" t="s">
        <v>154</v>
      </c>
      <c r="C1292" s="2">
        <v>0</v>
      </c>
      <c r="D1292" s="19">
        <v>0</v>
      </c>
      <c r="E1292" s="11">
        <v>0</v>
      </c>
      <c r="F1292" s="2">
        <f t="shared" si="197"/>
        <v>1000</v>
      </c>
      <c r="G1292" s="2">
        <f t="shared" si="214"/>
        <v>0</v>
      </c>
      <c r="H1292" s="2">
        <f t="shared" si="215"/>
        <v>0</v>
      </c>
      <c r="I1292" s="12">
        <v>0.02</v>
      </c>
      <c r="J1292" s="12">
        <v>7.0000000000000007E-2</v>
      </c>
      <c r="K1292" s="12">
        <f t="shared" si="216"/>
        <v>0</v>
      </c>
      <c r="L1292" s="12">
        <f t="shared" si="217"/>
        <v>9.0000000000000011E-2</v>
      </c>
      <c r="M1292" s="2"/>
      <c r="N1292" s="2"/>
      <c r="O1292" s="2">
        <f t="shared" si="218"/>
        <v>45.000000000000007</v>
      </c>
      <c r="P1292" s="2"/>
      <c r="Q1292" s="2"/>
      <c r="R1292" s="28">
        <v>16.666666666666668</v>
      </c>
    </row>
    <row r="1293" spans="1:18" hidden="1" x14ac:dyDescent="0.25">
      <c r="A1293" s="16">
        <v>45720</v>
      </c>
      <c r="B1293" s="2" t="s">
        <v>94</v>
      </c>
      <c r="C1293" s="2">
        <v>0</v>
      </c>
      <c r="D1293" s="19">
        <v>0</v>
      </c>
      <c r="E1293" s="11">
        <v>0</v>
      </c>
      <c r="F1293" s="2">
        <f t="shared" si="197"/>
        <v>1000</v>
      </c>
      <c r="G1293" s="2">
        <f t="shared" si="214"/>
        <v>0</v>
      </c>
      <c r="H1293" s="2">
        <f t="shared" si="215"/>
        <v>0</v>
      </c>
      <c r="I1293" s="12">
        <v>0.02</v>
      </c>
      <c r="J1293" s="12">
        <v>7.0000000000000007E-2</v>
      </c>
      <c r="K1293" s="12">
        <f t="shared" si="216"/>
        <v>0</v>
      </c>
      <c r="L1293" s="12">
        <f t="shared" si="217"/>
        <v>9.0000000000000011E-2</v>
      </c>
      <c r="M1293" s="2"/>
      <c r="N1293" s="2"/>
      <c r="O1293" s="2">
        <f t="shared" si="218"/>
        <v>45.000000000000007</v>
      </c>
      <c r="P1293" s="2"/>
      <c r="Q1293" s="2"/>
      <c r="R1293" s="28">
        <v>16.666666666666668</v>
      </c>
    </row>
    <row r="1294" spans="1:18" hidden="1" x14ac:dyDescent="0.25">
      <c r="A1294" s="16">
        <v>45720</v>
      </c>
      <c r="B1294" s="2" t="s">
        <v>160</v>
      </c>
      <c r="C1294" s="2">
        <v>700</v>
      </c>
      <c r="D1294" s="19">
        <v>0.41</v>
      </c>
      <c r="E1294" s="11">
        <v>0.16800000000000001</v>
      </c>
      <c r="F1294" s="2">
        <f t="shared" si="197"/>
        <v>590</v>
      </c>
      <c r="G1294" s="2">
        <f t="shared" si="214"/>
        <v>0.7</v>
      </c>
      <c r="H1294" s="2">
        <f t="shared" si="215"/>
        <v>1.1864406779661016</v>
      </c>
      <c r="I1294" s="12">
        <v>0.02</v>
      </c>
      <c r="J1294" s="12">
        <v>7.0000000000000007E-2</v>
      </c>
      <c r="K1294" s="12">
        <f t="shared" si="216"/>
        <v>0.2144420338983051</v>
      </c>
      <c r="L1294" s="12">
        <f t="shared" si="217"/>
        <v>1.4908827118644068</v>
      </c>
      <c r="M1294" s="2"/>
      <c r="N1294" s="2"/>
      <c r="O1294" s="2">
        <f t="shared" si="218"/>
        <v>745.44135593220335</v>
      </c>
      <c r="P1294" s="2"/>
      <c r="Q1294" s="2">
        <f>L1294*1000</f>
        <v>1490.8827118644067</v>
      </c>
      <c r="R1294" s="28">
        <v>16.666666666666668</v>
      </c>
    </row>
    <row r="1295" spans="1:18" hidden="1" x14ac:dyDescent="0.25">
      <c r="A1295" s="16">
        <v>45720</v>
      </c>
      <c r="B1295" s="2" t="s">
        <v>111</v>
      </c>
      <c r="C1295" s="2">
        <v>700</v>
      </c>
      <c r="D1295" s="19">
        <v>0.41</v>
      </c>
      <c r="E1295" s="11">
        <v>0.17799999999999999</v>
      </c>
      <c r="F1295" s="2">
        <f t="shared" si="197"/>
        <v>590</v>
      </c>
      <c r="G1295" s="2">
        <f t="shared" si="214"/>
        <v>0.7</v>
      </c>
      <c r="H1295" s="2">
        <f t="shared" si="215"/>
        <v>1.1864406779661016</v>
      </c>
      <c r="I1295" s="12">
        <v>0.02</v>
      </c>
      <c r="J1295" s="12">
        <v>7.0000000000000007E-2</v>
      </c>
      <c r="K1295" s="12">
        <f t="shared" si="216"/>
        <v>0.22720644067796611</v>
      </c>
      <c r="L1295" s="12">
        <f t="shared" si="217"/>
        <v>1.5036471186440679</v>
      </c>
      <c r="M1295" s="2">
        <f>L1295*250</f>
        <v>375.91177966101696</v>
      </c>
      <c r="N1295" s="2"/>
      <c r="O1295" s="2"/>
      <c r="P1295" s="2"/>
      <c r="Q1295" s="2"/>
      <c r="R1295" s="28">
        <v>16.666666666666668</v>
      </c>
    </row>
    <row r="1296" spans="1:18" hidden="1" x14ac:dyDescent="0.25">
      <c r="A1296" s="16">
        <v>45720</v>
      </c>
      <c r="B1296" s="2" t="s">
        <v>113</v>
      </c>
      <c r="C1296" s="2">
        <v>700</v>
      </c>
      <c r="D1296" s="19">
        <v>0.41</v>
      </c>
      <c r="E1296" s="11">
        <v>0.33200000000000002</v>
      </c>
      <c r="F1296" s="2">
        <f t="shared" si="197"/>
        <v>590</v>
      </c>
      <c r="G1296" s="2">
        <f t="shared" si="214"/>
        <v>0.7</v>
      </c>
      <c r="H1296" s="2">
        <f t="shared" si="215"/>
        <v>1.1864406779661016</v>
      </c>
      <c r="I1296" s="12">
        <v>0.02</v>
      </c>
      <c r="J1296" s="12">
        <v>7.0000000000000007E-2</v>
      </c>
      <c r="K1296" s="12">
        <f t="shared" si="216"/>
        <v>0.42377830508474579</v>
      </c>
      <c r="L1296" s="12">
        <f t="shared" si="217"/>
        <v>1.7002189830508474</v>
      </c>
      <c r="M1296" s="2">
        <f>L1296*250</f>
        <v>425.05474576271183</v>
      </c>
      <c r="N1296" s="2"/>
      <c r="O1296" s="2"/>
      <c r="P1296" s="2"/>
      <c r="Q1296" s="2"/>
      <c r="R1296" s="28">
        <v>16.666666666666668</v>
      </c>
    </row>
    <row r="1297" spans="1:18" hidden="1" x14ac:dyDescent="0.25">
      <c r="A1297" s="16">
        <v>45720</v>
      </c>
      <c r="B1297" s="2" t="s">
        <v>92</v>
      </c>
      <c r="C1297" s="2">
        <v>450</v>
      </c>
      <c r="D1297" s="19">
        <v>0</v>
      </c>
      <c r="E1297" s="11">
        <v>0.20499999999999999</v>
      </c>
      <c r="F1297" s="2">
        <f t="shared" si="197"/>
        <v>1000</v>
      </c>
      <c r="G1297" s="2">
        <f t="shared" si="214"/>
        <v>0.45</v>
      </c>
      <c r="H1297" s="2">
        <f t="shared" si="215"/>
        <v>0.45</v>
      </c>
      <c r="I1297" s="12">
        <v>0.02</v>
      </c>
      <c r="J1297" s="12">
        <v>7.0000000000000007E-2</v>
      </c>
      <c r="K1297" s="12">
        <f t="shared" si="216"/>
        <v>0.11070000000000001</v>
      </c>
      <c r="L1297" s="12">
        <f t="shared" si="217"/>
        <v>0.65070000000000006</v>
      </c>
      <c r="M1297" s="2"/>
      <c r="N1297" s="2"/>
      <c r="O1297" s="2">
        <f>L1297*500</f>
        <v>325.35000000000002</v>
      </c>
      <c r="P1297" s="2"/>
      <c r="Q1297" s="2"/>
      <c r="R1297" s="28">
        <v>16.666666666666668</v>
      </c>
    </row>
    <row r="1298" spans="1:18" hidden="1" x14ac:dyDescent="0.25">
      <c r="A1298" s="16">
        <v>45720</v>
      </c>
      <c r="B1298" s="2" t="s">
        <v>204</v>
      </c>
      <c r="C1298" s="2">
        <v>750</v>
      </c>
      <c r="D1298" s="19">
        <v>0.45</v>
      </c>
      <c r="E1298" s="11">
        <v>0.16300000000000001</v>
      </c>
      <c r="F1298" s="2">
        <f t="shared" si="197"/>
        <v>550</v>
      </c>
      <c r="G1298" s="2">
        <f t="shared" si="214"/>
        <v>0.75</v>
      </c>
      <c r="H1298" s="2">
        <f t="shared" si="215"/>
        <v>1.3636363636363635</v>
      </c>
      <c r="I1298" s="12">
        <v>0.02</v>
      </c>
      <c r="J1298" s="12">
        <v>7.0000000000000007E-2</v>
      </c>
      <c r="K1298" s="12">
        <f t="shared" si="216"/>
        <v>0.23694272727272728</v>
      </c>
      <c r="L1298" s="12">
        <f t="shared" si="217"/>
        <v>1.690579090909091</v>
      </c>
      <c r="M1298" s="2"/>
      <c r="N1298" s="2"/>
      <c r="O1298" s="2">
        <f>L1298*500</f>
        <v>845.28954545454553</v>
      </c>
      <c r="P1298" s="2"/>
      <c r="Q1298" s="2">
        <f>L1298*1000</f>
        <v>1690.5790909090911</v>
      </c>
      <c r="R1298" s="28">
        <v>16.666666666666668</v>
      </c>
    </row>
    <row r="1299" spans="1:18" hidden="1" x14ac:dyDescent="0.25">
      <c r="A1299" s="16">
        <v>45720</v>
      </c>
      <c r="B1299" s="2" t="s">
        <v>205</v>
      </c>
      <c r="C1299" s="2">
        <v>750</v>
      </c>
      <c r="D1299" s="19">
        <v>0.45</v>
      </c>
      <c r="E1299" s="11">
        <v>0.22500000000000001</v>
      </c>
      <c r="F1299" s="2">
        <f t="shared" si="197"/>
        <v>550</v>
      </c>
      <c r="G1299" s="2">
        <f t="shared" si="214"/>
        <v>0.75</v>
      </c>
      <c r="H1299" s="2">
        <f t="shared" si="215"/>
        <v>1.3636363636363635</v>
      </c>
      <c r="I1299" s="12">
        <v>0.02</v>
      </c>
      <c r="J1299" s="12">
        <v>7.0000000000000007E-2</v>
      </c>
      <c r="K1299" s="12">
        <f t="shared" si="216"/>
        <v>0.32706818181818181</v>
      </c>
      <c r="L1299" s="12">
        <f t="shared" si="217"/>
        <v>1.7807045454545454</v>
      </c>
      <c r="M1299" s="2">
        <f>L1299*250</f>
        <v>445.17613636363632</v>
      </c>
      <c r="N1299" s="2"/>
      <c r="O1299" s="2"/>
      <c r="P1299" s="2"/>
      <c r="Q1299" s="2"/>
      <c r="R1299" s="28">
        <v>16.666666666666668</v>
      </c>
    </row>
    <row r="1300" spans="1:18" hidden="1" x14ac:dyDescent="0.25">
      <c r="A1300" s="16">
        <v>45720</v>
      </c>
      <c r="B1300" s="2" t="s">
        <v>207</v>
      </c>
      <c r="C1300" s="2">
        <v>1150</v>
      </c>
      <c r="D1300" s="19">
        <v>0.45</v>
      </c>
      <c r="E1300" s="11">
        <v>9.1999999999999998E-2</v>
      </c>
      <c r="F1300" s="2">
        <f t="shared" si="197"/>
        <v>550</v>
      </c>
      <c r="G1300" s="2">
        <f t="shared" si="214"/>
        <v>1.1499999999999999</v>
      </c>
      <c r="H1300" s="2">
        <f t="shared" si="215"/>
        <v>2.0909090909090908</v>
      </c>
      <c r="I1300" s="12">
        <v>0.02</v>
      </c>
      <c r="J1300" s="12">
        <v>7.0000000000000007E-2</v>
      </c>
      <c r="K1300" s="12">
        <f t="shared" si="216"/>
        <v>0.20064363636363633</v>
      </c>
      <c r="L1300" s="12">
        <f t="shared" si="217"/>
        <v>2.381552727272727</v>
      </c>
      <c r="M1300" s="2">
        <f>L1300*250</f>
        <v>595.38818181818181</v>
      </c>
      <c r="N1300" s="2"/>
      <c r="O1300" s="2"/>
      <c r="P1300" s="2"/>
      <c r="Q1300" s="2">
        <f>L1300*1000</f>
        <v>2381.5527272727272</v>
      </c>
      <c r="R1300" s="28">
        <v>16.666666666666668</v>
      </c>
    </row>
    <row r="1301" spans="1:18" hidden="1" x14ac:dyDescent="0.25">
      <c r="A1301" s="16">
        <v>45722</v>
      </c>
      <c r="B1301" s="2" t="s">
        <v>204</v>
      </c>
      <c r="C1301" s="2">
        <v>750</v>
      </c>
      <c r="D1301" s="19">
        <v>0.38</v>
      </c>
      <c r="E1301" s="11">
        <v>0.30099999999999999</v>
      </c>
      <c r="F1301" s="2">
        <f t="shared" si="197"/>
        <v>620</v>
      </c>
      <c r="G1301" s="2">
        <f t="shared" si="214"/>
        <v>0.75</v>
      </c>
      <c r="H1301" s="2">
        <f t="shared" si="215"/>
        <v>1.2096774193548387</v>
      </c>
      <c r="I1301" s="12">
        <v>0.02</v>
      </c>
      <c r="J1301" s="12">
        <v>7.0000000000000007E-2</v>
      </c>
      <c r="K1301" s="12">
        <f t="shared" si="216"/>
        <v>0.39120290322580648</v>
      </c>
      <c r="L1301" s="12">
        <f t="shared" si="217"/>
        <v>1.6908803225806452</v>
      </c>
      <c r="M1301" s="2"/>
      <c r="N1301" s="2"/>
      <c r="O1301" s="2">
        <f>L1301*500</f>
        <v>845.44016129032264</v>
      </c>
      <c r="P1301" s="2"/>
      <c r="Q1301" s="2">
        <f>L1301*1000</f>
        <v>1690.8803225806453</v>
      </c>
      <c r="R1301" s="28">
        <v>16.666666666666668</v>
      </c>
    </row>
    <row r="1302" spans="1:18" hidden="1" x14ac:dyDescent="0.25">
      <c r="A1302" s="16">
        <v>45722</v>
      </c>
      <c r="B1302" s="2" t="s">
        <v>205</v>
      </c>
      <c r="C1302" s="2">
        <v>750</v>
      </c>
      <c r="D1302" s="19">
        <v>0.38</v>
      </c>
      <c r="E1302" s="11">
        <v>0.30099999999999999</v>
      </c>
      <c r="F1302" s="2">
        <f t="shared" si="197"/>
        <v>620</v>
      </c>
      <c r="G1302" s="2">
        <f t="shared" si="214"/>
        <v>0.75</v>
      </c>
      <c r="H1302" s="2">
        <f t="shared" si="215"/>
        <v>1.2096774193548387</v>
      </c>
      <c r="I1302" s="12">
        <v>0.02</v>
      </c>
      <c r="J1302" s="12">
        <v>7.0000000000000007E-2</v>
      </c>
      <c r="K1302" s="12">
        <f t="shared" si="216"/>
        <v>0.39120290322580648</v>
      </c>
      <c r="L1302" s="12">
        <f t="shared" si="217"/>
        <v>1.6908803225806452</v>
      </c>
      <c r="M1302" s="2">
        <f>L1302*250</f>
        <v>422.72008064516132</v>
      </c>
      <c r="N1302" s="2"/>
      <c r="O1302" s="2"/>
      <c r="P1302" s="2"/>
      <c r="Q1302" s="2">
        <f>L1302*1000</f>
        <v>1690.8803225806453</v>
      </c>
      <c r="R1302" s="28">
        <v>16.666666666666668</v>
      </c>
    </row>
    <row r="1303" spans="1:18" hidden="1" x14ac:dyDescent="0.25">
      <c r="A1303" s="16">
        <v>45722</v>
      </c>
      <c r="B1303" s="2" t="s">
        <v>160</v>
      </c>
      <c r="C1303" s="2">
        <v>730</v>
      </c>
      <c r="D1303" s="19">
        <v>0.42</v>
      </c>
      <c r="E1303" s="11">
        <v>0.105</v>
      </c>
      <c r="F1303" s="2">
        <f t="shared" si="197"/>
        <v>580</v>
      </c>
      <c r="G1303" s="2">
        <f t="shared" si="214"/>
        <v>0.73</v>
      </c>
      <c r="H1303" s="2">
        <f t="shared" si="215"/>
        <v>1.2586206896551724</v>
      </c>
      <c r="I1303" s="12">
        <v>0.02</v>
      </c>
      <c r="J1303" s="12">
        <v>7.0000000000000007E-2</v>
      </c>
      <c r="K1303" s="12">
        <f t="shared" si="216"/>
        <v>0.14160517241379311</v>
      </c>
      <c r="L1303" s="12">
        <f t="shared" si="217"/>
        <v>1.4902258620689657</v>
      </c>
      <c r="M1303" s="2"/>
      <c r="N1303" s="2"/>
      <c r="O1303" s="2">
        <f>L1303*500</f>
        <v>745.11293103448281</v>
      </c>
      <c r="P1303" s="2"/>
      <c r="Q1303" s="2"/>
      <c r="R1303" s="28">
        <v>16.666666666666668</v>
      </c>
    </row>
    <row r="1304" spans="1:18" hidden="1" x14ac:dyDescent="0.25">
      <c r="A1304" s="16">
        <v>45722</v>
      </c>
      <c r="B1304" s="2" t="s">
        <v>111</v>
      </c>
      <c r="C1304" s="2">
        <v>730</v>
      </c>
      <c r="D1304" s="19">
        <v>0.42</v>
      </c>
      <c r="E1304" s="11">
        <v>0.115</v>
      </c>
      <c r="F1304" s="2">
        <f t="shared" si="197"/>
        <v>580</v>
      </c>
      <c r="G1304" s="2">
        <f t="shared" si="214"/>
        <v>0.73</v>
      </c>
      <c r="H1304" s="2">
        <f t="shared" si="215"/>
        <v>1.2586206896551724</v>
      </c>
      <c r="I1304" s="12">
        <v>0.02</v>
      </c>
      <c r="J1304" s="12">
        <v>7.0000000000000007E-2</v>
      </c>
      <c r="K1304" s="12">
        <f t="shared" si="216"/>
        <v>0.15509137931034483</v>
      </c>
      <c r="L1304" s="12">
        <f t="shared" si="217"/>
        <v>1.5037120689655172</v>
      </c>
      <c r="M1304" s="2">
        <f>L1304*250</f>
        <v>375.92801724137934</v>
      </c>
      <c r="N1304" s="2"/>
      <c r="O1304" s="2"/>
      <c r="P1304" s="2"/>
      <c r="Q1304" s="2"/>
      <c r="R1304" s="28">
        <v>16.666666666666668</v>
      </c>
    </row>
    <row r="1305" spans="1:18" hidden="1" x14ac:dyDescent="0.25">
      <c r="A1305" s="16">
        <v>45722</v>
      </c>
      <c r="B1305" s="2" t="s">
        <v>162</v>
      </c>
      <c r="C1305" s="2">
        <v>200</v>
      </c>
      <c r="D1305" s="19">
        <v>0</v>
      </c>
      <c r="E1305" s="11">
        <v>0</v>
      </c>
      <c r="F1305" s="2">
        <f t="shared" si="197"/>
        <v>1000</v>
      </c>
      <c r="G1305" s="2">
        <f t="shared" si="214"/>
        <v>0.2</v>
      </c>
      <c r="H1305" s="2">
        <f t="shared" si="215"/>
        <v>0.2</v>
      </c>
      <c r="I1305" s="12">
        <v>0.02</v>
      </c>
      <c r="J1305" s="12">
        <v>7.0000000000000007E-2</v>
      </c>
      <c r="K1305" s="12">
        <f t="shared" si="216"/>
        <v>0</v>
      </c>
      <c r="L1305" s="12">
        <f t="shared" si="217"/>
        <v>0.29000000000000004</v>
      </c>
      <c r="M1305" s="2"/>
      <c r="N1305" s="2"/>
      <c r="O1305" s="2">
        <f>L1305*500</f>
        <v>145.00000000000003</v>
      </c>
      <c r="P1305" s="2"/>
      <c r="Q1305" s="2"/>
      <c r="R1305" s="28">
        <v>16.666666666666668</v>
      </c>
    </row>
    <row r="1306" spans="1:18" hidden="1" x14ac:dyDescent="0.25">
      <c r="A1306" s="16">
        <v>45722</v>
      </c>
      <c r="B1306" s="2" t="s">
        <v>91</v>
      </c>
      <c r="C1306" s="2">
        <v>400</v>
      </c>
      <c r="D1306" s="19">
        <v>0.19</v>
      </c>
      <c r="E1306" s="11">
        <v>0.185</v>
      </c>
      <c r="F1306" s="2">
        <f t="shared" si="197"/>
        <v>810</v>
      </c>
      <c r="G1306" s="2">
        <f t="shared" si="214"/>
        <v>0.4</v>
      </c>
      <c r="H1306" s="2">
        <f t="shared" si="215"/>
        <v>0.49382716049382713</v>
      </c>
      <c r="I1306" s="12">
        <v>0.02</v>
      </c>
      <c r="J1306" s="12">
        <v>7.0000000000000007E-2</v>
      </c>
      <c r="K1306" s="12">
        <f t="shared" si="216"/>
        <v>0.10800802469135803</v>
      </c>
      <c r="L1306" s="12">
        <f t="shared" si="217"/>
        <v>0.69183518518518528</v>
      </c>
      <c r="M1306" s="2"/>
      <c r="N1306" s="2"/>
      <c r="O1306" s="2">
        <f>L1306*500</f>
        <v>345.91759259259265</v>
      </c>
      <c r="P1306" s="2"/>
      <c r="Q1306" s="2"/>
      <c r="R1306" s="28">
        <v>16.666666666666668</v>
      </c>
    </row>
    <row r="1307" spans="1:18" hidden="1" x14ac:dyDescent="0.25">
      <c r="A1307" s="16">
        <v>45722</v>
      </c>
      <c r="B1307" s="2" t="s">
        <v>90</v>
      </c>
      <c r="C1307" s="2">
        <v>400</v>
      </c>
      <c r="D1307" s="19">
        <v>0.19</v>
      </c>
      <c r="E1307" s="11">
        <v>0.185</v>
      </c>
      <c r="F1307" s="2">
        <f t="shared" si="197"/>
        <v>810</v>
      </c>
      <c r="G1307" s="2">
        <f t="shared" si="214"/>
        <v>0.4</v>
      </c>
      <c r="H1307" s="2">
        <f t="shared" si="215"/>
        <v>0.49382716049382713</v>
      </c>
      <c r="I1307" s="12">
        <v>0.02</v>
      </c>
      <c r="J1307" s="12">
        <v>7.0000000000000007E-2</v>
      </c>
      <c r="K1307" s="12">
        <f t="shared" si="216"/>
        <v>0.10800802469135803</v>
      </c>
      <c r="L1307" s="12">
        <f t="shared" si="217"/>
        <v>0.69183518518518528</v>
      </c>
      <c r="M1307" s="2"/>
      <c r="N1307" s="2"/>
      <c r="O1307" s="2">
        <f>L1307*500</f>
        <v>345.91759259259265</v>
      </c>
      <c r="P1307" s="2"/>
      <c r="Q1307" s="2"/>
      <c r="R1307" s="28">
        <v>16.666666666666668</v>
      </c>
    </row>
    <row r="1308" spans="1:18" hidden="1" x14ac:dyDescent="0.25">
      <c r="A1308" s="16">
        <v>45722</v>
      </c>
      <c r="B1308" s="2" t="s">
        <v>206</v>
      </c>
      <c r="C1308" s="2">
        <v>420</v>
      </c>
      <c r="D1308" s="19">
        <v>0</v>
      </c>
      <c r="E1308" s="11">
        <v>0</v>
      </c>
      <c r="F1308" s="2">
        <f t="shared" si="197"/>
        <v>1000</v>
      </c>
      <c r="G1308" s="2">
        <f t="shared" si="214"/>
        <v>0.42</v>
      </c>
      <c r="H1308" s="2">
        <f t="shared" si="215"/>
        <v>0.42</v>
      </c>
      <c r="I1308" s="12">
        <v>0.02</v>
      </c>
      <c r="J1308" s="12">
        <v>7.0000000000000007E-2</v>
      </c>
      <c r="K1308" s="12">
        <f t="shared" si="216"/>
        <v>0</v>
      </c>
      <c r="L1308" s="12">
        <f t="shared" si="217"/>
        <v>0.51</v>
      </c>
      <c r="M1308" s="2"/>
      <c r="N1308" s="2"/>
      <c r="O1308" s="2">
        <f>L1308*500</f>
        <v>255</v>
      </c>
      <c r="P1308" s="2"/>
      <c r="Q1308" s="2"/>
      <c r="R1308" s="28">
        <v>16.666666666666668</v>
      </c>
    </row>
    <row r="1309" spans="1:18" hidden="1" x14ac:dyDescent="0.25">
      <c r="A1309" s="16">
        <v>45722</v>
      </c>
      <c r="B1309" s="2" t="s">
        <v>95</v>
      </c>
      <c r="C1309" s="2">
        <v>420</v>
      </c>
      <c r="D1309" s="19">
        <v>0</v>
      </c>
      <c r="E1309" s="11">
        <v>0</v>
      </c>
      <c r="F1309" s="2">
        <f t="shared" si="197"/>
        <v>1000</v>
      </c>
      <c r="G1309" s="2">
        <f t="shared" si="214"/>
        <v>0.42</v>
      </c>
      <c r="H1309" s="2">
        <f t="shared" si="215"/>
        <v>0.42</v>
      </c>
      <c r="I1309" s="12">
        <v>0.02</v>
      </c>
      <c r="J1309" s="12">
        <v>7.0000000000000007E-2</v>
      </c>
      <c r="K1309" s="12">
        <f t="shared" si="216"/>
        <v>0</v>
      </c>
      <c r="L1309" s="12">
        <f t="shared" si="217"/>
        <v>0.51</v>
      </c>
      <c r="M1309" s="2"/>
      <c r="N1309" s="2"/>
      <c r="O1309" s="2">
        <f>L1309*500</f>
        <v>255</v>
      </c>
      <c r="P1309" s="2"/>
      <c r="Q1309" s="2"/>
      <c r="R1309" s="28">
        <v>16.666666666666668</v>
      </c>
    </row>
    <row r="1310" spans="1:18" hidden="1" x14ac:dyDescent="0.25">
      <c r="A1310" s="16">
        <v>45723</v>
      </c>
      <c r="B1310" s="2" t="s">
        <v>207</v>
      </c>
      <c r="C1310" s="2">
        <v>0</v>
      </c>
      <c r="D1310" s="19">
        <v>0.49</v>
      </c>
      <c r="E1310" s="11">
        <v>0.161</v>
      </c>
      <c r="F1310" s="2">
        <f t="shared" si="197"/>
        <v>510</v>
      </c>
      <c r="G1310" s="2">
        <f t="shared" si="214"/>
        <v>0</v>
      </c>
      <c r="H1310" s="2">
        <f t="shared" si="215"/>
        <v>0</v>
      </c>
      <c r="I1310" s="12">
        <v>0.02</v>
      </c>
      <c r="J1310" s="12">
        <v>7.0000000000000007E-2</v>
      </c>
      <c r="K1310" s="12">
        <f t="shared" si="216"/>
        <v>1.4490000000000003E-2</v>
      </c>
      <c r="L1310" s="12">
        <f t="shared" si="217"/>
        <v>0.10449000000000001</v>
      </c>
      <c r="M1310" s="2">
        <f>L1310*250</f>
        <v>26.122500000000002</v>
      </c>
      <c r="N1310" s="2"/>
      <c r="O1310" s="2"/>
      <c r="P1310" s="2"/>
      <c r="Q1310" s="2">
        <f>L1310*1000</f>
        <v>104.49000000000001</v>
      </c>
      <c r="R1310" s="28">
        <v>16.666666666666668</v>
      </c>
    </row>
    <row r="1311" spans="1:18" hidden="1" x14ac:dyDescent="0.25">
      <c r="A1311" s="16">
        <v>45723</v>
      </c>
      <c r="B1311" s="2" t="s">
        <v>159</v>
      </c>
      <c r="C1311" s="2">
        <v>330</v>
      </c>
      <c r="D1311" s="19">
        <v>0.06</v>
      </c>
      <c r="E1311" s="11">
        <v>0.34</v>
      </c>
      <c r="F1311" s="2">
        <f t="shared" si="197"/>
        <v>940</v>
      </c>
      <c r="G1311" s="2">
        <f t="shared" si="214"/>
        <v>0.33</v>
      </c>
      <c r="H1311" s="2">
        <f t="shared" si="215"/>
        <v>0.35106382978723405</v>
      </c>
      <c r="I1311" s="12">
        <v>0.02</v>
      </c>
      <c r="J1311" s="12">
        <v>7.0000000000000007E-2</v>
      </c>
      <c r="K1311" s="12">
        <f t="shared" si="216"/>
        <v>0.14996170212765961</v>
      </c>
      <c r="L1311" s="12">
        <f t="shared" si="217"/>
        <v>0.59102553191489371</v>
      </c>
      <c r="M1311" s="2"/>
      <c r="N1311" s="2"/>
      <c r="O1311" s="2">
        <f>L1311*500</f>
        <v>295.51276595744685</v>
      </c>
      <c r="P1311" s="2"/>
      <c r="Q1311" s="2"/>
      <c r="R1311" s="28">
        <v>16.666666666666668</v>
      </c>
    </row>
    <row r="1312" spans="1:18" hidden="1" x14ac:dyDescent="0.25">
      <c r="A1312" s="16">
        <v>45723</v>
      </c>
      <c r="B1312" s="2" t="s">
        <v>152</v>
      </c>
      <c r="C1312" s="2">
        <v>230</v>
      </c>
      <c r="D1312" s="19">
        <v>0</v>
      </c>
      <c r="E1312" s="11">
        <v>0.36</v>
      </c>
      <c r="F1312" s="2">
        <f t="shared" si="197"/>
        <v>1000</v>
      </c>
      <c r="G1312" s="2">
        <f t="shared" si="214"/>
        <v>0.23</v>
      </c>
      <c r="H1312" s="2">
        <f t="shared" si="215"/>
        <v>0.23</v>
      </c>
      <c r="I1312" s="12">
        <v>0.02</v>
      </c>
      <c r="J1312" s="12">
        <v>7.0000000000000007E-2</v>
      </c>
      <c r="K1312" s="12">
        <f t="shared" si="216"/>
        <v>0.1152</v>
      </c>
      <c r="L1312" s="12">
        <f t="shared" si="217"/>
        <v>0.43520000000000003</v>
      </c>
      <c r="M1312" s="2"/>
      <c r="N1312" s="2"/>
      <c r="O1312" s="2">
        <f>L1312*450</f>
        <v>195.84</v>
      </c>
      <c r="P1312" s="2"/>
      <c r="Q1312" s="2"/>
      <c r="R1312" s="28">
        <v>16.666666666666668</v>
      </c>
    </row>
    <row r="1313" spans="1:18" hidden="1" x14ac:dyDescent="0.25">
      <c r="A1313" s="16">
        <v>45723</v>
      </c>
      <c r="B1313" s="2" t="s">
        <v>106</v>
      </c>
      <c r="C1313" s="2">
        <v>230</v>
      </c>
      <c r="D1313" s="19">
        <v>0</v>
      </c>
      <c r="E1313" s="11">
        <v>0.40799999999999997</v>
      </c>
      <c r="F1313" s="2">
        <f t="shared" si="197"/>
        <v>1000</v>
      </c>
      <c r="G1313" s="2">
        <f t="shared" si="214"/>
        <v>0.23</v>
      </c>
      <c r="H1313" s="2">
        <f t="shared" si="215"/>
        <v>0.23</v>
      </c>
      <c r="I1313" s="12">
        <v>0.02</v>
      </c>
      <c r="J1313" s="12">
        <v>7.0000000000000007E-2</v>
      </c>
      <c r="K1313" s="12">
        <f t="shared" si="216"/>
        <v>0.13055999999999998</v>
      </c>
      <c r="L1313" s="12">
        <f t="shared" si="217"/>
        <v>0.45055999999999996</v>
      </c>
      <c r="M1313" s="2"/>
      <c r="N1313" s="2"/>
      <c r="O1313" s="2">
        <f>L1313*500</f>
        <v>225.27999999999997</v>
      </c>
      <c r="P1313" s="2"/>
      <c r="Q1313" s="2"/>
      <c r="R1313" s="28">
        <v>16.666666666666668</v>
      </c>
    </row>
    <row r="1314" spans="1:18" hidden="1" x14ac:dyDescent="0.25">
      <c r="A1314" s="16">
        <v>45723</v>
      </c>
      <c r="B1314" s="2" t="s">
        <v>110</v>
      </c>
      <c r="C1314" s="2">
        <v>120</v>
      </c>
      <c r="D1314" s="19">
        <v>0</v>
      </c>
      <c r="E1314" s="11">
        <v>0.39</v>
      </c>
      <c r="F1314" s="2">
        <f t="shared" si="197"/>
        <v>1000</v>
      </c>
      <c r="G1314" s="2">
        <f t="shared" si="214"/>
        <v>0.12</v>
      </c>
      <c r="H1314" s="2">
        <f t="shared" si="215"/>
        <v>0.12</v>
      </c>
      <c r="I1314" s="12">
        <v>0.02</v>
      </c>
      <c r="J1314" s="12">
        <v>7.0000000000000007E-2</v>
      </c>
      <c r="K1314" s="12">
        <f t="shared" si="216"/>
        <v>8.1900000000000001E-2</v>
      </c>
      <c r="L1314" s="12">
        <f t="shared" si="217"/>
        <v>0.29189999999999999</v>
      </c>
      <c r="M1314" s="2"/>
      <c r="N1314" s="2"/>
      <c r="O1314" s="2">
        <f>L1314*500</f>
        <v>145.94999999999999</v>
      </c>
      <c r="P1314" s="2"/>
      <c r="Q1314" s="2"/>
      <c r="R1314" s="28">
        <v>16.666666666666668</v>
      </c>
    </row>
    <row r="1315" spans="1:18" hidden="1" x14ac:dyDescent="0.25">
      <c r="A1315" s="16">
        <v>45723</v>
      </c>
      <c r="B1315" s="2" t="s">
        <v>94</v>
      </c>
      <c r="C1315" s="2"/>
      <c r="D1315" s="19">
        <v>0</v>
      </c>
      <c r="E1315" s="11">
        <v>0</v>
      </c>
      <c r="F1315" s="2">
        <f t="shared" si="197"/>
        <v>1000</v>
      </c>
      <c r="G1315" s="2">
        <f t="shared" si="214"/>
        <v>0</v>
      </c>
      <c r="H1315" s="2">
        <f t="shared" si="215"/>
        <v>0</v>
      </c>
      <c r="I1315" s="12">
        <v>0.02</v>
      </c>
      <c r="J1315" s="12">
        <v>7.0000000000000007E-2</v>
      </c>
      <c r="K1315" s="12">
        <f t="shared" si="216"/>
        <v>0</v>
      </c>
      <c r="L1315" s="12">
        <f t="shared" si="217"/>
        <v>9.0000000000000011E-2</v>
      </c>
      <c r="M1315" s="2"/>
      <c r="N1315" s="2"/>
      <c r="O1315" s="2">
        <f>L1315*500</f>
        <v>45.000000000000007</v>
      </c>
      <c r="P1315" s="2"/>
      <c r="Q1315" s="2"/>
      <c r="R1315" s="28">
        <v>16.666666666666668</v>
      </c>
    </row>
    <row r="1316" spans="1:18" hidden="1" x14ac:dyDescent="0.25">
      <c r="A1316" s="16">
        <v>45723</v>
      </c>
      <c r="B1316" s="2" t="s">
        <v>154</v>
      </c>
      <c r="C1316" s="2"/>
      <c r="D1316" s="19">
        <v>0</v>
      </c>
      <c r="E1316" s="11">
        <v>0</v>
      </c>
      <c r="F1316" s="2">
        <f t="shared" si="197"/>
        <v>1000</v>
      </c>
      <c r="G1316" s="2">
        <f t="shared" si="214"/>
        <v>0</v>
      </c>
      <c r="H1316" s="2">
        <f t="shared" si="215"/>
        <v>0</v>
      </c>
      <c r="I1316" s="12">
        <v>0.02</v>
      </c>
      <c r="J1316" s="12">
        <v>7.0000000000000007E-2</v>
      </c>
      <c r="K1316" s="12">
        <f t="shared" si="216"/>
        <v>0</v>
      </c>
      <c r="L1316" s="12">
        <f t="shared" si="217"/>
        <v>9.0000000000000011E-2</v>
      </c>
      <c r="M1316" s="2"/>
      <c r="N1316" s="2"/>
      <c r="O1316" s="2"/>
      <c r="P1316" s="2"/>
      <c r="Q1316" s="2"/>
      <c r="R1316" s="28">
        <v>16.666666666666668</v>
      </c>
    </row>
    <row r="1317" spans="1:18" hidden="1" x14ac:dyDescent="0.25">
      <c r="A1317" s="16">
        <v>45723</v>
      </c>
      <c r="B1317" s="2" t="s">
        <v>90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8">
        <v>16.666666666666668</v>
      </c>
    </row>
    <row r="1318" spans="1:18" hidden="1" x14ac:dyDescent="0.25">
      <c r="A1318" s="16">
        <v>45723</v>
      </c>
      <c r="B1318" s="2" t="s">
        <v>91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8">
        <v>16.666666666666668</v>
      </c>
    </row>
    <row r="1319" spans="1:18" hidden="1" x14ac:dyDescent="0.25">
      <c r="A1319" s="16">
        <v>45723</v>
      </c>
      <c r="B1319" s="2" t="s">
        <v>128</v>
      </c>
      <c r="C1319" s="2">
        <v>250</v>
      </c>
      <c r="D1319" s="19">
        <v>0.09</v>
      </c>
      <c r="E1319" s="11">
        <v>0.34499999999999997</v>
      </c>
      <c r="F1319" s="2">
        <f t="shared" ref="F1319:F1327" si="219">1000-1000*D1319</f>
        <v>910</v>
      </c>
      <c r="G1319" s="2">
        <f t="shared" ref="G1319:G1327" si="220">C1319/1000</f>
        <v>0.25</v>
      </c>
      <c r="H1319" s="2">
        <f t="shared" ref="H1319:H1327" si="221">C1319/F1319</f>
        <v>0.27472527472527475</v>
      </c>
      <c r="I1319" s="12">
        <v>0.02</v>
      </c>
      <c r="J1319" s="12">
        <v>7.0000000000000007E-2</v>
      </c>
      <c r="K1319" s="12">
        <f t="shared" ref="K1319:K1327" si="222">SUM(H1319:J1319)*E1319</f>
        <v>0.1258302197802198</v>
      </c>
      <c r="L1319" s="12">
        <f t="shared" ref="L1319:L1327" si="223">SUM(H1319:K1319)</f>
        <v>0.49055549450549457</v>
      </c>
      <c r="M1319" s="2"/>
      <c r="N1319" s="2"/>
      <c r="O1319" s="2">
        <f>L1319*500</f>
        <v>245.27774725274728</v>
      </c>
      <c r="P1319" s="2"/>
      <c r="Q1319" s="2"/>
      <c r="R1319" s="28">
        <v>16.666666666666668</v>
      </c>
    </row>
    <row r="1320" spans="1:18" hidden="1" x14ac:dyDescent="0.25">
      <c r="A1320" s="16">
        <v>45727</v>
      </c>
      <c r="B1320" s="2" t="s">
        <v>138</v>
      </c>
      <c r="C1320" s="2">
        <v>500</v>
      </c>
      <c r="D1320" s="19">
        <v>0.55000000000000004</v>
      </c>
      <c r="E1320" s="11">
        <v>0.318</v>
      </c>
      <c r="F1320" s="2">
        <f t="shared" si="219"/>
        <v>450</v>
      </c>
      <c r="G1320" s="2">
        <f t="shared" si="220"/>
        <v>0.5</v>
      </c>
      <c r="H1320" s="2">
        <f t="shared" si="221"/>
        <v>1.1111111111111112</v>
      </c>
      <c r="I1320" s="12">
        <v>0.02</v>
      </c>
      <c r="J1320" s="12">
        <v>7.0000000000000007E-2</v>
      </c>
      <c r="K1320" s="12">
        <f t="shared" si="222"/>
        <v>0.38195333333333337</v>
      </c>
      <c r="L1320" s="12">
        <f t="shared" si="223"/>
        <v>1.5830644444444446</v>
      </c>
      <c r="M1320" s="2">
        <f>L1320*250</f>
        <v>395.76611111111117</v>
      </c>
      <c r="N1320" s="2"/>
      <c r="O1320" s="2">
        <f>L1320*500</f>
        <v>791.53222222222234</v>
      </c>
      <c r="P1320" s="2"/>
      <c r="Q1320" s="2">
        <f>L1320*1000</f>
        <v>1583.0644444444447</v>
      </c>
      <c r="R1320" s="28">
        <v>16.666666666666668</v>
      </c>
    </row>
    <row r="1321" spans="1:18" hidden="1" x14ac:dyDescent="0.25">
      <c r="A1321" s="16">
        <v>45730</v>
      </c>
      <c r="B1321" s="2" t="s">
        <v>91</v>
      </c>
      <c r="C1321" s="2">
        <v>500</v>
      </c>
      <c r="D1321" s="19">
        <v>8.5000000000000006E-2</v>
      </c>
      <c r="E1321" s="11">
        <v>0.18</v>
      </c>
      <c r="F1321" s="2">
        <f t="shared" si="219"/>
        <v>915</v>
      </c>
      <c r="G1321" s="2">
        <f t="shared" si="220"/>
        <v>0.5</v>
      </c>
      <c r="H1321" s="2">
        <f t="shared" si="221"/>
        <v>0.54644808743169404</v>
      </c>
      <c r="I1321" s="12">
        <v>0.02</v>
      </c>
      <c r="J1321" s="12">
        <v>7.0000000000000007E-2</v>
      </c>
      <c r="K1321" s="12">
        <f t="shared" si="222"/>
        <v>0.11456065573770492</v>
      </c>
      <c r="L1321" s="12">
        <f t="shared" si="223"/>
        <v>0.75100874316939892</v>
      </c>
      <c r="M1321" s="2"/>
      <c r="N1321" s="2"/>
      <c r="O1321" s="2">
        <f>L1321*500</f>
        <v>375.50437158469947</v>
      </c>
      <c r="P1321" s="2"/>
      <c r="Q1321" s="2"/>
      <c r="R1321" s="28">
        <v>16.666666666666668</v>
      </c>
    </row>
    <row r="1322" spans="1:18" hidden="1" x14ac:dyDescent="0.25">
      <c r="A1322" s="16">
        <v>45730</v>
      </c>
      <c r="B1322" s="2" t="s">
        <v>214</v>
      </c>
      <c r="C1322" s="2">
        <v>430</v>
      </c>
      <c r="D1322" s="19">
        <v>0</v>
      </c>
      <c r="E1322" s="11">
        <v>0.06</v>
      </c>
      <c r="F1322" s="2">
        <f t="shared" ref="F1322" si="224">1000-1000*D1322</f>
        <v>1000</v>
      </c>
      <c r="G1322" s="2">
        <f t="shared" ref="G1322" si="225">C1322/1000</f>
        <v>0.43</v>
      </c>
      <c r="H1322" s="2">
        <f t="shared" ref="H1322" si="226">C1322/F1322</f>
        <v>0.43</v>
      </c>
      <c r="I1322" s="12">
        <v>0.02</v>
      </c>
      <c r="J1322" s="12">
        <v>7.0000000000000007E-2</v>
      </c>
      <c r="K1322" s="12">
        <f t="shared" ref="K1322" si="227">SUM(H1322:J1322)*E1322</f>
        <v>3.1199999999999999E-2</v>
      </c>
      <c r="L1322" s="12">
        <f t="shared" ref="L1322" si="228">SUM(H1322:K1322)</f>
        <v>0.55120000000000002</v>
      </c>
      <c r="M1322" s="2"/>
      <c r="N1322" s="2"/>
      <c r="O1322" s="2">
        <f>L1322*500</f>
        <v>275.60000000000002</v>
      </c>
      <c r="P1322" s="2"/>
      <c r="Q1322" s="2"/>
      <c r="R1322" s="28">
        <v>16.666666666666668</v>
      </c>
    </row>
    <row r="1323" spans="1:18" hidden="1" x14ac:dyDescent="0.25">
      <c r="A1323" s="16">
        <v>45731</v>
      </c>
      <c r="B1323" s="2" t="s">
        <v>160</v>
      </c>
      <c r="C1323" s="2">
        <v>700</v>
      </c>
      <c r="D1323" s="19">
        <v>0.22</v>
      </c>
      <c r="E1323" s="11">
        <v>0.4</v>
      </c>
      <c r="F1323" s="2">
        <f t="shared" si="219"/>
        <v>780</v>
      </c>
      <c r="G1323" s="2">
        <f t="shared" si="220"/>
        <v>0.7</v>
      </c>
      <c r="H1323" s="2">
        <f t="shared" si="221"/>
        <v>0.89743589743589747</v>
      </c>
      <c r="I1323" s="12">
        <v>0.02</v>
      </c>
      <c r="J1323" s="12">
        <v>7.0000000000000007E-2</v>
      </c>
      <c r="K1323" s="12">
        <f t="shared" si="222"/>
        <v>0.39497435897435901</v>
      </c>
      <c r="L1323" s="12">
        <f t="shared" si="223"/>
        <v>1.3824102564102565</v>
      </c>
      <c r="M1323" s="2"/>
      <c r="N1323" s="2"/>
      <c r="O1323" s="2">
        <f t="shared" ref="O1323" si="229">L1323*500</f>
        <v>691.20512820512829</v>
      </c>
      <c r="P1323" s="2"/>
      <c r="Q1323" s="2">
        <f>L1323*1000</f>
        <v>1382.4102564102566</v>
      </c>
      <c r="R1323" s="28">
        <v>16.666666666666668</v>
      </c>
    </row>
    <row r="1324" spans="1:18" hidden="1" x14ac:dyDescent="0.25">
      <c r="A1324" s="16">
        <v>45731</v>
      </c>
      <c r="B1324" s="2" t="s">
        <v>111</v>
      </c>
      <c r="C1324" s="2">
        <v>700</v>
      </c>
      <c r="D1324" s="19">
        <v>0.22</v>
      </c>
      <c r="E1324" s="11">
        <v>0.4</v>
      </c>
      <c r="F1324" s="2">
        <f t="shared" si="219"/>
        <v>780</v>
      </c>
      <c r="G1324" s="2">
        <f t="shared" si="220"/>
        <v>0.7</v>
      </c>
      <c r="H1324" s="2">
        <f t="shared" si="221"/>
        <v>0.89743589743589747</v>
      </c>
      <c r="I1324" s="12">
        <v>0.02</v>
      </c>
      <c r="J1324" s="12">
        <v>7.0000000000000007E-2</v>
      </c>
      <c r="K1324" s="12">
        <f t="shared" si="222"/>
        <v>0.39497435897435901</v>
      </c>
      <c r="L1324" s="12">
        <f t="shared" si="223"/>
        <v>1.3824102564102565</v>
      </c>
      <c r="M1324" s="2">
        <f>L1324*250</f>
        <v>345.60256410256414</v>
      </c>
      <c r="N1324" s="2"/>
      <c r="O1324" s="2"/>
      <c r="P1324" s="2"/>
      <c r="Q1324" s="2">
        <f>L1324*1000</f>
        <v>1382.4102564102566</v>
      </c>
      <c r="R1324" s="28">
        <v>16.666666666666668</v>
      </c>
    </row>
    <row r="1325" spans="1:18" hidden="1" x14ac:dyDescent="0.25">
      <c r="A1325" s="16">
        <v>45731</v>
      </c>
      <c r="B1325" s="2" t="s">
        <v>113</v>
      </c>
      <c r="C1325" s="2">
        <v>700</v>
      </c>
      <c r="D1325" s="19">
        <v>0.22</v>
      </c>
      <c r="E1325" s="11">
        <v>0.4</v>
      </c>
      <c r="F1325" s="2">
        <f t="shared" si="219"/>
        <v>780</v>
      </c>
      <c r="G1325" s="2">
        <f t="shared" si="220"/>
        <v>0.7</v>
      </c>
      <c r="H1325" s="2">
        <f t="shared" si="221"/>
        <v>0.89743589743589747</v>
      </c>
      <c r="I1325" s="12">
        <v>0.02</v>
      </c>
      <c r="J1325" s="12">
        <v>7.0000000000000007E-2</v>
      </c>
      <c r="K1325" s="12">
        <f t="shared" si="222"/>
        <v>0.39497435897435901</v>
      </c>
      <c r="L1325" s="12">
        <f t="shared" si="223"/>
        <v>1.3824102564102565</v>
      </c>
      <c r="M1325" s="2">
        <f>L1325*250</f>
        <v>345.60256410256414</v>
      </c>
      <c r="N1325" s="2"/>
      <c r="O1325" s="2"/>
      <c r="P1325" s="2"/>
      <c r="Q1325" s="2">
        <f>L1325*1000</f>
        <v>1382.4102564102566</v>
      </c>
      <c r="R1325" s="28">
        <v>16.666666666666668</v>
      </c>
    </row>
    <row r="1326" spans="1:18" x14ac:dyDescent="0.25">
      <c r="A1326" s="16">
        <v>45731</v>
      </c>
      <c r="B1326" s="2" t="s">
        <v>151</v>
      </c>
      <c r="C1326" s="2">
        <v>700</v>
      </c>
      <c r="D1326" s="14">
        <v>0.15</v>
      </c>
      <c r="E1326" s="11">
        <v>0.28999999999999998</v>
      </c>
      <c r="F1326" s="2">
        <f t="shared" si="219"/>
        <v>850</v>
      </c>
      <c r="G1326" s="2">
        <f t="shared" si="220"/>
        <v>0.7</v>
      </c>
      <c r="H1326" s="2">
        <f t="shared" si="221"/>
        <v>0.82352941176470584</v>
      </c>
      <c r="I1326" s="12">
        <v>0.02</v>
      </c>
      <c r="J1326" s="12">
        <v>7.0000000000000007E-2</v>
      </c>
      <c r="K1326" s="12">
        <f t="shared" si="222"/>
        <v>0.26492352941176472</v>
      </c>
      <c r="L1326" s="12">
        <f t="shared" si="223"/>
        <v>1.1784529411764706</v>
      </c>
      <c r="M1326" s="2">
        <f>L1326*250</f>
        <v>294.61323529411766</v>
      </c>
      <c r="N1326" s="2"/>
      <c r="O1326" s="2">
        <f>L1326*500</f>
        <v>589.22647058823532</v>
      </c>
      <c r="P1326" s="2"/>
      <c r="Q1326" s="2">
        <f t="shared" ref="Q1326" si="230">L1326*1000</f>
        <v>1178.4529411764706</v>
      </c>
      <c r="R1326" s="28">
        <v>16.666666666666668</v>
      </c>
    </row>
    <row r="1327" spans="1:18" hidden="1" x14ac:dyDescent="0.25">
      <c r="A1327" s="16">
        <v>45731</v>
      </c>
      <c r="B1327" s="2" t="s">
        <v>118</v>
      </c>
      <c r="C1327" s="2">
        <v>270</v>
      </c>
      <c r="D1327" s="19">
        <v>0.42</v>
      </c>
      <c r="E1327" s="11">
        <v>0.26</v>
      </c>
      <c r="F1327" s="2">
        <f t="shared" si="219"/>
        <v>580</v>
      </c>
      <c r="G1327" s="2">
        <f t="shared" si="220"/>
        <v>0.27</v>
      </c>
      <c r="H1327" s="2">
        <f t="shared" si="221"/>
        <v>0.46551724137931033</v>
      </c>
      <c r="I1327" s="12">
        <v>0.02</v>
      </c>
      <c r="J1327" s="12">
        <v>7.0000000000000007E-2</v>
      </c>
      <c r="K1327" s="12">
        <f t="shared" si="222"/>
        <v>0.1444344827586207</v>
      </c>
      <c r="L1327" s="12">
        <f t="shared" si="223"/>
        <v>0.69995172413793105</v>
      </c>
      <c r="M1327" s="2">
        <f>L1327*250</f>
        <v>174.98793103448276</v>
      </c>
      <c r="N1327" s="2"/>
      <c r="O1327" s="2"/>
      <c r="P1327" s="2"/>
      <c r="Q1327" s="2">
        <f>L1327*1000</f>
        <v>699.95172413793102</v>
      </c>
      <c r="R1327" s="28">
        <v>16.666666666666668</v>
      </c>
    </row>
    <row r="1328" spans="1:18" hidden="1" x14ac:dyDescent="0.25">
      <c r="A1328" s="16">
        <v>45730</v>
      </c>
      <c r="B1328" s="2" t="s">
        <v>91</v>
      </c>
      <c r="C1328" s="2">
        <v>450</v>
      </c>
      <c r="D1328" s="19">
        <v>0.22</v>
      </c>
      <c r="E1328" s="11">
        <v>0.13</v>
      </c>
      <c r="F1328" s="2">
        <f t="shared" ref="F1328:F1331" si="231">1000-1000*D1328</f>
        <v>780</v>
      </c>
      <c r="G1328" s="2">
        <f t="shared" ref="G1328:G1331" si="232">C1328/1000</f>
        <v>0.45</v>
      </c>
      <c r="H1328" s="2">
        <f t="shared" ref="H1328:H1331" si="233">C1328/F1328</f>
        <v>0.57692307692307687</v>
      </c>
      <c r="I1328" s="12">
        <v>0.02</v>
      </c>
      <c r="J1328" s="12">
        <v>7.0000000000000007E-2</v>
      </c>
      <c r="K1328" s="12">
        <f t="shared" ref="K1328:K1331" si="234">SUM(H1328:J1328)*E1328</f>
        <v>8.6700000000000013E-2</v>
      </c>
      <c r="L1328" s="12">
        <f t="shared" ref="L1328:L1331" si="235">SUM(H1328:K1328)</f>
        <v>0.75362307692307695</v>
      </c>
      <c r="M1328" s="2"/>
      <c r="N1328" s="2"/>
      <c r="O1328" s="2">
        <f t="shared" ref="O1328:O1333" si="236">L1328*500</f>
        <v>376.81153846153848</v>
      </c>
      <c r="P1328" s="2"/>
      <c r="Q1328" s="2"/>
      <c r="R1328" s="28">
        <v>16.666666666666668</v>
      </c>
    </row>
    <row r="1329" spans="1:18" hidden="1" x14ac:dyDescent="0.25">
      <c r="A1329" s="16">
        <v>45730</v>
      </c>
      <c r="B1329" s="2" t="s">
        <v>90</v>
      </c>
      <c r="C1329" s="2">
        <v>450</v>
      </c>
      <c r="D1329" s="19">
        <v>0.22</v>
      </c>
      <c r="E1329" s="11">
        <v>0.13</v>
      </c>
      <c r="F1329" s="2">
        <f t="shared" si="231"/>
        <v>780</v>
      </c>
      <c r="G1329" s="2">
        <f t="shared" si="232"/>
        <v>0.45</v>
      </c>
      <c r="H1329" s="2">
        <f t="shared" si="233"/>
        <v>0.57692307692307687</v>
      </c>
      <c r="I1329" s="12">
        <v>0.02</v>
      </c>
      <c r="J1329" s="12">
        <v>7.0000000000000007E-2</v>
      </c>
      <c r="K1329" s="12">
        <f t="shared" si="234"/>
        <v>8.6700000000000013E-2</v>
      </c>
      <c r="L1329" s="12">
        <f t="shared" si="235"/>
        <v>0.75362307692307695</v>
      </c>
      <c r="M1329" s="2"/>
      <c r="N1329" s="2"/>
      <c r="O1329" s="2">
        <f t="shared" si="236"/>
        <v>376.81153846153848</v>
      </c>
      <c r="P1329" s="2"/>
      <c r="Q1329" s="2"/>
      <c r="R1329" s="28">
        <v>16.666666666666668</v>
      </c>
    </row>
    <row r="1330" spans="1:18" hidden="1" x14ac:dyDescent="0.25">
      <c r="A1330" s="16">
        <v>45734</v>
      </c>
      <c r="B1330" s="2" t="s">
        <v>215</v>
      </c>
      <c r="C1330" s="2">
        <v>450</v>
      </c>
      <c r="D1330" s="19">
        <v>0</v>
      </c>
      <c r="E1330" s="11">
        <v>0.20499999999999999</v>
      </c>
      <c r="F1330" s="2">
        <f t="shared" si="231"/>
        <v>1000</v>
      </c>
      <c r="G1330" s="2">
        <f t="shared" si="232"/>
        <v>0.45</v>
      </c>
      <c r="H1330" s="2">
        <f t="shared" si="233"/>
        <v>0.45</v>
      </c>
      <c r="I1330" s="12">
        <v>0.02</v>
      </c>
      <c r="J1330" s="12">
        <v>7.0000000000000007E-2</v>
      </c>
      <c r="K1330" s="12">
        <f t="shared" si="234"/>
        <v>0.11070000000000001</v>
      </c>
      <c r="L1330" s="12">
        <f t="shared" si="235"/>
        <v>0.65070000000000006</v>
      </c>
      <c r="M1330" s="2"/>
      <c r="N1330" s="2"/>
      <c r="O1330" s="2">
        <f t="shared" si="236"/>
        <v>325.35000000000002</v>
      </c>
      <c r="P1330" s="2"/>
      <c r="Q1330" s="2"/>
      <c r="R1330" s="28">
        <v>16.666666666666668</v>
      </c>
    </row>
    <row r="1331" spans="1:18" hidden="1" x14ac:dyDescent="0.25">
      <c r="A1331" s="16">
        <v>45734</v>
      </c>
      <c r="B1331" s="2" t="s">
        <v>106</v>
      </c>
      <c r="C1331" s="2">
        <v>270</v>
      </c>
      <c r="D1331" s="19">
        <v>0</v>
      </c>
      <c r="E1331" s="11">
        <v>0.25</v>
      </c>
      <c r="F1331" s="2">
        <f t="shared" si="231"/>
        <v>1000</v>
      </c>
      <c r="G1331" s="2">
        <f t="shared" si="232"/>
        <v>0.27</v>
      </c>
      <c r="H1331" s="2">
        <f t="shared" si="233"/>
        <v>0.27</v>
      </c>
      <c r="I1331" s="12">
        <v>0.02</v>
      </c>
      <c r="J1331" s="12">
        <v>7.0000000000000007E-2</v>
      </c>
      <c r="K1331" s="12">
        <f t="shared" si="234"/>
        <v>9.0000000000000011E-2</v>
      </c>
      <c r="L1331" s="12">
        <f t="shared" si="235"/>
        <v>0.45000000000000007</v>
      </c>
      <c r="M1331" s="2"/>
      <c r="N1331" s="2"/>
      <c r="O1331" s="2">
        <f t="shared" si="236"/>
        <v>225.00000000000003</v>
      </c>
      <c r="P1331" s="2"/>
      <c r="Q1331" s="2"/>
      <c r="R1331" s="28">
        <v>16.666666666666668</v>
      </c>
    </row>
    <row r="1332" spans="1:18" hidden="1" x14ac:dyDescent="0.25">
      <c r="A1332" s="16">
        <v>45734</v>
      </c>
      <c r="B1332" s="2" t="s">
        <v>91</v>
      </c>
      <c r="C1332" s="2">
        <v>400</v>
      </c>
      <c r="D1332" s="19">
        <v>0.09</v>
      </c>
      <c r="E1332" s="11">
        <v>0.3</v>
      </c>
      <c r="F1332" s="2">
        <f t="shared" ref="F1332" si="237">1000-1000*D1332</f>
        <v>910</v>
      </c>
      <c r="G1332" s="2">
        <f t="shared" ref="G1332" si="238">C1332/1000</f>
        <v>0.4</v>
      </c>
      <c r="H1332" s="2">
        <f t="shared" ref="H1332" si="239">C1332/F1332</f>
        <v>0.43956043956043955</v>
      </c>
      <c r="I1332" s="12">
        <v>0.02</v>
      </c>
      <c r="J1332" s="12">
        <v>7.0000000000000007E-2</v>
      </c>
      <c r="K1332" s="12">
        <f t="shared" ref="K1332" si="240">SUM(H1332:J1332)*E1332</f>
        <v>0.1588681318681319</v>
      </c>
      <c r="L1332" s="12">
        <f t="shared" ref="L1332" si="241">SUM(H1332:K1332)</f>
        <v>0.6884285714285715</v>
      </c>
      <c r="M1332" s="2"/>
      <c r="N1332" s="2"/>
      <c r="O1332" s="2">
        <f t="shared" si="236"/>
        <v>344.21428571428572</v>
      </c>
      <c r="P1332" s="2"/>
      <c r="Q1332" s="2"/>
      <c r="R1332" s="28">
        <v>16.666666666666668</v>
      </c>
    </row>
    <row r="1333" spans="1:18" hidden="1" x14ac:dyDescent="0.25">
      <c r="A1333" s="16">
        <v>45734</v>
      </c>
      <c r="B1333" s="2" t="s">
        <v>90</v>
      </c>
      <c r="C1333" s="2">
        <v>400</v>
      </c>
      <c r="D1333" s="19">
        <v>0.09</v>
      </c>
      <c r="E1333" s="11">
        <v>0.3</v>
      </c>
      <c r="F1333" s="2">
        <f t="shared" ref="F1333:F1342" si="242">1000-1000*D1333</f>
        <v>910</v>
      </c>
      <c r="G1333" s="2">
        <f t="shared" ref="G1333:G1342" si="243">C1333/1000</f>
        <v>0.4</v>
      </c>
      <c r="H1333" s="2">
        <f t="shared" ref="H1333:H1342" si="244">C1333/F1333</f>
        <v>0.43956043956043955</v>
      </c>
      <c r="I1333" s="12">
        <v>0.02</v>
      </c>
      <c r="J1333" s="12">
        <v>7.0000000000000007E-2</v>
      </c>
      <c r="K1333" s="12">
        <f t="shared" ref="K1333:K1342" si="245">SUM(H1333:J1333)*E1333</f>
        <v>0.1588681318681319</v>
      </c>
      <c r="L1333" s="12">
        <f t="shared" ref="L1333:L1342" si="246">SUM(H1333:K1333)</f>
        <v>0.6884285714285715</v>
      </c>
      <c r="M1333" s="2"/>
      <c r="N1333" s="2"/>
      <c r="O1333" s="2">
        <f t="shared" si="236"/>
        <v>344.21428571428572</v>
      </c>
      <c r="P1333" s="2"/>
      <c r="Q1333" s="2"/>
      <c r="R1333" s="28">
        <v>16.666666666666668</v>
      </c>
    </row>
    <row r="1334" spans="1:18" hidden="1" x14ac:dyDescent="0.25">
      <c r="A1334" s="2"/>
      <c r="B1334" s="2" t="s">
        <v>118</v>
      </c>
      <c r="C1334" s="2">
        <v>280</v>
      </c>
      <c r="D1334" s="19">
        <v>0.32</v>
      </c>
      <c r="E1334" s="11">
        <v>0.4</v>
      </c>
      <c r="F1334" s="2">
        <f t="shared" si="242"/>
        <v>680</v>
      </c>
      <c r="G1334" s="2">
        <f t="shared" si="243"/>
        <v>0.28000000000000003</v>
      </c>
      <c r="H1334" s="2">
        <f t="shared" si="244"/>
        <v>0.41176470588235292</v>
      </c>
      <c r="I1334" s="12">
        <v>0.02</v>
      </c>
      <c r="J1334" s="12">
        <v>7.0000000000000007E-2</v>
      </c>
      <c r="K1334" s="12">
        <f t="shared" si="245"/>
        <v>0.20070588235294118</v>
      </c>
      <c r="L1334" s="12">
        <f t="shared" si="246"/>
        <v>0.70247058823529407</v>
      </c>
      <c r="M1334" s="2">
        <f>L1334*250</f>
        <v>175.61764705882351</v>
      </c>
      <c r="N1334" s="2"/>
      <c r="O1334" s="2"/>
      <c r="P1334" s="2"/>
      <c r="Q1334" s="2">
        <f>L1334*1000</f>
        <v>702.47058823529403</v>
      </c>
      <c r="R1334" s="28">
        <v>16.666666666666668</v>
      </c>
    </row>
    <row r="1335" spans="1:18" hidden="1" x14ac:dyDescent="0.25">
      <c r="A1335" s="16">
        <v>45735</v>
      </c>
      <c r="B1335" s="2" t="s">
        <v>114</v>
      </c>
      <c r="C1335" s="2">
        <v>1250</v>
      </c>
      <c r="D1335" s="19">
        <v>0.39</v>
      </c>
      <c r="E1335" s="11">
        <v>0.114</v>
      </c>
      <c r="F1335" s="2">
        <f t="shared" si="242"/>
        <v>610</v>
      </c>
      <c r="G1335" s="2">
        <f t="shared" si="243"/>
        <v>1.25</v>
      </c>
      <c r="H1335" s="2">
        <f t="shared" si="244"/>
        <v>2.0491803278688523</v>
      </c>
      <c r="I1335" s="12">
        <v>0.02</v>
      </c>
      <c r="J1335" s="12">
        <v>7.0000000000000007E-2</v>
      </c>
      <c r="K1335" s="12">
        <f t="shared" si="245"/>
        <v>0.24386655737704915</v>
      </c>
      <c r="L1335" s="12">
        <f t="shared" si="246"/>
        <v>2.3830468852459012</v>
      </c>
      <c r="M1335" s="2">
        <f>L1335*250</f>
        <v>595.7617213114753</v>
      </c>
      <c r="N1335" s="2"/>
      <c r="O1335" s="2"/>
      <c r="P1335" s="2"/>
      <c r="Q1335" s="2">
        <f>L1335*1000</f>
        <v>2383.0468852459012</v>
      </c>
      <c r="R1335" s="28">
        <v>16.666666666666668</v>
      </c>
    </row>
    <row r="1336" spans="1:18" hidden="1" x14ac:dyDescent="0.25">
      <c r="A1336" s="16">
        <v>45736</v>
      </c>
      <c r="B1336" s="2" t="s">
        <v>106</v>
      </c>
      <c r="C1336" s="2">
        <v>250</v>
      </c>
      <c r="D1336" s="19">
        <v>0</v>
      </c>
      <c r="E1336" s="11">
        <v>0.32500000000000001</v>
      </c>
      <c r="F1336" s="2">
        <f t="shared" si="242"/>
        <v>1000</v>
      </c>
      <c r="G1336" s="2">
        <f t="shared" si="243"/>
        <v>0.25</v>
      </c>
      <c r="H1336" s="2">
        <f t="shared" si="244"/>
        <v>0.25</v>
      </c>
      <c r="I1336" s="12">
        <v>0.02</v>
      </c>
      <c r="J1336" s="12">
        <v>7.0000000000000007E-2</v>
      </c>
      <c r="K1336" s="12">
        <f t="shared" si="245"/>
        <v>0.11050000000000001</v>
      </c>
      <c r="L1336" s="12">
        <f t="shared" si="246"/>
        <v>0.45050000000000001</v>
      </c>
      <c r="M1336" s="2"/>
      <c r="N1336" s="2"/>
      <c r="O1336" s="2">
        <f>L1336*500</f>
        <v>225.25</v>
      </c>
      <c r="P1336" s="2"/>
      <c r="Q1336" s="2"/>
      <c r="R1336" s="28">
        <v>16.666666666666668</v>
      </c>
    </row>
    <row r="1337" spans="1:18" hidden="1" x14ac:dyDescent="0.25">
      <c r="A1337" s="16">
        <v>45736</v>
      </c>
      <c r="B1337" s="2" t="s">
        <v>152</v>
      </c>
      <c r="C1337" s="2">
        <v>250</v>
      </c>
      <c r="D1337" s="19">
        <v>0</v>
      </c>
      <c r="E1337" s="11">
        <v>0.47499999999999998</v>
      </c>
      <c r="F1337" s="2">
        <f t="shared" si="242"/>
        <v>1000</v>
      </c>
      <c r="G1337" s="2">
        <f t="shared" si="243"/>
        <v>0.25</v>
      </c>
      <c r="H1337" s="2">
        <f t="shared" si="244"/>
        <v>0.25</v>
      </c>
      <c r="I1337" s="12">
        <v>0.02</v>
      </c>
      <c r="J1337" s="12">
        <v>7.0000000000000007E-2</v>
      </c>
      <c r="K1337" s="12">
        <f t="shared" si="245"/>
        <v>0.1615</v>
      </c>
      <c r="L1337" s="12">
        <f t="shared" si="246"/>
        <v>0.50150000000000006</v>
      </c>
      <c r="M1337" s="2"/>
      <c r="N1337" s="2"/>
      <c r="O1337" s="2">
        <f>L1337*450</f>
        <v>225.67500000000001</v>
      </c>
      <c r="P1337" s="2"/>
      <c r="Q1337" s="2"/>
      <c r="R1337" s="28">
        <v>16.666666666666668</v>
      </c>
    </row>
    <row r="1338" spans="1:18" hidden="1" x14ac:dyDescent="0.25">
      <c r="A1338" s="16">
        <v>45736</v>
      </c>
      <c r="B1338" s="2" t="s">
        <v>111</v>
      </c>
      <c r="C1338" s="2">
        <v>950</v>
      </c>
      <c r="D1338" s="19">
        <v>0.3</v>
      </c>
      <c r="E1338" s="11">
        <v>0.245</v>
      </c>
      <c r="F1338" s="2">
        <f t="shared" si="242"/>
        <v>700</v>
      </c>
      <c r="G1338" s="2">
        <f t="shared" si="243"/>
        <v>0.95</v>
      </c>
      <c r="H1338" s="2">
        <f t="shared" si="244"/>
        <v>1.3571428571428572</v>
      </c>
      <c r="I1338" s="12">
        <v>0.02</v>
      </c>
      <c r="J1338" s="12">
        <v>7.0000000000000007E-2</v>
      </c>
      <c r="K1338" s="12">
        <f t="shared" si="245"/>
        <v>0.35455000000000003</v>
      </c>
      <c r="L1338" s="12">
        <f t="shared" si="246"/>
        <v>1.8016928571428572</v>
      </c>
      <c r="M1338" s="2">
        <f>L1338*250</f>
        <v>450.42321428571432</v>
      </c>
      <c r="N1338" s="2"/>
      <c r="O1338" s="2"/>
      <c r="P1338" s="2"/>
      <c r="Q1338" s="2">
        <f>L1338*1000</f>
        <v>1801.6928571428573</v>
      </c>
      <c r="R1338" s="28">
        <v>16.666666666666668</v>
      </c>
    </row>
    <row r="1339" spans="1:18" hidden="1" x14ac:dyDescent="0.25">
      <c r="A1339" s="16">
        <v>45736</v>
      </c>
      <c r="B1339" s="2" t="s">
        <v>90</v>
      </c>
      <c r="C1339" s="2">
        <v>370</v>
      </c>
      <c r="D1339" s="19">
        <v>0.14000000000000001</v>
      </c>
      <c r="E1339" s="11">
        <v>0.33</v>
      </c>
      <c r="F1339" s="2">
        <f t="shared" si="242"/>
        <v>860</v>
      </c>
      <c r="G1339" s="2">
        <f t="shared" si="243"/>
        <v>0.37</v>
      </c>
      <c r="H1339" s="2">
        <f t="shared" si="244"/>
        <v>0.43023255813953487</v>
      </c>
      <c r="I1339" s="12">
        <v>0.02</v>
      </c>
      <c r="J1339" s="12">
        <v>7.0000000000000007E-2</v>
      </c>
      <c r="K1339" s="12">
        <f t="shared" si="245"/>
        <v>0.1716767441860465</v>
      </c>
      <c r="L1339" s="12">
        <f t="shared" si="246"/>
        <v>0.69190930232558134</v>
      </c>
      <c r="M1339" s="2"/>
      <c r="N1339" s="2"/>
      <c r="O1339" s="2">
        <f>L1339*500</f>
        <v>345.9546511627907</v>
      </c>
      <c r="P1339" s="2"/>
      <c r="Q1339" s="2"/>
      <c r="R1339" s="28">
        <v>16.666666666666668</v>
      </c>
    </row>
    <row r="1340" spans="1:18" hidden="1" x14ac:dyDescent="0.25">
      <c r="A1340" s="16">
        <v>45736</v>
      </c>
      <c r="B1340" s="2" t="s">
        <v>91</v>
      </c>
      <c r="C1340" s="2">
        <v>370</v>
      </c>
      <c r="D1340" s="19">
        <v>0.14000000000000001</v>
      </c>
      <c r="E1340" s="11">
        <v>0.33</v>
      </c>
      <c r="F1340" s="2">
        <f t="shared" si="242"/>
        <v>860</v>
      </c>
      <c r="G1340" s="2">
        <f t="shared" si="243"/>
        <v>0.37</v>
      </c>
      <c r="H1340" s="2">
        <f t="shared" si="244"/>
        <v>0.43023255813953487</v>
      </c>
      <c r="I1340" s="12">
        <v>0.02</v>
      </c>
      <c r="J1340" s="12">
        <v>7.0000000000000007E-2</v>
      </c>
      <c r="K1340" s="12">
        <f t="shared" si="245"/>
        <v>0.1716767441860465</v>
      </c>
      <c r="L1340" s="12">
        <f t="shared" si="246"/>
        <v>0.69190930232558134</v>
      </c>
      <c r="M1340" s="2"/>
      <c r="N1340" s="2"/>
      <c r="O1340" s="2">
        <f>L1340*500</f>
        <v>345.9546511627907</v>
      </c>
      <c r="P1340" s="2"/>
      <c r="Q1340" s="2"/>
      <c r="R1340" s="28">
        <v>16.666666666666668</v>
      </c>
    </row>
    <row r="1341" spans="1:18" hidden="1" x14ac:dyDescent="0.25">
      <c r="A1341" s="16">
        <v>45736</v>
      </c>
      <c r="B1341" s="2" t="s">
        <v>206</v>
      </c>
      <c r="C1341" s="2">
        <v>370</v>
      </c>
      <c r="D1341" s="19">
        <v>0.36</v>
      </c>
      <c r="E1341" s="11">
        <v>-0.17399999999999999</v>
      </c>
      <c r="F1341" s="2">
        <f t="shared" si="242"/>
        <v>640</v>
      </c>
      <c r="G1341" s="2">
        <f t="shared" si="243"/>
        <v>0.37</v>
      </c>
      <c r="H1341" s="2">
        <f t="shared" si="244"/>
        <v>0.578125</v>
      </c>
      <c r="I1341" s="12">
        <v>0.02</v>
      </c>
      <c r="J1341" s="12">
        <v>7.0000000000000007E-2</v>
      </c>
      <c r="K1341" s="12">
        <f t="shared" si="245"/>
        <v>-0.11625375</v>
      </c>
      <c r="L1341" s="12">
        <f t="shared" si="246"/>
        <v>0.55187125000000004</v>
      </c>
      <c r="M1341" s="2"/>
      <c r="N1341" s="2"/>
      <c r="O1341" s="2">
        <f>L1341*500</f>
        <v>275.93562500000002</v>
      </c>
      <c r="P1341" s="2"/>
      <c r="Q1341" s="2"/>
      <c r="R1341" s="28">
        <v>16.666666666666668</v>
      </c>
    </row>
    <row r="1342" spans="1:18" hidden="1" x14ac:dyDescent="0.25">
      <c r="A1342" s="16">
        <v>45736</v>
      </c>
      <c r="B1342" s="2" t="s">
        <v>95</v>
      </c>
      <c r="C1342" s="2">
        <v>370</v>
      </c>
      <c r="D1342" s="19">
        <v>0.36</v>
      </c>
      <c r="E1342" s="11">
        <v>-0.17399999999999999</v>
      </c>
      <c r="F1342" s="2">
        <f t="shared" si="242"/>
        <v>640</v>
      </c>
      <c r="G1342" s="2">
        <f t="shared" si="243"/>
        <v>0.37</v>
      </c>
      <c r="H1342" s="2">
        <f t="shared" si="244"/>
        <v>0.578125</v>
      </c>
      <c r="I1342" s="12">
        <v>0.02</v>
      </c>
      <c r="J1342" s="12">
        <v>7.0000000000000007E-2</v>
      </c>
      <c r="K1342" s="12">
        <f t="shared" si="245"/>
        <v>-0.11625375</v>
      </c>
      <c r="L1342" s="12">
        <f t="shared" si="246"/>
        <v>0.55187125000000004</v>
      </c>
      <c r="M1342" s="2"/>
      <c r="N1342" s="2"/>
      <c r="O1342" s="2">
        <f>L1342*500</f>
        <v>275.93562500000002</v>
      </c>
      <c r="P1342" s="2"/>
      <c r="Q1342" s="2"/>
      <c r="R1342" s="28">
        <v>16.666666666666668</v>
      </c>
    </row>
    <row r="1343" spans="1:18" hidden="1" x14ac:dyDescent="0.25">
      <c r="A1343" s="16">
        <v>45738</v>
      </c>
      <c r="B1343" s="2" t="s">
        <v>118</v>
      </c>
      <c r="C1343" s="2">
        <v>370</v>
      </c>
      <c r="D1343" s="19">
        <v>0.33</v>
      </c>
      <c r="E1343" s="11">
        <v>0.22</v>
      </c>
      <c r="F1343" s="2">
        <f t="shared" ref="F1343:F1347" si="247">1000-1000*D1343</f>
        <v>670</v>
      </c>
      <c r="G1343" s="2">
        <f t="shared" ref="G1343:G1347" si="248">C1343/1000</f>
        <v>0.37</v>
      </c>
      <c r="H1343" s="2">
        <f t="shared" ref="H1343:H1347" si="249">C1343/F1343</f>
        <v>0.55223880597014929</v>
      </c>
      <c r="I1343" s="12">
        <v>0.02</v>
      </c>
      <c r="J1343" s="12">
        <v>7.0000000000000007E-2</v>
      </c>
      <c r="K1343" s="12">
        <f t="shared" ref="K1343:K1347" si="250">SUM(H1343:J1343)*E1343</f>
        <v>0.14129253731343286</v>
      </c>
      <c r="L1343" s="12">
        <f t="shared" ref="L1343:L1347" si="251">SUM(H1343:K1343)</f>
        <v>0.7835313432835822</v>
      </c>
      <c r="M1343" s="2">
        <f>L1343*250</f>
        <v>195.88283582089556</v>
      </c>
      <c r="N1343" s="2"/>
      <c r="O1343" s="2"/>
      <c r="P1343" s="2"/>
      <c r="Q1343" s="2">
        <f>L1343*1000</f>
        <v>783.53134328358226</v>
      </c>
      <c r="R1343" s="28">
        <v>16.666666666666668</v>
      </c>
    </row>
    <row r="1344" spans="1:18" hidden="1" x14ac:dyDescent="0.25">
      <c r="A1344" s="16">
        <v>45706</v>
      </c>
      <c r="B1344" s="2" t="s">
        <v>196</v>
      </c>
      <c r="C1344" s="2">
        <v>400</v>
      </c>
      <c r="D1344" s="19">
        <v>0.1</v>
      </c>
      <c r="E1344" s="11">
        <v>0.28999999999999998</v>
      </c>
      <c r="F1344" s="2">
        <f t="shared" si="247"/>
        <v>900</v>
      </c>
      <c r="G1344" s="2">
        <f t="shared" si="248"/>
        <v>0.4</v>
      </c>
      <c r="H1344" s="2">
        <f t="shared" si="249"/>
        <v>0.44444444444444442</v>
      </c>
      <c r="I1344" s="12">
        <v>0.02</v>
      </c>
      <c r="J1344" s="12">
        <v>7.0000000000000007E-2</v>
      </c>
      <c r="K1344" s="12">
        <f t="shared" si="250"/>
        <v>0.1549888888888889</v>
      </c>
      <c r="L1344" s="12">
        <f t="shared" si="251"/>
        <v>0.68943333333333334</v>
      </c>
      <c r="M1344" s="2"/>
      <c r="N1344" s="2"/>
      <c r="O1344" s="2">
        <f>L1344*500</f>
        <v>344.7166666666667</v>
      </c>
      <c r="P1344" s="2"/>
      <c r="Q1344" s="2"/>
      <c r="R1344" s="28">
        <v>16.666666666666668</v>
      </c>
    </row>
    <row r="1345" spans="1:18" hidden="1" x14ac:dyDescent="0.25">
      <c r="A1345" s="16">
        <v>45741</v>
      </c>
      <c r="B1345" s="2" t="s">
        <v>213</v>
      </c>
      <c r="C1345" s="2">
        <v>500</v>
      </c>
      <c r="D1345" s="19">
        <v>0.5</v>
      </c>
      <c r="E1345" s="11">
        <v>0.26800000000000002</v>
      </c>
      <c r="F1345" s="2">
        <f t="shared" si="247"/>
        <v>500</v>
      </c>
      <c r="G1345" s="2">
        <f t="shared" si="248"/>
        <v>0.5</v>
      </c>
      <c r="H1345" s="2">
        <f t="shared" si="249"/>
        <v>1</v>
      </c>
      <c r="I1345" s="12">
        <v>0.02</v>
      </c>
      <c r="J1345" s="12">
        <v>7.0000000000000007E-2</v>
      </c>
      <c r="K1345" s="12">
        <f t="shared" si="250"/>
        <v>0.29212000000000005</v>
      </c>
      <c r="L1345" s="12">
        <f t="shared" si="251"/>
        <v>1.38212</v>
      </c>
      <c r="M1345" s="2">
        <f>L1345*250</f>
        <v>345.53000000000003</v>
      </c>
      <c r="N1345" s="2"/>
      <c r="O1345" s="2">
        <f>L1345*500</f>
        <v>691.06000000000006</v>
      </c>
      <c r="P1345" s="2"/>
      <c r="Q1345" s="2">
        <f>L1345*1000</f>
        <v>1382.1200000000001</v>
      </c>
      <c r="R1345" s="28">
        <v>16.666666666666668</v>
      </c>
    </row>
    <row r="1346" spans="1:18" hidden="1" x14ac:dyDescent="0.25">
      <c r="A1346" s="16">
        <v>45741</v>
      </c>
      <c r="B1346" s="2" t="s">
        <v>106</v>
      </c>
      <c r="C1346" s="2">
        <v>250</v>
      </c>
      <c r="D1346" s="19">
        <v>0</v>
      </c>
      <c r="E1346" s="11">
        <v>0.3</v>
      </c>
      <c r="F1346" s="2">
        <f t="shared" si="247"/>
        <v>1000</v>
      </c>
      <c r="G1346" s="2">
        <f t="shared" si="248"/>
        <v>0.25</v>
      </c>
      <c r="H1346" s="2">
        <f t="shared" si="249"/>
        <v>0.25</v>
      </c>
      <c r="I1346" s="12">
        <v>0.02</v>
      </c>
      <c r="J1346" s="12">
        <v>7.0000000000000007E-2</v>
      </c>
      <c r="K1346" s="12">
        <f t="shared" si="250"/>
        <v>0.10200000000000001</v>
      </c>
      <c r="L1346" s="12">
        <f t="shared" si="251"/>
        <v>0.44200000000000006</v>
      </c>
      <c r="M1346" s="2"/>
      <c r="N1346" s="2"/>
      <c r="O1346" s="2">
        <f>L1346*500</f>
        <v>221.00000000000003</v>
      </c>
      <c r="P1346" s="2"/>
      <c r="Q1346" s="2"/>
      <c r="R1346" s="28">
        <v>16.666666666666668</v>
      </c>
    </row>
    <row r="1347" spans="1:18" hidden="1" x14ac:dyDescent="0.25">
      <c r="A1347" s="16">
        <v>45741</v>
      </c>
      <c r="B1347" s="2" t="s">
        <v>152</v>
      </c>
      <c r="C1347" s="2">
        <v>250</v>
      </c>
      <c r="D1347" s="19">
        <v>0</v>
      </c>
      <c r="E1347" s="11">
        <v>0.28000000000000003</v>
      </c>
      <c r="F1347" s="2">
        <f t="shared" si="247"/>
        <v>1000</v>
      </c>
      <c r="G1347" s="2">
        <f t="shared" si="248"/>
        <v>0.25</v>
      </c>
      <c r="H1347" s="2">
        <f t="shared" si="249"/>
        <v>0.25</v>
      </c>
      <c r="I1347" s="12">
        <v>0.02</v>
      </c>
      <c r="J1347" s="12">
        <v>7.0000000000000007E-2</v>
      </c>
      <c r="K1347" s="12">
        <f t="shared" si="250"/>
        <v>9.5200000000000021E-2</v>
      </c>
      <c r="L1347" s="12">
        <f t="shared" si="251"/>
        <v>0.43520000000000003</v>
      </c>
      <c r="M1347" s="2"/>
      <c r="N1347" s="2"/>
      <c r="O1347" s="2">
        <f>L1347*450</f>
        <v>195.84</v>
      </c>
      <c r="P1347" s="2"/>
      <c r="Q1347" s="2"/>
      <c r="R1347" s="28">
        <v>16.666666666666668</v>
      </c>
    </row>
    <row r="1348" spans="1:18" hidden="1" x14ac:dyDescent="0.25">
      <c r="A1348" s="16">
        <v>45741</v>
      </c>
      <c r="B1348" s="2" t="s">
        <v>160</v>
      </c>
      <c r="C1348" s="2">
        <v>920</v>
      </c>
      <c r="D1348" s="19">
        <v>0.33</v>
      </c>
      <c r="E1348" s="11">
        <v>0.15</v>
      </c>
      <c r="F1348" s="2">
        <f t="shared" ref="F1348:F1379" si="252">1000-1000*D1348</f>
        <v>670</v>
      </c>
      <c r="G1348" s="2">
        <f t="shared" ref="G1348:G1379" si="253">C1348/1000</f>
        <v>0.92</v>
      </c>
      <c r="H1348" s="2">
        <f t="shared" ref="H1348:H1379" si="254">C1348/F1348</f>
        <v>1.3731343283582089</v>
      </c>
      <c r="I1348" s="12">
        <v>0.02</v>
      </c>
      <c r="J1348" s="12">
        <v>7.0000000000000007E-2</v>
      </c>
      <c r="K1348" s="12">
        <f t="shared" ref="K1348:K1379" si="255">SUM(H1348:J1348)*E1348</f>
        <v>0.21947014925373134</v>
      </c>
      <c r="L1348" s="12">
        <f t="shared" ref="L1348:L1379" si="256">SUM(H1348:K1348)</f>
        <v>1.6826044776119404</v>
      </c>
      <c r="M1348" s="2"/>
      <c r="N1348" s="2"/>
      <c r="O1348" s="2">
        <f t="shared" ref="O1348:O1353" si="257">L1348*500</f>
        <v>841.30223880597021</v>
      </c>
      <c r="P1348" s="2"/>
      <c r="Q1348" s="2">
        <f>L1348*1000</f>
        <v>1682.6044776119404</v>
      </c>
      <c r="R1348" s="28">
        <v>16.666666666666668</v>
      </c>
    </row>
    <row r="1349" spans="1:18" hidden="1" x14ac:dyDescent="0.25">
      <c r="A1349" s="16">
        <v>45741</v>
      </c>
      <c r="B1349" s="2" t="s">
        <v>111</v>
      </c>
      <c r="C1349" s="2">
        <v>920</v>
      </c>
      <c r="D1349" s="19">
        <v>0.33</v>
      </c>
      <c r="E1349" s="11">
        <v>0.15</v>
      </c>
      <c r="F1349" s="2">
        <f t="shared" si="252"/>
        <v>670</v>
      </c>
      <c r="G1349" s="2">
        <f t="shared" si="253"/>
        <v>0.92</v>
      </c>
      <c r="H1349" s="2">
        <f t="shared" si="254"/>
        <v>1.3731343283582089</v>
      </c>
      <c r="I1349" s="12">
        <v>0.02</v>
      </c>
      <c r="J1349" s="12">
        <v>7.0000000000000007E-2</v>
      </c>
      <c r="K1349" s="12">
        <f t="shared" si="255"/>
        <v>0.21947014925373134</v>
      </c>
      <c r="L1349" s="12">
        <f t="shared" si="256"/>
        <v>1.6826044776119404</v>
      </c>
      <c r="M1349" s="2">
        <f>L1349*250</f>
        <v>420.6511194029851</v>
      </c>
      <c r="N1349" s="2"/>
      <c r="O1349" s="2"/>
      <c r="P1349" s="2"/>
      <c r="Q1349" s="2">
        <f>L1349*1000</f>
        <v>1682.6044776119404</v>
      </c>
      <c r="R1349" s="28">
        <v>16.666666666666668</v>
      </c>
    </row>
    <row r="1350" spans="1:18" hidden="1" x14ac:dyDescent="0.25">
      <c r="A1350" s="16">
        <v>45741</v>
      </c>
      <c r="B1350" s="2" t="s">
        <v>216</v>
      </c>
      <c r="C1350" s="2">
        <v>450</v>
      </c>
      <c r="D1350" s="19">
        <v>0.1</v>
      </c>
      <c r="E1350" s="11">
        <v>0.17</v>
      </c>
      <c r="F1350" s="2">
        <f t="shared" si="252"/>
        <v>900</v>
      </c>
      <c r="G1350" s="2">
        <f t="shared" si="253"/>
        <v>0.45</v>
      </c>
      <c r="H1350" s="2">
        <f t="shared" si="254"/>
        <v>0.5</v>
      </c>
      <c r="I1350" s="12">
        <v>0.02</v>
      </c>
      <c r="J1350" s="12">
        <v>7.0000000000000007E-2</v>
      </c>
      <c r="K1350" s="12">
        <f t="shared" si="255"/>
        <v>0.10030000000000001</v>
      </c>
      <c r="L1350" s="12">
        <f t="shared" si="256"/>
        <v>0.69030000000000014</v>
      </c>
      <c r="M1350" s="2"/>
      <c r="N1350" s="2"/>
      <c r="O1350" s="2">
        <f t="shared" si="257"/>
        <v>345.15000000000009</v>
      </c>
      <c r="P1350" s="2"/>
      <c r="Q1350" s="2"/>
      <c r="R1350" s="28">
        <v>16.666666666666668</v>
      </c>
    </row>
    <row r="1351" spans="1:18" hidden="1" x14ac:dyDescent="0.25">
      <c r="A1351" s="16">
        <v>45741</v>
      </c>
      <c r="B1351" s="2" t="s">
        <v>217</v>
      </c>
      <c r="C1351" s="2">
        <v>450</v>
      </c>
      <c r="D1351" s="19">
        <v>0.1</v>
      </c>
      <c r="E1351" s="11">
        <v>0.17</v>
      </c>
      <c r="F1351" s="2">
        <f t="shared" si="252"/>
        <v>900</v>
      </c>
      <c r="G1351" s="2">
        <f t="shared" si="253"/>
        <v>0.45</v>
      </c>
      <c r="H1351" s="2">
        <f t="shared" si="254"/>
        <v>0.5</v>
      </c>
      <c r="I1351" s="12">
        <v>0.02</v>
      </c>
      <c r="J1351" s="12">
        <v>7.0000000000000007E-2</v>
      </c>
      <c r="K1351" s="12">
        <f t="shared" si="255"/>
        <v>0.10030000000000001</v>
      </c>
      <c r="L1351" s="12">
        <f t="shared" si="256"/>
        <v>0.69030000000000014</v>
      </c>
      <c r="M1351" s="2"/>
      <c r="N1351" s="2"/>
      <c r="O1351" s="2">
        <f t="shared" si="257"/>
        <v>345.15000000000009</v>
      </c>
      <c r="P1351" s="2"/>
      <c r="Q1351" s="2"/>
      <c r="R1351" s="28">
        <v>16.666666666666668</v>
      </c>
    </row>
    <row r="1352" spans="1:18" hidden="1" x14ac:dyDescent="0.25">
      <c r="A1352" s="16">
        <v>45741</v>
      </c>
      <c r="B1352" s="2" t="s">
        <v>205</v>
      </c>
      <c r="C1352" s="2">
        <v>770</v>
      </c>
      <c r="D1352" s="19">
        <v>0.44</v>
      </c>
      <c r="E1352" s="11">
        <v>0.16</v>
      </c>
      <c r="F1352" s="2">
        <f t="shared" si="252"/>
        <v>560</v>
      </c>
      <c r="G1352" s="2">
        <f t="shared" si="253"/>
        <v>0.77</v>
      </c>
      <c r="H1352" s="2">
        <f t="shared" si="254"/>
        <v>1.375</v>
      </c>
      <c r="I1352" s="12">
        <v>0.02</v>
      </c>
      <c r="J1352" s="12">
        <v>7.0000000000000007E-2</v>
      </c>
      <c r="K1352" s="12">
        <f t="shared" si="255"/>
        <v>0.23440000000000003</v>
      </c>
      <c r="L1352" s="12">
        <f t="shared" si="256"/>
        <v>1.6994</v>
      </c>
      <c r="M1352" s="2">
        <f>L1352*250</f>
        <v>424.85</v>
      </c>
      <c r="N1352" s="2"/>
      <c r="O1352" s="2"/>
      <c r="P1352" s="2"/>
      <c r="Q1352" s="2">
        <f>L1352*1000</f>
        <v>1699.4</v>
      </c>
      <c r="R1352" s="28">
        <v>16.666666666666668</v>
      </c>
    </row>
    <row r="1353" spans="1:18" hidden="1" x14ac:dyDescent="0.25">
      <c r="A1353" s="16">
        <v>45741</v>
      </c>
      <c r="B1353" s="2" t="s">
        <v>204</v>
      </c>
      <c r="C1353" s="2">
        <v>770</v>
      </c>
      <c r="D1353" s="19">
        <v>0.44</v>
      </c>
      <c r="E1353" s="11">
        <v>0</v>
      </c>
      <c r="F1353" s="2">
        <f t="shared" si="252"/>
        <v>560</v>
      </c>
      <c r="G1353" s="2">
        <f t="shared" si="253"/>
        <v>0.77</v>
      </c>
      <c r="H1353" s="2">
        <f t="shared" si="254"/>
        <v>1.375</v>
      </c>
      <c r="I1353" s="12">
        <v>0.02</v>
      </c>
      <c r="J1353" s="12">
        <v>7.0000000000000007E-2</v>
      </c>
      <c r="K1353" s="12">
        <f t="shared" si="255"/>
        <v>0</v>
      </c>
      <c r="L1353" s="12">
        <f t="shared" si="256"/>
        <v>1.4650000000000001</v>
      </c>
      <c r="M1353" s="2"/>
      <c r="N1353" s="2"/>
      <c r="O1353" s="2">
        <f t="shared" si="257"/>
        <v>732.5</v>
      </c>
      <c r="P1353" s="2"/>
      <c r="Q1353" s="2">
        <f>L1353*1000</f>
        <v>1465</v>
      </c>
      <c r="R1353" s="28">
        <v>16.666666666666668</v>
      </c>
    </row>
    <row r="1354" spans="1:18" hidden="1" x14ac:dyDescent="0.25">
      <c r="A1354" s="16">
        <v>45742</v>
      </c>
      <c r="B1354" s="2" t="s">
        <v>125</v>
      </c>
      <c r="C1354" s="2">
        <v>250</v>
      </c>
      <c r="D1354" s="19">
        <v>0</v>
      </c>
      <c r="E1354" s="11">
        <v>0.45</v>
      </c>
      <c r="F1354" s="2">
        <f t="shared" si="252"/>
        <v>1000</v>
      </c>
      <c r="G1354" s="2">
        <f t="shared" si="253"/>
        <v>0.25</v>
      </c>
      <c r="H1354" s="2">
        <f t="shared" si="254"/>
        <v>0.25</v>
      </c>
      <c r="I1354" s="12">
        <v>0.02</v>
      </c>
      <c r="J1354" s="12">
        <v>7.0000000000000007E-2</v>
      </c>
      <c r="K1354" s="12">
        <f t="shared" si="255"/>
        <v>0.15300000000000002</v>
      </c>
      <c r="L1354" s="12">
        <f t="shared" si="256"/>
        <v>0.49300000000000005</v>
      </c>
      <c r="M1354" s="2"/>
      <c r="N1354" s="2"/>
      <c r="O1354" s="2">
        <f>L1354*500</f>
        <v>246.50000000000003</v>
      </c>
      <c r="P1354" s="2"/>
      <c r="Q1354" s="2"/>
      <c r="R1354" s="28">
        <v>16.666666666666668</v>
      </c>
    </row>
    <row r="1355" spans="1:18" hidden="1" x14ac:dyDescent="0.25">
      <c r="A1355" s="16">
        <v>45742</v>
      </c>
      <c r="B1355" s="2" t="s">
        <v>128</v>
      </c>
      <c r="C1355" s="2">
        <v>370</v>
      </c>
      <c r="D1355" s="19">
        <v>0.17</v>
      </c>
      <c r="E1355" s="11">
        <v>0.2</v>
      </c>
      <c r="F1355" s="2">
        <f t="shared" si="252"/>
        <v>830</v>
      </c>
      <c r="G1355" s="2">
        <f t="shared" si="253"/>
        <v>0.37</v>
      </c>
      <c r="H1355" s="2">
        <f t="shared" si="254"/>
        <v>0.44578313253012047</v>
      </c>
      <c r="I1355" s="12">
        <v>0.02</v>
      </c>
      <c r="J1355" s="12">
        <v>7.0000000000000007E-2</v>
      </c>
      <c r="K1355" s="12">
        <f t="shared" si="255"/>
        <v>0.10715662650602412</v>
      </c>
      <c r="L1355" s="12">
        <f t="shared" si="256"/>
        <v>0.64293975903614464</v>
      </c>
      <c r="M1355" s="2"/>
      <c r="N1355" s="2"/>
      <c r="O1355" s="2">
        <f>L1355*500</f>
        <v>321.46987951807233</v>
      </c>
      <c r="P1355" s="2"/>
      <c r="Q1355" s="2"/>
      <c r="R1355" s="28">
        <v>16.666666666666668</v>
      </c>
    </row>
    <row r="1356" spans="1:18" hidden="1" x14ac:dyDescent="0.25">
      <c r="A1356" s="16">
        <v>45743</v>
      </c>
      <c r="B1356" s="2" t="s">
        <v>180</v>
      </c>
      <c r="C1356" s="2">
        <v>700</v>
      </c>
      <c r="D1356" s="19">
        <v>0.2</v>
      </c>
      <c r="E1356" s="11">
        <v>0.432</v>
      </c>
      <c r="F1356" s="2">
        <f t="shared" si="252"/>
        <v>800</v>
      </c>
      <c r="G1356" s="2">
        <f t="shared" si="253"/>
        <v>0.7</v>
      </c>
      <c r="H1356" s="2">
        <f t="shared" si="254"/>
        <v>0.875</v>
      </c>
      <c r="I1356" s="12">
        <v>0.02</v>
      </c>
      <c r="J1356" s="12">
        <v>7.0000000000000007E-2</v>
      </c>
      <c r="K1356" s="12">
        <f t="shared" si="255"/>
        <v>0.41688000000000003</v>
      </c>
      <c r="L1356" s="12">
        <f t="shared" si="256"/>
        <v>1.3818800000000002</v>
      </c>
      <c r="M1356" s="2">
        <f>L1356*250</f>
        <v>345.47</v>
      </c>
      <c r="N1356" s="2"/>
      <c r="O1356" s="2"/>
      <c r="P1356" s="2"/>
      <c r="Q1356" s="2">
        <f t="shared" ref="Q1356:Q1379" si="258">L1356*1000</f>
        <v>1381.88</v>
      </c>
      <c r="R1356" s="28">
        <v>16.666666666666668</v>
      </c>
    </row>
    <row r="1357" spans="1:18" hidden="1" x14ac:dyDescent="0.25">
      <c r="A1357" s="16">
        <v>45743</v>
      </c>
      <c r="B1357" s="2" t="s">
        <v>173</v>
      </c>
      <c r="C1357" s="2">
        <v>840</v>
      </c>
      <c r="D1357" s="19">
        <v>0.33</v>
      </c>
      <c r="E1357" s="11">
        <v>0.19</v>
      </c>
      <c r="F1357" s="2">
        <f t="shared" si="252"/>
        <v>670</v>
      </c>
      <c r="G1357" s="2">
        <f t="shared" si="253"/>
        <v>0.84</v>
      </c>
      <c r="H1357" s="2">
        <f t="shared" si="254"/>
        <v>1.2537313432835822</v>
      </c>
      <c r="I1357" s="12">
        <v>0.02</v>
      </c>
      <c r="J1357" s="12">
        <v>7.0000000000000007E-2</v>
      </c>
      <c r="K1357" s="12">
        <f t="shared" si="255"/>
        <v>0.25530895522388064</v>
      </c>
      <c r="L1357" s="12">
        <f t="shared" si="256"/>
        <v>1.5990402985074628</v>
      </c>
      <c r="M1357" s="2"/>
      <c r="N1357" s="2">
        <f>L1357*300</f>
        <v>479.71208955223881</v>
      </c>
      <c r="O1357" s="2"/>
      <c r="P1357" s="2"/>
      <c r="Q1357" s="2">
        <f t="shared" si="258"/>
        <v>1599.0402985074627</v>
      </c>
      <c r="R1357" s="28">
        <v>16.666666666666668</v>
      </c>
    </row>
    <row r="1358" spans="1:18" hidden="1" x14ac:dyDescent="0.25">
      <c r="A1358" s="16">
        <v>45743</v>
      </c>
      <c r="B1358" s="2" t="s">
        <v>160</v>
      </c>
      <c r="C1358" s="2">
        <v>840</v>
      </c>
      <c r="D1358" s="19">
        <v>0.33</v>
      </c>
      <c r="E1358" s="11">
        <v>0.184</v>
      </c>
      <c r="F1358" s="2">
        <f t="shared" si="252"/>
        <v>670</v>
      </c>
      <c r="G1358" s="2">
        <f t="shared" si="253"/>
        <v>0.84</v>
      </c>
      <c r="H1358" s="2">
        <f t="shared" si="254"/>
        <v>1.2537313432835822</v>
      </c>
      <c r="I1358" s="12">
        <v>0.02</v>
      </c>
      <c r="J1358" s="12">
        <v>7.0000000000000007E-2</v>
      </c>
      <c r="K1358" s="12">
        <f t="shared" si="255"/>
        <v>0.24724656716417912</v>
      </c>
      <c r="L1358" s="12">
        <f t="shared" si="256"/>
        <v>1.5909779104477613</v>
      </c>
      <c r="M1358" s="2"/>
      <c r="N1358" s="2"/>
      <c r="O1358" s="2">
        <f>L1358*500</f>
        <v>795.48895522388068</v>
      </c>
      <c r="P1358" s="2"/>
      <c r="Q1358" s="2">
        <f t="shared" si="258"/>
        <v>1590.9779104477614</v>
      </c>
      <c r="R1358" s="28">
        <v>16.666666666666668</v>
      </c>
    </row>
    <row r="1359" spans="1:18" hidden="1" x14ac:dyDescent="0.25">
      <c r="A1359" s="16">
        <v>45743</v>
      </c>
      <c r="B1359" s="2" t="s">
        <v>111</v>
      </c>
      <c r="C1359" s="2">
        <v>840</v>
      </c>
      <c r="D1359" s="19">
        <v>0.33</v>
      </c>
      <c r="E1359" s="11">
        <v>0.17599999999999999</v>
      </c>
      <c r="F1359" s="2">
        <f t="shared" si="252"/>
        <v>670</v>
      </c>
      <c r="G1359" s="2">
        <f t="shared" si="253"/>
        <v>0.84</v>
      </c>
      <c r="H1359" s="2">
        <f t="shared" si="254"/>
        <v>1.2537313432835822</v>
      </c>
      <c r="I1359" s="12">
        <v>0.02</v>
      </c>
      <c r="J1359" s="12">
        <v>7.0000000000000007E-2</v>
      </c>
      <c r="K1359" s="12">
        <f t="shared" si="255"/>
        <v>0.23649671641791045</v>
      </c>
      <c r="L1359" s="12">
        <f t="shared" si="256"/>
        <v>1.5802280597014926</v>
      </c>
      <c r="M1359" s="2">
        <f>L1359*250</f>
        <v>395.05701492537315</v>
      </c>
      <c r="N1359" s="2"/>
      <c r="O1359" s="2"/>
      <c r="P1359" s="2"/>
      <c r="Q1359" s="2">
        <f t="shared" si="258"/>
        <v>1580.2280597014926</v>
      </c>
      <c r="R1359" s="28">
        <v>16.666666666666668</v>
      </c>
    </row>
    <row r="1360" spans="1:18" hidden="1" x14ac:dyDescent="0.25">
      <c r="A1360" s="16">
        <v>45743</v>
      </c>
      <c r="B1360" s="2" t="s">
        <v>113</v>
      </c>
      <c r="C1360" s="2">
        <v>840</v>
      </c>
      <c r="D1360" s="19">
        <v>0.33</v>
      </c>
      <c r="E1360" s="11">
        <v>0.26600000000000001</v>
      </c>
      <c r="F1360" s="2">
        <f t="shared" ref="F1360" si="259">1000-1000*D1360</f>
        <v>670</v>
      </c>
      <c r="G1360" s="2">
        <f t="shared" ref="G1360" si="260">C1360/1000</f>
        <v>0.84</v>
      </c>
      <c r="H1360" s="2">
        <f t="shared" ref="H1360" si="261">C1360/F1360</f>
        <v>1.2537313432835822</v>
      </c>
      <c r="I1360" s="12">
        <v>0.02</v>
      </c>
      <c r="J1360" s="12">
        <v>7.0000000000000007E-2</v>
      </c>
      <c r="K1360" s="12">
        <f t="shared" ref="K1360" si="262">SUM(H1360:J1360)*E1360</f>
        <v>0.35743253731343289</v>
      </c>
      <c r="L1360" s="12">
        <f t="shared" ref="L1360" si="263">SUM(H1360:K1360)</f>
        <v>1.7011638805970151</v>
      </c>
      <c r="M1360" s="2">
        <f>L1360*250</f>
        <v>425.29097014925378</v>
      </c>
      <c r="N1360" s="2"/>
      <c r="O1360" s="2"/>
      <c r="P1360" s="2"/>
      <c r="Q1360" s="2">
        <f t="shared" si="258"/>
        <v>1701.1638805970151</v>
      </c>
      <c r="R1360" s="28">
        <v>16.666666666666668</v>
      </c>
    </row>
    <row r="1361" spans="1:18" hidden="1" x14ac:dyDescent="0.25">
      <c r="A1361" s="16">
        <v>45743</v>
      </c>
      <c r="B1361" s="2" t="s">
        <v>138</v>
      </c>
      <c r="C1361" s="2">
        <v>440</v>
      </c>
      <c r="D1361" s="19">
        <v>0.6</v>
      </c>
      <c r="E1361" s="11">
        <v>0.33</v>
      </c>
      <c r="F1361" s="2">
        <f t="shared" si="252"/>
        <v>400</v>
      </c>
      <c r="G1361" s="2">
        <f t="shared" si="253"/>
        <v>0.44</v>
      </c>
      <c r="H1361" s="2">
        <f t="shared" si="254"/>
        <v>1.1000000000000001</v>
      </c>
      <c r="I1361" s="12">
        <v>0.02</v>
      </c>
      <c r="J1361" s="12">
        <v>7.0000000000000007E-2</v>
      </c>
      <c r="K1361" s="12">
        <f t="shared" si="255"/>
        <v>0.39270000000000005</v>
      </c>
      <c r="L1361" s="12">
        <f t="shared" si="256"/>
        <v>1.5827000000000002</v>
      </c>
      <c r="M1361" s="2">
        <f>L1361*250</f>
        <v>395.67500000000007</v>
      </c>
      <c r="N1361" s="2"/>
      <c r="O1361" s="2"/>
      <c r="P1361" s="2"/>
      <c r="Q1361" s="2">
        <f t="shared" si="258"/>
        <v>1582.7000000000003</v>
      </c>
      <c r="R1361" s="28">
        <v>16.666666666666668</v>
      </c>
    </row>
    <row r="1362" spans="1:18" hidden="1" x14ac:dyDescent="0.25">
      <c r="A1362" s="16">
        <v>45743</v>
      </c>
      <c r="B1362" s="2" t="s">
        <v>162</v>
      </c>
      <c r="C1362" s="2">
        <v>220</v>
      </c>
      <c r="D1362" s="19">
        <v>7.0000000000000007E-2</v>
      </c>
      <c r="E1362" s="11">
        <v>0.2</v>
      </c>
      <c r="F1362" s="2">
        <f t="shared" si="252"/>
        <v>930</v>
      </c>
      <c r="G1362" s="2">
        <f t="shared" si="253"/>
        <v>0.22</v>
      </c>
      <c r="H1362" s="2">
        <f t="shared" si="254"/>
        <v>0.23655913978494625</v>
      </c>
      <c r="I1362" s="12">
        <v>0.02</v>
      </c>
      <c r="J1362" s="12">
        <v>7.0000000000000007E-2</v>
      </c>
      <c r="K1362" s="12">
        <f t="shared" si="255"/>
        <v>6.5311827956989255E-2</v>
      </c>
      <c r="L1362" s="12">
        <f t="shared" si="256"/>
        <v>0.39187096774193553</v>
      </c>
      <c r="M1362" s="2"/>
      <c r="N1362" s="2"/>
      <c r="O1362" s="2">
        <f>L1362*500</f>
        <v>195.93548387096777</v>
      </c>
      <c r="P1362" s="2"/>
      <c r="Q1362" s="2">
        <f t="shared" si="258"/>
        <v>391.87096774193554</v>
      </c>
      <c r="R1362" s="28">
        <v>16.666666666666668</v>
      </c>
    </row>
    <row r="1363" spans="1:18" hidden="1" x14ac:dyDescent="0.25">
      <c r="A1363" s="16">
        <v>45748</v>
      </c>
      <c r="B1363" s="2" t="s">
        <v>204</v>
      </c>
      <c r="C1363" s="2">
        <v>720</v>
      </c>
      <c r="D1363" s="19">
        <v>0.57999999999999996</v>
      </c>
      <c r="E1363" s="11">
        <v>-0.11799999999999999</v>
      </c>
      <c r="F1363" s="2">
        <f t="shared" ref="F1363:F1365" si="264">1000-1000*D1363</f>
        <v>420</v>
      </c>
      <c r="G1363" s="2">
        <f t="shared" ref="G1363:G1365" si="265">C1363/1000</f>
        <v>0.72</v>
      </c>
      <c r="H1363" s="2">
        <f t="shared" ref="H1363:H1365" si="266">C1363/F1363</f>
        <v>1.7142857142857142</v>
      </c>
      <c r="I1363" s="12">
        <v>0.02</v>
      </c>
      <c r="J1363" s="12">
        <v>7.0000000000000007E-2</v>
      </c>
      <c r="K1363" s="12">
        <f t="shared" ref="K1363:K1365" si="267">SUM(H1363:J1363)*E1363</f>
        <v>-0.21290571428571428</v>
      </c>
      <c r="L1363" s="12">
        <f t="shared" ref="L1363:L1365" si="268">SUM(H1363:K1363)</f>
        <v>1.59138</v>
      </c>
      <c r="M1363" s="2"/>
      <c r="N1363" s="2"/>
      <c r="O1363" s="2">
        <f t="shared" ref="O1363" si="269">L1363*500</f>
        <v>795.69</v>
      </c>
      <c r="P1363" s="2"/>
      <c r="Q1363" s="2">
        <f>L1363*1000</f>
        <v>1591.38</v>
      </c>
      <c r="R1363" s="28">
        <v>16.666666666666668</v>
      </c>
    </row>
    <row r="1364" spans="1:18" hidden="1" x14ac:dyDescent="0.25">
      <c r="A1364" s="16">
        <v>45748</v>
      </c>
      <c r="B1364" s="2" t="s">
        <v>111</v>
      </c>
      <c r="C1364" s="2">
        <v>680</v>
      </c>
      <c r="D1364" s="19">
        <v>0.4</v>
      </c>
      <c r="E1364" s="11">
        <v>0.28999999999999998</v>
      </c>
      <c r="F1364" s="2">
        <f t="shared" si="264"/>
        <v>600</v>
      </c>
      <c r="G1364" s="2">
        <f t="shared" si="265"/>
        <v>0.68</v>
      </c>
      <c r="H1364" s="2">
        <f t="shared" si="266"/>
        <v>1.1333333333333333</v>
      </c>
      <c r="I1364" s="12">
        <v>0.02</v>
      </c>
      <c r="J1364" s="12">
        <v>7.0000000000000007E-2</v>
      </c>
      <c r="K1364" s="12">
        <f t="shared" si="267"/>
        <v>0.35476666666666667</v>
      </c>
      <c r="L1364" s="12">
        <f t="shared" si="268"/>
        <v>1.5781000000000001</v>
      </c>
      <c r="M1364" s="2">
        <f>L1364*250</f>
        <v>394.52500000000003</v>
      </c>
      <c r="N1364" s="2"/>
      <c r="O1364" s="2"/>
      <c r="P1364" s="2"/>
      <c r="Q1364" s="2">
        <f t="shared" ref="Q1364:Q1365" si="270">L1364*1000</f>
        <v>1578.1000000000001</v>
      </c>
      <c r="R1364" s="28">
        <v>16.666666666666668</v>
      </c>
    </row>
    <row r="1365" spans="1:18" hidden="1" x14ac:dyDescent="0.25">
      <c r="A1365" s="16">
        <v>45748</v>
      </c>
      <c r="B1365" s="2" t="s">
        <v>160</v>
      </c>
      <c r="C1365" s="2">
        <v>680</v>
      </c>
      <c r="D1365" s="19">
        <v>0.4</v>
      </c>
      <c r="E1365" s="11">
        <v>0.3</v>
      </c>
      <c r="F1365" s="2">
        <f t="shared" si="264"/>
        <v>600</v>
      </c>
      <c r="G1365" s="2">
        <f t="shared" si="265"/>
        <v>0.68</v>
      </c>
      <c r="H1365" s="2">
        <f t="shared" si="266"/>
        <v>1.1333333333333333</v>
      </c>
      <c r="I1365" s="12">
        <v>0.02</v>
      </c>
      <c r="J1365" s="12">
        <v>7.0000000000000007E-2</v>
      </c>
      <c r="K1365" s="12">
        <f t="shared" si="267"/>
        <v>0.36699999999999999</v>
      </c>
      <c r="L1365" s="12">
        <f t="shared" si="268"/>
        <v>1.5903333333333334</v>
      </c>
      <c r="M1365" s="2"/>
      <c r="N1365" s="2"/>
      <c r="O1365" s="2">
        <f>L1365*500</f>
        <v>795.16666666666674</v>
      </c>
      <c r="P1365" s="2"/>
      <c r="Q1365" s="2">
        <f t="shared" si="270"/>
        <v>1590.3333333333335</v>
      </c>
      <c r="R1365" s="28">
        <v>16.666666666666668</v>
      </c>
    </row>
    <row r="1366" spans="1:18" hidden="1" x14ac:dyDescent="0.25">
      <c r="A1366" s="16">
        <v>45748</v>
      </c>
      <c r="B1366" s="2" t="s">
        <v>179</v>
      </c>
      <c r="C1366" s="2">
        <v>680</v>
      </c>
      <c r="D1366" s="19">
        <v>0.4</v>
      </c>
      <c r="E1366" s="11">
        <v>0.22800000000000001</v>
      </c>
      <c r="F1366" s="10">
        <f t="shared" ref="F1366:F1375" si="271">1000-1000*D1366</f>
        <v>600</v>
      </c>
      <c r="G1366" s="10">
        <f t="shared" ref="G1366:G1375" si="272">C1366/1000</f>
        <v>0.68</v>
      </c>
      <c r="H1366" s="12">
        <f t="shared" ref="H1366:H1375" si="273">C1366/F1366</f>
        <v>1.1333333333333333</v>
      </c>
      <c r="I1366" s="12">
        <v>0.02</v>
      </c>
      <c r="J1366" s="12">
        <v>7.0000000000000007E-2</v>
      </c>
      <c r="K1366" s="12">
        <f t="shared" ref="K1366:K1375" si="274">SUM(H1366:J1366)*E1366</f>
        <v>0.27892</v>
      </c>
      <c r="L1366" s="12">
        <f t="shared" ref="L1366:L1375" si="275">SUM(H1366:K1366)</f>
        <v>1.5022533333333334</v>
      </c>
      <c r="M1366" s="2">
        <f>L1366*250</f>
        <v>375.56333333333333</v>
      </c>
      <c r="N1366" s="2"/>
      <c r="O1366" s="2"/>
      <c r="P1366" s="2"/>
      <c r="Q1366" s="2"/>
      <c r="R1366" s="28">
        <f t="shared" ref="R1366" si="276">K1366/L1366%</f>
        <v>18.566775244299674</v>
      </c>
    </row>
    <row r="1367" spans="1:18" hidden="1" x14ac:dyDescent="0.25">
      <c r="A1367" s="16">
        <v>45748</v>
      </c>
      <c r="B1367" s="2" t="s">
        <v>113</v>
      </c>
      <c r="C1367" s="2">
        <v>680</v>
      </c>
      <c r="D1367" s="19">
        <v>0.4</v>
      </c>
      <c r="E1367" s="11">
        <v>0.45500000000000002</v>
      </c>
      <c r="F1367" s="2">
        <f t="shared" si="271"/>
        <v>600</v>
      </c>
      <c r="G1367" s="2">
        <f t="shared" si="272"/>
        <v>0.68</v>
      </c>
      <c r="H1367" s="2">
        <f t="shared" si="273"/>
        <v>1.1333333333333333</v>
      </c>
      <c r="I1367" s="12">
        <v>0.02</v>
      </c>
      <c r="J1367" s="12">
        <v>7.0000000000000007E-2</v>
      </c>
      <c r="K1367" s="12">
        <f t="shared" si="274"/>
        <v>0.55661666666666676</v>
      </c>
      <c r="L1367" s="12">
        <f t="shared" si="275"/>
        <v>1.7799500000000001</v>
      </c>
      <c r="M1367" s="2">
        <f>L1367*250</f>
        <v>444.98750000000001</v>
      </c>
      <c r="N1367" s="2"/>
      <c r="O1367" s="2"/>
      <c r="P1367" s="2"/>
      <c r="Q1367" s="2">
        <f t="shared" ref="Q1367" si="277">L1367*1000</f>
        <v>1779.95</v>
      </c>
      <c r="R1367" s="28">
        <v>16.666666666666668</v>
      </c>
    </row>
    <row r="1368" spans="1:18" hidden="1" x14ac:dyDescent="0.25">
      <c r="A1368" s="16">
        <v>45748</v>
      </c>
      <c r="B1368" s="2" t="s">
        <v>192</v>
      </c>
      <c r="C1368" s="2">
        <v>630</v>
      </c>
      <c r="D1368" s="19">
        <v>2.7699999999999999E-2</v>
      </c>
      <c r="E1368" s="11">
        <v>7.0000000000000007E-2</v>
      </c>
      <c r="F1368" s="2">
        <f t="shared" si="271"/>
        <v>972.3</v>
      </c>
      <c r="G1368" s="2">
        <f t="shared" si="272"/>
        <v>0.63</v>
      </c>
      <c r="H1368" s="2">
        <f t="shared" si="273"/>
        <v>0.64794816414686829</v>
      </c>
      <c r="I1368" s="12">
        <v>0.02</v>
      </c>
      <c r="J1368" s="12">
        <v>7.0000000000000007E-2</v>
      </c>
      <c r="K1368" s="12">
        <f t="shared" si="274"/>
        <v>5.1656371490280788E-2</v>
      </c>
      <c r="L1368" s="12">
        <f t="shared" si="275"/>
        <v>0.78960453563714916</v>
      </c>
      <c r="M1368" s="2"/>
      <c r="N1368" s="2"/>
      <c r="O1368" s="2">
        <f>L1368*500</f>
        <v>394.80226781857459</v>
      </c>
      <c r="P1368" s="2"/>
      <c r="Q1368" s="2"/>
      <c r="R1368" s="28">
        <v>16.666666666666668</v>
      </c>
    </row>
    <row r="1369" spans="1:18" hidden="1" x14ac:dyDescent="0.25">
      <c r="A1369" s="16">
        <v>45748</v>
      </c>
      <c r="B1369" s="2" t="s">
        <v>93</v>
      </c>
      <c r="C1369" s="2">
        <v>630</v>
      </c>
      <c r="D1369" s="19">
        <v>2.7699999999999999E-2</v>
      </c>
      <c r="E1369" s="11">
        <v>7.0000000000000007E-2</v>
      </c>
      <c r="F1369" s="2">
        <f t="shared" si="271"/>
        <v>972.3</v>
      </c>
      <c r="G1369" s="2">
        <f t="shared" si="272"/>
        <v>0.63</v>
      </c>
      <c r="H1369" s="2">
        <f t="shared" si="273"/>
        <v>0.64794816414686829</v>
      </c>
      <c r="I1369" s="12">
        <v>0.02</v>
      </c>
      <c r="J1369" s="12">
        <v>7.0000000000000007E-2</v>
      </c>
      <c r="K1369" s="12">
        <f t="shared" si="274"/>
        <v>5.1656371490280788E-2</v>
      </c>
      <c r="L1369" s="12">
        <f t="shared" si="275"/>
        <v>0.78960453563714916</v>
      </c>
      <c r="M1369" s="2"/>
      <c r="N1369" s="2"/>
      <c r="O1369" s="2">
        <f>L1369*500</f>
        <v>394.80226781857459</v>
      </c>
      <c r="P1369" s="2"/>
      <c r="Q1369" s="2"/>
      <c r="R1369" s="28">
        <v>16.666666666666668</v>
      </c>
    </row>
    <row r="1370" spans="1:18" hidden="1" x14ac:dyDescent="0.25">
      <c r="A1370" s="16">
        <v>45748</v>
      </c>
      <c r="B1370" s="2" t="s">
        <v>118</v>
      </c>
      <c r="C1370" s="2">
        <v>280</v>
      </c>
      <c r="D1370" s="19">
        <v>0.3</v>
      </c>
      <c r="E1370" s="11">
        <v>0.59599999999999997</v>
      </c>
      <c r="F1370" s="2">
        <f t="shared" si="271"/>
        <v>700</v>
      </c>
      <c r="G1370" s="2">
        <f t="shared" si="272"/>
        <v>0.28000000000000003</v>
      </c>
      <c r="H1370" s="2">
        <f t="shared" si="273"/>
        <v>0.4</v>
      </c>
      <c r="I1370" s="12">
        <v>0.02</v>
      </c>
      <c r="J1370" s="12">
        <v>7.0000000000000007E-2</v>
      </c>
      <c r="K1370" s="12">
        <f t="shared" si="274"/>
        <v>0.29204000000000002</v>
      </c>
      <c r="L1370" s="12">
        <f t="shared" si="275"/>
        <v>0.78204000000000007</v>
      </c>
      <c r="M1370" s="2">
        <f>L1370*250</f>
        <v>195.51000000000002</v>
      </c>
      <c r="N1370" s="2"/>
      <c r="O1370" s="2"/>
      <c r="P1370" s="2"/>
      <c r="Q1370" s="2">
        <f>L1370*1000</f>
        <v>782.04000000000008</v>
      </c>
      <c r="R1370" s="28">
        <v>16.666666666666668</v>
      </c>
    </row>
    <row r="1371" spans="1:18" hidden="1" x14ac:dyDescent="0.25">
      <c r="A1371" s="16">
        <v>45748</v>
      </c>
      <c r="B1371" s="2" t="s">
        <v>102</v>
      </c>
      <c r="C1371" s="2">
        <v>600</v>
      </c>
      <c r="D1371" s="19">
        <v>0.5</v>
      </c>
      <c r="E1371" s="11">
        <v>0.22600000000000001</v>
      </c>
      <c r="F1371" s="2">
        <f t="shared" si="271"/>
        <v>500</v>
      </c>
      <c r="G1371" s="2">
        <f t="shared" si="272"/>
        <v>0.6</v>
      </c>
      <c r="H1371" s="2">
        <f t="shared" si="273"/>
        <v>1.2</v>
      </c>
      <c r="I1371" s="12">
        <v>0.02</v>
      </c>
      <c r="J1371" s="12">
        <v>7.0000000000000007E-2</v>
      </c>
      <c r="K1371" s="12">
        <f t="shared" si="274"/>
        <v>0.29154000000000002</v>
      </c>
      <c r="L1371" s="12">
        <f t="shared" si="275"/>
        <v>1.5815399999999999</v>
      </c>
      <c r="M1371" s="2">
        <f t="shared" ref="M1371" si="278">L1371*250</f>
        <v>395.38499999999999</v>
      </c>
      <c r="N1371" s="2"/>
      <c r="O1371" s="2"/>
      <c r="P1371" s="2"/>
      <c r="Q1371" s="2">
        <f t="shared" ref="Q1371" si="279">L1371*1000</f>
        <v>1581.54</v>
      </c>
      <c r="R1371" s="28">
        <v>16.666666666666668</v>
      </c>
    </row>
    <row r="1372" spans="1:18" hidden="1" x14ac:dyDescent="0.25">
      <c r="A1372" s="16">
        <v>45748</v>
      </c>
      <c r="B1372" s="2" t="s">
        <v>152</v>
      </c>
      <c r="C1372" s="2">
        <v>220</v>
      </c>
      <c r="D1372" s="19">
        <v>0.43</v>
      </c>
      <c r="E1372" s="11">
        <v>-0.09</v>
      </c>
      <c r="F1372" s="2">
        <f t="shared" si="271"/>
        <v>570</v>
      </c>
      <c r="G1372" s="2">
        <f t="shared" si="272"/>
        <v>0.22</v>
      </c>
      <c r="H1372" s="2">
        <f t="shared" si="273"/>
        <v>0.38596491228070173</v>
      </c>
      <c r="I1372" s="12">
        <v>0.02</v>
      </c>
      <c r="J1372" s="12">
        <v>7.0000000000000007E-2</v>
      </c>
      <c r="K1372" s="12">
        <f t="shared" si="274"/>
        <v>-4.2836842105263159E-2</v>
      </c>
      <c r="L1372" s="12">
        <f t="shared" si="275"/>
        <v>0.43312807017543858</v>
      </c>
      <c r="M1372" s="2"/>
      <c r="N1372" s="2"/>
      <c r="O1372" s="2">
        <f>L1372*450</f>
        <v>194.90763157894736</v>
      </c>
      <c r="P1372" s="2"/>
      <c r="Q1372" s="2"/>
      <c r="R1372" s="28">
        <v>16.666666666666668</v>
      </c>
    </row>
    <row r="1373" spans="1:18" hidden="1" x14ac:dyDescent="0.25">
      <c r="A1373" s="16">
        <v>45748</v>
      </c>
      <c r="B1373" s="2" t="s">
        <v>162</v>
      </c>
      <c r="C1373" s="2">
        <v>200</v>
      </c>
      <c r="D1373" s="19">
        <v>0.1</v>
      </c>
      <c r="E1373" s="11">
        <v>0.25</v>
      </c>
      <c r="F1373" s="2">
        <f t="shared" si="271"/>
        <v>900</v>
      </c>
      <c r="G1373" s="2">
        <f t="shared" si="272"/>
        <v>0.2</v>
      </c>
      <c r="H1373" s="2">
        <f t="shared" si="273"/>
        <v>0.22222222222222221</v>
      </c>
      <c r="I1373" s="12">
        <v>0.02</v>
      </c>
      <c r="J1373" s="12">
        <v>7.0000000000000007E-2</v>
      </c>
      <c r="K1373" s="12">
        <f t="shared" si="274"/>
        <v>7.8055555555555545E-2</v>
      </c>
      <c r="L1373" s="12">
        <f t="shared" si="275"/>
        <v>0.39027777777777772</v>
      </c>
      <c r="M1373" s="2"/>
      <c r="N1373" s="2"/>
      <c r="O1373" s="2">
        <f>L1373*500</f>
        <v>195.13888888888886</v>
      </c>
      <c r="P1373" s="2"/>
      <c r="Q1373" s="2">
        <f t="shared" ref="Q1373" si="280">L1373*1000</f>
        <v>390.27777777777771</v>
      </c>
      <c r="R1373" s="28">
        <v>16.666666666666668</v>
      </c>
    </row>
    <row r="1374" spans="1:18" hidden="1" x14ac:dyDescent="0.25">
      <c r="A1374" s="16">
        <v>45748</v>
      </c>
      <c r="B1374" s="2" t="s">
        <v>217</v>
      </c>
      <c r="C1374" s="2">
        <v>450</v>
      </c>
      <c r="D1374" s="19">
        <v>0</v>
      </c>
      <c r="E1374" s="11">
        <v>0.28000000000000003</v>
      </c>
      <c r="F1374" s="2">
        <f t="shared" si="271"/>
        <v>1000</v>
      </c>
      <c r="G1374" s="2">
        <f t="shared" si="272"/>
        <v>0.45</v>
      </c>
      <c r="H1374" s="2">
        <f t="shared" si="273"/>
        <v>0.45</v>
      </c>
      <c r="I1374" s="12">
        <v>0.02</v>
      </c>
      <c r="J1374" s="12">
        <v>7.0000000000000007E-2</v>
      </c>
      <c r="K1374" s="12">
        <f t="shared" si="274"/>
        <v>0.15120000000000003</v>
      </c>
      <c r="L1374" s="12">
        <f t="shared" si="275"/>
        <v>0.69120000000000004</v>
      </c>
      <c r="M1374" s="2"/>
      <c r="N1374" s="2"/>
      <c r="O1374" s="2">
        <f t="shared" ref="O1374:O1375" si="281">L1374*500</f>
        <v>345.6</v>
      </c>
      <c r="P1374" s="2"/>
      <c r="Q1374" s="2"/>
      <c r="R1374" s="28">
        <v>16.666666666666668</v>
      </c>
    </row>
    <row r="1375" spans="1:18" hidden="1" x14ac:dyDescent="0.25">
      <c r="A1375" s="16">
        <v>45748</v>
      </c>
      <c r="B1375" s="2" t="s">
        <v>216</v>
      </c>
      <c r="C1375" s="2">
        <v>450</v>
      </c>
      <c r="D1375" s="19">
        <v>0</v>
      </c>
      <c r="E1375" s="11">
        <v>0.28000000000000003</v>
      </c>
      <c r="F1375" s="2">
        <f t="shared" si="271"/>
        <v>1000</v>
      </c>
      <c r="G1375" s="2">
        <f t="shared" si="272"/>
        <v>0.45</v>
      </c>
      <c r="H1375" s="2">
        <f t="shared" si="273"/>
        <v>0.45</v>
      </c>
      <c r="I1375" s="12">
        <v>0.02</v>
      </c>
      <c r="J1375" s="12">
        <v>7.0000000000000007E-2</v>
      </c>
      <c r="K1375" s="12">
        <f t="shared" si="274"/>
        <v>0.15120000000000003</v>
      </c>
      <c r="L1375" s="12">
        <f t="shared" si="275"/>
        <v>0.69120000000000004</v>
      </c>
      <c r="M1375" s="2"/>
      <c r="N1375" s="2"/>
      <c r="O1375" s="2">
        <f t="shared" si="281"/>
        <v>345.6</v>
      </c>
      <c r="P1375" s="2"/>
      <c r="Q1375" s="2"/>
      <c r="R1375" s="28">
        <v>16.666666666666668</v>
      </c>
    </row>
    <row r="1376" spans="1:18" hidden="1" x14ac:dyDescent="0.25">
      <c r="A1376" s="16">
        <v>45755</v>
      </c>
      <c r="B1376" s="2" t="s">
        <v>207</v>
      </c>
      <c r="C1376" s="2">
        <v>1200</v>
      </c>
      <c r="D1376" s="19">
        <v>0.28999999999999998</v>
      </c>
      <c r="E1376" s="11">
        <v>0.34</v>
      </c>
      <c r="F1376" s="2">
        <f t="shared" si="252"/>
        <v>710</v>
      </c>
      <c r="G1376" s="2">
        <f t="shared" si="253"/>
        <v>1.2</v>
      </c>
      <c r="H1376" s="2">
        <f t="shared" si="254"/>
        <v>1.6901408450704225</v>
      </c>
      <c r="I1376" s="12">
        <v>0.02</v>
      </c>
      <c r="J1376" s="12">
        <v>7.0000000000000007E-2</v>
      </c>
      <c r="K1376" s="12">
        <f t="shared" si="255"/>
        <v>0.60524788732394375</v>
      </c>
      <c r="L1376" s="12">
        <f t="shared" si="256"/>
        <v>2.3853887323943663</v>
      </c>
      <c r="M1376" s="2">
        <f>L1376*250</f>
        <v>596.34718309859159</v>
      </c>
      <c r="N1376" s="2"/>
      <c r="O1376" s="2">
        <f>L1376*500</f>
        <v>1192.6943661971832</v>
      </c>
      <c r="P1376" s="2"/>
      <c r="Q1376" s="2">
        <f t="shared" si="258"/>
        <v>2385.3887323943663</v>
      </c>
      <c r="R1376" s="28">
        <v>16.666666666666668</v>
      </c>
    </row>
    <row r="1377" spans="1:18" hidden="1" x14ac:dyDescent="0.25">
      <c r="A1377" s="16">
        <v>45758</v>
      </c>
      <c r="B1377" s="2" t="s">
        <v>204</v>
      </c>
      <c r="C1377" s="2">
        <v>750</v>
      </c>
      <c r="D1377" s="19">
        <v>0.37</v>
      </c>
      <c r="E1377" s="11">
        <v>0.24299999999999999</v>
      </c>
      <c r="F1377" s="2">
        <f t="shared" si="252"/>
        <v>630</v>
      </c>
      <c r="G1377" s="2">
        <f t="shared" si="253"/>
        <v>0.75</v>
      </c>
      <c r="H1377" s="2">
        <f t="shared" si="254"/>
        <v>1.1904761904761905</v>
      </c>
      <c r="I1377" s="12">
        <v>0.02</v>
      </c>
      <c r="J1377" s="12">
        <v>7.0000000000000007E-2</v>
      </c>
      <c r="K1377" s="12">
        <f t="shared" si="255"/>
        <v>0.31115571428571431</v>
      </c>
      <c r="L1377" s="12">
        <f t="shared" si="256"/>
        <v>1.591631904761905</v>
      </c>
      <c r="M1377" s="2"/>
      <c r="N1377" s="2"/>
      <c r="O1377" s="2">
        <f>L1377*500</f>
        <v>795.81595238095247</v>
      </c>
      <c r="P1377" s="2"/>
      <c r="Q1377" s="2">
        <f t="shared" si="258"/>
        <v>1591.6319047619049</v>
      </c>
      <c r="R1377" s="28">
        <v>16.666666666666668</v>
      </c>
    </row>
    <row r="1378" spans="1:18" hidden="1" x14ac:dyDescent="0.25">
      <c r="A1378" s="16">
        <v>45758</v>
      </c>
      <c r="B1378" s="2" t="s">
        <v>205</v>
      </c>
      <c r="C1378" s="2">
        <v>750</v>
      </c>
      <c r="D1378" s="19">
        <v>0.37</v>
      </c>
      <c r="E1378" s="11">
        <v>0.23400000000000001</v>
      </c>
      <c r="F1378" s="2">
        <f t="shared" si="252"/>
        <v>630</v>
      </c>
      <c r="G1378" s="2">
        <f t="shared" si="253"/>
        <v>0.75</v>
      </c>
      <c r="H1378" s="2">
        <f t="shared" si="254"/>
        <v>1.1904761904761905</v>
      </c>
      <c r="I1378" s="12">
        <v>0.02</v>
      </c>
      <c r="J1378" s="12">
        <v>7.0000000000000007E-2</v>
      </c>
      <c r="K1378" s="12">
        <f t="shared" si="255"/>
        <v>0.2996314285714286</v>
      </c>
      <c r="L1378" s="12">
        <f t="shared" si="256"/>
        <v>1.5801076190476191</v>
      </c>
      <c r="M1378" s="2">
        <f>L1378*250</f>
        <v>395.02690476190475</v>
      </c>
      <c r="N1378" s="2"/>
      <c r="O1378" s="2"/>
      <c r="P1378" s="2"/>
      <c r="Q1378" s="2">
        <f t="shared" si="258"/>
        <v>1580.107619047619</v>
      </c>
      <c r="R1378" s="28">
        <v>16.666666666666668</v>
      </c>
    </row>
    <row r="1379" spans="1:18" hidden="1" x14ac:dyDescent="0.25">
      <c r="A1379" s="16">
        <v>45758</v>
      </c>
      <c r="B1379" s="2" t="s">
        <v>219</v>
      </c>
      <c r="C1379" s="2">
        <v>750</v>
      </c>
      <c r="D1379" s="19">
        <v>0.37</v>
      </c>
      <c r="E1379" s="11">
        <v>0.23400000000000001</v>
      </c>
      <c r="F1379" s="2">
        <f t="shared" si="252"/>
        <v>630</v>
      </c>
      <c r="G1379" s="2">
        <f t="shared" si="253"/>
        <v>0.75</v>
      </c>
      <c r="H1379" s="2">
        <f t="shared" si="254"/>
        <v>1.1904761904761905</v>
      </c>
      <c r="I1379" s="12">
        <v>0.02</v>
      </c>
      <c r="J1379" s="12">
        <v>7.0000000000000007E-2</v>
      </c>
      <c r="K1379" s="12">
        <f t="shared" si="255"/>
        <v>0.2996314285714286</v>
      </c>
      <c r="L1379" s="12">
        <f t="shared" si="256"/>
        <v>1.5801076190476191</v>
      </c>
      <c r="M1379" s="2">
        <f>L1379*250</f>
        <v>395.02690476190475</v>
      </c>
      <c r="N1379" s="2"/>
      <c r="O1379" s="2"/>
      <c r="P1379" s="2"/>
      <c r="Q1379" s="2">
        <f t="shared" si="258"/>
        <v>1580.107619047619</v>
      </c>
      <c r="R1379" s="28">
        <v>16.666666666666668</v>
      </c>
    </row>
    <row r="1380" spans="1:18" hidden="1" x14ac:dyDescent="0.25">
      <c r="A1380" s="16">
        <v>45758</v>
      </c>
      <c r="B1380" s="2" t="s">
        <v>154</v>
      </c>
      <c r="C1380" s="2"/>
      <c r="D1380" s="19">
        <v>0.37</v>
      </c>
      <c r="E1380" s="11">
        <v>0.23400000000000001</v>
      </c>
      <c r="F1380" s="2">
        <f t="shared" ref="F1380:F1400" si="282">1000-1000*D1380</f>
        <v>630</v>
      </c>
      <c r="G1380" s="2">
        <f t="shared" ref="G1380:G1400" si="283">C1380/1000</f>
        <v>0</v>
      </c>
      <c r="H1380" s="2">
        <f t="shared" ref="H1380:H1400" si="284">C1380/F1380</f>
        <v>0</v>
      </c>
      <c r="I1380" s="12">
        <v>0.02</v>
      </c>
      <c r="J1380" s="12">
        <v>7.0000000000000007E-2</v>
      </c>
      <c r="K1380" s="12">
        <f t="shared" ref="K1380:K1400" si="285">SUM(H1380:J1380)*E1380</f>
        <v>2.1060000000000002E-2</v>
      </c>
      <c r="L1380" s="12">
        <f t="shared" ref="L1380:L1400" si="286">SUM(H1380:K1380)</f>
        <v>0.11106000000000002</v>
      </c>
      <c r="M1380" s="2">
        <f t="shared" ref="M1380:M1382" si="287">L1380*250</f>
        <v>27.765000000000004</v>
      </c>
      <c r="N1380" s="2"/>
      <c r="O1380" s="2"/>
      <c r="P1380" s="2"/>
      <c r="Q1380" s="2">
        <f t="shared" ref="Q1380:Q1382" si="288">L1380*1000</f>
        <v>111.06000000000002</v>
      </c>
      <c r="R1380" s="28">
        <v>16.666666666666668</v>
      </c>
    </row>
    <row r="1381" spans="1:18" hidden="1" x14ac:dyDescent="0.25">
      <c r="A1381" s="16">
        <v>45758</v>
      </c>
      <c r="B1381" s="2" t="s">
        <v>206</v>
      </c>
      <c r="C1381" s="2"/>
      <c r="D1381" s="19">
        <v>0.37</v>
      </c>
      <c r="E1381" s="11">
        <v>0.23400000000000001</v>
      </c>
      <c r="F1381" s="2">
        <f t="shared" si="282"/>
        <v>630</v>
      </c>
      <c r="G1381" s="2">
        <f t="shared" si="283"/>
        <v>0</v>
      </c>
      <c r="H1381" s="2">
        <f t="shared" si="284"/>
        <v>0</v>
      </c>
      <c r="I1381" s="12">
        <v>0.02</v>
      </c>
      <c r="J1381" s="12">
        <v>7.0000000000000007E-2</v>
      </c>
      <c r="K1381" s="12">
        <f t="shared" si="285"/>
        <v>2.1060000000000002E-2</v>
      </c>
      <c r="L1381" s="12">
        <f t="shared" si="286"/>
        <v>0.11106000000000002</v>
      </c>
      <c r="M1381" s="2">
        <f t="shared" si="287"/>
        <v>27.765000000000004</v>
      </c>
      <c r="N1381" s="2"/>
      <c r="O1381" s="2"/>
      <c r="P1381" s="2"/>
      <c r="Q1381" s="2">
        <f t="shared" si="288"/>
        <v>111.06000000000002</v>
      </c>
      <c r="R1381" s="28">
        <v>16.666666666666668</v>
      </c>
    </row>
    <row r="1382" spans="1:18" hidden="1" x14ac:dyDescent="0.25">
      <c r="A1382" s="16">
        <v>45759</v>
      </c>
      <c r="B1382" s="2" t="s">
        <v>102</v>
      </c>
      <c r="C1382" s="2">
        <v>450</v>
      </c>
      <c r="D1382" s="19">
        <v>0.57999999999999996</v>
      </c>
      <c r="E1382" s="11">
        <v>0.19</v>
      </c>
      <c r="F1382" s="2">
        <f t="shared" si="282"/>
        <v>420</v>
      </c>
      <c r="G1382" s="2">
        <f t="shared" si="283"/>
        <v>0.45</v>
      </c>
      <c r="H1382" s="2">
        <f t="shared" si="284"/>
        <v>1.0714285714285714</v>
      </c>
      <c r="I1382" s="12">
        <v>0.02</v>
      </c>
      <c r="J1382" s="12">
        <v>7.0000000000000007E-2</v>
      </c>
      <c r="K1382" s="12">
        <f t="shared" si="285"/>
        <v>0.22067142857142857</v>
      </c>
      <c r="L1382" s="12">
        <f t="shared" si="286"/>
        <v>1.3821000000000001</v>
      </c>
      <c r="M1382" s="2">
        <f t="shared" si="287"/>
        <v>345.52500000000003</v>
      </c>
      <c r="N1382" s="2"/>
      <c r="O1382" s="2"/>
      <c r="P1382" s="2"/>
      <c r="Q1382" s="2">
        <f t="shared" si="288"/>
        <v>1382.1000000000001</v>
      </c>
      <c r="R1382" s="28">
        <v>16.666666666666668</v>
      </c>
    </row>
    <row r="1383" spans="1:18" hidden="1" x14ac:dyDescent="0.25">
      <c r="A1383" s="16">
        <v>45759</v>
      </c>
      <c r="B1383" s="2" t="s">
        <v>116</v>
      </c>
      <c r="C1383" s="2">
        <v>600</v>
      </c>
      <c r="D1383" s="19">
        <v>0.25</v>
      </c>
      <c r="E1383" s="11">
        <v>0.77600000000000002</v>
      </c>
      <c r="F1383" s="2">
        <f t="shared" si="282"/>
        <v>750</v>
      </c>
      <c r="G1383" s="2">
        <f t="shared" si="283"/>
        <v>0.6</v>
      </c>
      <c r="H1383" s="2">
        <f t="shared" si="284"/>
        <v>0.8</v>
      </c>
      <c r="I1383" s="12">
        <v>0.02</v>
      </c>
      <c r="J1383" s="12">
        <v>7.0000000000000007E-2</v>
      </c>
      <c r="K1383" s="12">
        <f t="shared" si="285"/>
        <v>0.69064000000000014</v>
      </c>
      <c r="L1383" s="12">
        <f t="shared" si="286"/>
        <v>1.5806400000000003</v>
      </c>
      <c r="M1383" s="2">
        <f>L1383*250</f>
        <v>395.16000000000008</v>
      </c>
      <c r="N1383" s="2"/>
      <c r="O1383" s="2">
        <f t="shared" ref="O1383" si="289">L1383*500</f>
        <v>790.32000000000016</v>
      </c>
      <c r="P1383" s="2"/>
      <c r="Q1383" s="2"/>
      <c r="R1383" s="28">
        <v>16.666666666666668</v>
      </c>
    </row>
    <row r="1384" spans="1:18" hidden="1" x14ac:dyDescent="0.25">
      <c r="A1384" s="16">
        <v>45763</v>
      </c>
      <c r="B1384" s="2" t="s">
        <v>213</v>
      </c>
      <c r="C1384" s="2">
        <v>500</v>
      </c>
      <c r="D1384" s="19">
        <v>0.5</v>
      </c>
      <c r="E1384" s="11">
        <v>0.26700000000000002</v>
      </c>
      <c r="F1384" s="2">
        <f t="shared" si="282"/>
        <v>500</v>
      </c>
      <c r="G1384" s="2">
        <f t="shared" si="283"/>
        <v>0.5</v>
      </c>
      <c r="H1384" s="2">
        <f t="shared" si="284"/>
        <v>1</v>
      </c>
      <c r="I1384" s="12">
        <v>0.02</v>
      </c>
      <c r="J1384" s="12">
        <v>7.0000000000000007E-2</v>
      </c>
      <c r="K1384" s="12">
        <f t="shared" si="285"/>
        <v>0.29103000000000001</v>
      </c>
      <c r="L1384" s="12">
        <f t="shared" si="286"/>
        <v>1.38103</v>
      </c>
      <c r="M1384" s="2">
        <f t="shared" ref="M1384:M1388" si="290">L1384*250</f>
        <v>345.25749999999999</v>
      </c>
      <c r="N1384" s="2"/>
      <c r="O1384" s="2"/>
      <c r="P1384" s="2"/>
      <c r="Q1384" s="2">
        <f>L1384*1000</f>
        <v>1381.03</v>
      </c>
      <c r="R1384" s="28">
        <v>16.666666666666668</v>
      </c>
    </row>
    <row r="1385" spans="1:18" hidden="1" x14ac:dyDescent="0.25">
      <c r="A1385" s="16">
        <v>45763</v>
      </c>
      <c r="B1385" s="2" t="s">
        <v>209</v>
      </c>
      <c r="C1385" s="2">
        <v>300</v>
      </c>
      <c r="D1385" s="19">
        <v>0.08</v>
      </c>
      <c r="E1385" s="11">
        <v>0.4</v>
      </c>
      <c r="F1385" s="2">
        <f t="shared" si="282"/>
        <v>920</v>
      </c>
      <c r="G1385" s="2">
        <f t="shared" si="283"/>
        <v>0.3</v>
      </c>
      <c r="H1385" s="2">
        <f t="shared" si="284"/>
        <v>0.32608695652173914</v>
      </c>
      <c r="I1385" s="12">
        <v>0.02</v>
      </c>
      <c r="J1385" s="12">
        <v>7.0000000000000007E-2</v>
      </c>
      <c r="K1385" s="12">
        <f t="shared" si="285"/>
        <v>0.16643478260869568</v>
      </c>
      <c r="L1385" s="12">
        <f t="shared" si="286"/>
        <v>0.58252173913043481</v>
      </c>
      <c r="M1385" s="2">
        <f t="shared" si="290"/>
        <v>145.63043478260872</v>
      </c>
      <c r="N1385" s="2"/>
      <c r="O1385" s="2"/>
      <c r="P1385" s="2"/>
      <c r="Q1385" s="2">
        <f>L1385*1000</f>
        <v>582.52173913043487</v>
      </c>
      <c r="R1385" s="28">
        <v>16.666666666666668</v>
      </c>
    </row>
    <row r="1386" spans="1:18" hidden="1" x14ac:dyDescent="0.25">
      <c r="A1386" s="16">
        <v>45769</v>
      </c>
      <c r="B1386" s="2" t="s">
        <v>111</v>
      </c>
      <c r="C1386" s="2">
        <v>1050</v>
      </c>
      <c r="D1386" s="19">
        <v>0.31</v>
      </c>
      <c r="E1386" s="11">
        <v>0.12</v>
      </c>
      <c r="F1386" s="2">
        <f t="shared" si="282"/>
        <v>690</v>
      </c>
      <c r="G1386" s="2">
        <f t="shared" si="283"/>
        <v>1.05</v>
      </c>
      <c r="H1386" s="2">
        <f t="shared" si="284"/>
        <v>1.5217391304347827</v>
      </c>
      <c r="I1386" s="12">
        <v>0.02</v>
      </c>
      <c r="J1386" s="12">
        <v>7.0000000000000007E-2</v>
      </c>
      <c r="K1386" s="12">
        <f t="shared" si="285"/>
        <v>0.19340869565217392</v>
      </c>
      <c r="L1386" s="12">
        <f t="shared" si="286"/>
        <v>1.8051478260869567</v>
      </c>
      <c r="M1386" s="2">
        <f t="shared" si="290"/>
        <v>451.28695652173917</v>
      </c>
      <c r="N1386" s="2"/>
      <c r="O1386" s="2">
        <f>L1386*500</f>
        <v>902.57391304347834</v>
      </c>
      <c r="P1386" s="2"/>
      <c r="Q1386" s="2">
        <f>L1386*1000</f>
        <v>1805.1478260869567</v>
      </c>
      <c r="R1386" s="28">
        <v>16.666666666666668</v>
      </c>
    </row>
    <row r="1387" spans="1:18" hidden="1" x14ac:dyDescent="0.25">
      <c r="A1387" s="16">
        <v>45769</v>
      </c>
      <c r="B1387" s="2" t="s">
        <v>102</v>
      </c>
      <c r="C1387" s="2">
        <v>580</v>
      </c>
      <c r="D1387" s="19">
        <v>0.56000000000000005</v>
      </c>
      <c r="E1387" s="11">
        <v>0.124</v>
      </c>
      <c r="F1387" s="2">
        <f t="shared" si="282"/>
        <v>440</v>
      </c>
      <c r="G1387" s="2">
        <f t="shared" si="283"/>
        <v>0.57999999999999996</v>
      </c>
      <c r="H1387" s="2">
        <f t="shared" si="284"/>
        <v>1.3181818181818181</v>
      </c>
      <c r="I1387" s="12">
        <v>0.02</v>
      </c>
      <c r="J1387" s="12">
        <v>7.0000000000000007E-2</v>
      </c>
      <c r="K1387" s="12">
        <f t="shared" si="285"/>
        <v>0.17461454545454547</v>
      </c>
      <c r="L1387" s="12">
        <f t="shared" si="286"/>
        <v>1.5827963636363638</v>
      </c>
      <c r="M1387" s="2">
        <f t="shared" si="290"/>
        <v>395.69909090909096</v>
      </c>
      <c r="N1387" s="2"/>
      <c r="O1387" s="2"/>
      <c r="P1387" s="2"/>
      <c r="Q1387" s="2">
        <f>L1387*1000</f>
        <v>1582.7963636363638</v>
      </c>
      <c r="R1387" s="28">
        <v>16.666666666666668</v>
      </c>
    </row>
    <row r="1388" spans="1:18" hidden="1" x14ac:dyDescent="0.25">
      <c r="A1388" s="16">
        <v>45771</v>
      </c>
      <c r="B1388" s="2" t="s">
        <v>111</v>
      </c>
      <c r="C1388" s="2">
        <v>950</v>
      </c>
      <c r="D1388" s="19">
        <v>0.24</v>
      </c>
      <c r="E1388" s="11">
        <v>0.16</v>
      </c>
      <c r="F1388" s="2">
        <f t="shared" si="282"/>
        <v>760</v>
      </c>
      <c r="G1388" s="2">
        <f t="shared" si="283"/>
        <v>0.95</v>
      </c>
      <c r="H1388" s="2">
        <f t="shared" si="284"/>
        <v>1.25</v>
      </c>
      <c r="I1388" s="12">
        <v>0.02</v>
      </c>
      <c r="J1388" s="12">
        <v>7.0000000000000007E-2</v>
      </c>
      <c r="K1388" s="12">
        <f t="shared" si="285"/>
        <v>0.21440000000000001</v>
      </c>
      <c r="L1388" s="12">
        <f t="shared" si="286"/>
        <v>1.5544</v>
      </c>
      <c r="M1388" s="2">
        <f t="shared" si="290"/>
        <v>388.6</v>
      </c>
      <c r="N1388" s="2"/>
      <c r="O1388" s="2"/>
      <c r="P1388" s="2"/>
      <c r="Q1388" s="2">
        <f>L1388*1000</f>
        <v>1554.4</v>
      </c>
      <c r="R1388" s="28">
        <v>16.666666666666668</v>
      </c>
    </row>
    <row r="1389" spans="1:18" hidden="1" x14ac:dyDescent="0.25">
      <c r="A1389" s="16">
        <v>45773</v>
      </c>
      <c r="B1389" s="2" t="s">
        <v>207</v>
      </c>
      <c r="C1389" s="2">
        <v>1150</v>
      </c>
      <c r="D1389" s="19">
        <v>0.41</v>
      </c>
      <c r="E1389" s="11">
        <v>0.1</v>
      </c>
      <c r="F1389" s="2">
        <f t="shared" si="282"/>
        <v>590</v>
      </c>
      <c r="G1389" s="2">
        <f t="shared" si="283"/>
        <v>1.1499999999999999</v>
      </c>
      <c r="H1389" s="2">
        <f t="shared" si="284"/>
        <v>1.9491525423728813</v>
      </c>
      <c r="I1389" s="12">
        <v>0.02</v>
      </c>
      <c r="J1389" s="12">
        <v>7.0000000000000007E-2</v>
      </c>
      <c r="K1389" s="12">
        <f t="shared" si="285"/>
        <v>0.20391525423728815</v>
      </c>
      <c r="L1389" s="12">
        <f t="shared" si="286"/>
        <v>2.2430677966101693</v>
      </c>
      <c r="M1389" s="2">
        <f>L1389*250</f>
        <v>560.76694915254234</v>
      </c>
      <c r="N1389" s="2"/>
      <c r="O1389" s="2">
        <f>L1389*500</f>
        <v>1121.5338983050847</v>
      </c>
      <c r="P1389" s="2"/>
      <c r="Q1389" s="2">
        <f t="shared" ref="Q1389:Q1390" si="291">L1389*1000</f>
        <v>2243.0677966101694</v>
      </c>
      <c r="R1389" s="28">
        <v>16.666666666666668</v>
      </c>
    </row>
    <row r="1390" spans="1:18" hidden="1" x14ac:dyDescent="0.25">
      <c r="A1390" s="16">
        <v>45776</v>
      </c>
      <c r="B1390" s="2" t="s">
        <v>116</v>
      </c>
      <c r="C1390" s="2">
        <v>600</v>
      </c>
      <c r="D1390" s="19">
        <v>7.0000000000000007E-2</v>
      </c>
      <c r="E1390" s="11">
        <v>0.61</v>
      </c>
      <c r="F1390" s="2">
        <f t="shared" si="282"/>
        <v>930</v>
      </c>
      <c r="G1390" s="2">
        <f t="shared" si="283"/>
        <v>0.6</v>
      </c>
      <c r="H1390" s="2">
        <f t="shared" si="284"/>
        <v>0.64516129032258063</v>
      </c>
      <c r="I1390" s="12">
        <v>0.02</v>
      </c>
      <c r="J1390" s="12">
        <v>7.0000000000000007E-2</v>
      </c>
      <c r="K1390" s="12">
        <f t="shared" si="285"/>
        <v>0.44844838709677415</v>
      </c>
      <c r="L1390" s="12">
        <f t="shared" si="286"/>
        <v>1.1836096774193547</v>
      </c>
      <c r="M1390" s="2">
        <f>L1390*250</f>
        <v>295.90241935483868</v>
      </c>
      <c r="N1390" s="2"/>
      <c r="O1390" s="2">
        <f>L1390*500</f>
        <v>591.80483870967737</v>
      </c>
      <c r="P1390" s="2"/>
      <c r="Q1390" s="2">
        <f t="shared" si="291"/>
        <v>1183.6096774193547</v>
      </c>
      <c r="R1390" s="28">
        <v>16.666666666666668</v>
      </c>
    </row>
    <row r="1391" spans="1:18" hidden="1" x14ac:dyDescent="0.25">
      <c r="A1391" s="16">
        <v>45776</v>
      </c>
      <c r="B1391" s="2" t="s">
        <v>128</v>
      </c>
      <c r="C1391" s="2">
        <v>320</v>
      </c>
      <c r="D1391" s="19">
        <v>0</v>
      </c>
      <c r="E1391" s="11">
        <v>0.40500000000000003</v>
      </c>
      <c r="F1391" s="2">
        <f t="shared" si="282"/>
        <v>1000</v>
      </c>
      <c r="G1391" s="2">
        <f t="shared" si="283"/>
        <v>0.32</v>
      </c>
      <c r="H1391" s="2">
        <f t="shared" si="284"/>
        <v>0.32</v>
      </c>
      <c r="I1391" s="12">
        <v>0.02</v>
      </c>
      <c r="J1391" s="12">
        <v>7.0000000000000007E-2</v>
      </c>
      <c r="K1391" s="12">
        <f t="shared" si="285"/>
        <v>0.16605000000000003</v>
      </c>
      <c r="L1391" s="12">
        <f t="shared" si="286"/>
        <v>0.57605000000000006</v>
      </c>
      <c r="M1391" s="2"/>
      <c r="N1391" s="2"/>
      <c r="O1391" s="2">
        <f>L1391*600</f>
        <v>345.63000000000005</v>
      </c>
      <c r="P1391" s="2"/>
      <c r="Q1391" s="2"/>
      <c r="R1391" s="28">
        <v>16.666666666666668</v>
      </c>
    </row>
    <row r="1392" spans="1:18" hidden="1" x14ac:dyDescent="0.25">
      <c r="A1392" s="16">
        <v>45776</v>
      </c>
      <c r="B1392" s="2" t="s">
        <v>111</v>
      </c>
      <c r="C1392" s="2">
        <v>900</v>
      </c>
      <c r="D1392" s="19">
        <v>0.31</v>
      </c>
      <c r="E1392" s="11">
        <v>0.13500000000000001</v>
      </c>
      <c r="F1392" s="2">
        <f t="shared" si="282"/>
        <v>690</v>
      </c>
      <c r="G1392" s="2">
        <f t="shared" si="283"/>
        <v>0.9</v>
      </c>
      <c r="H1392" s="2">
        <f t="shared" si="284"/>
        <v>1.3043478260869565</v>
      </c>
      <c r="I1392" s="12">
        <v>0.02</v>
      </c>
      <c r="J1392" s="12">
        <v>7.0000000000000007E-2</v>
      </c>
      <c r="K1392" s="12">
        <f t="shared" si="285"/>
        <v>0.18823695652173916</v>
      </c>
      <c r="L1392" s="12">
        <f t="shared" si="286"/>
        <v>1.5825847826086958</v>
      </c>
      <c r="M1392" s="2">
        <f t="shared" ref="M1392:M1400" si="292">L1392*250</f>
        <v>395.64619565217396</v>
      </c>
      <c r="N1392" s="2"/>
      <c r="O1392" s="2"/>
      <c r="P1392" s="2"/>
      <c r="Q1392" s="2"/>
      <c r="R1392" s="28">
        <v>16.666666666666668</v>
      </c>
    </row>
    <row r="1393" spans="1:18" hidden="1" x14ac:dyDescent="0.25">
      <c r="A1393" s="16">
        <v>45778</v>
      </c>
      <c r="B1393" s="2" t="s">
        <v>104</v>
      </c>
      <c r="C1393" s="2">
        <v>130</v>
      </c>
      <c r="D1393" s="19">
        <v>0.74</v>
      </c>
      <c r="E1393" s="11">
        <v>0.32400000000000001</v>
      </c>
      <c r="F1393" s="2">
        <f t="shared" si="282"/>
        <v>260</v>
      </c>
      <c r="G1393" s="2">
        <f t="shared" si="283"/>
        <v>0.13</v>
      </c>
      <c r="H1393" s="2">
        <f t="shared" si="284"/>
        <v>0.5</v>
      </c>
      <c r="I1393" s="12">
        <v>0.02</v>
      </c>
      <c r="J1393" s="12">
        <v>7.0000000000000007E-2</v>
      </c>
      <c r="K1393" s="12">
        <f t="shared" si="285"/>
        <v>0.19116000000000002</v>
      </c>
      <c r="L1393" s="12">
        <f t="shared" si="286"/>
        <v>0.78116000000000008</v>
      </c>
      <c r="M1393" s="2">
        <f t="shared" si="292"/>
        <v>195.29000000000002</v>
      </c>
      <c r="N1393" s="2"/>
      <c r="O1393" s="2">
        <f>L1393*500</f>
        <v>390.58000000000004</v>
      </c>
      <c r="P1393" s="2"/>
      <c r="Q1393" s="2">
        <f t="shared" ref="Q1393:Q1400" si="293">L1393*1000</f>
        <v>781.16000000000008</v>
      </c>
      <c r="R1393" s="28">
        <v>16.666666666666668</v>
      </c>
    </row>
    <row r="1394" spans="1:18" hidden="1" x14ac:dyDescent="0.25">
      <c r="A1394" s="16">
        <v>45778</v>
      </c>
      <c r="B1394" s="2" t="s">
        <v>199</v>
      </c>
      <c r="C1394" s="2">
        <v>130</v>
      </c>
      <c r="D1394" s="19">
        <v>0.74</v>
      </c>
      <c r="E1394" s="11">
        <v>0.2</v>
      </c>
      <c r="F1394" s="2">
        <f t="shared" si="282"/>
        <v>260</v>
      </c>
      <c r="G1394" s="2">
        <f t="shared" si="283"/>
        <v>0.13</v>
      </c>
      <c r="H1394" s="2">
        <f t="shared" si="284"/>
        <v>0.5</v>
      </c>
      <c r="I1394" s="12">
        <v>0.02</v>
      </c>
      <c r="J1394" s="12">
        <v>7.0000000000000007E-2</v>
      </c>
      <c r="K1394" s="12">
        <f t="shared" si="285"/>
        <v>0.11800000000000002</v>
      </c>
      <c r="L1394" s="12">
        <f t="shared" si="286"/>
        <v>0.70800000000000007</v>
      </c>
      <c r="M1394" s="2">
        <f t="shared" si="292"/>
        <v>177.00000000000003</v>
      </c>
      <c r="N1394" s="2"/>
      <c r="O1394" s="2">
        <f>L1394*500</f>
        <v>354.00000000000006</v>
      </c>
      <c r="P1394" s="2"/>
      <c r="Q1394" s="2">
        <f t="shared" si="293"/>
        <v>708.00000000000011</v>
      </c>
      <c r="R1394" s="28">
        <v>16.666666666666668</v>
      </c>
    </row>
    <row r="1395" spans="1:18" hidden="1" x14ac:dyDescent="0.25">
      <c r="A1395" s="16">
        <v>45778</v>
      </c>
      <c r="B1395" s="2" t="s">
        <v>142</v>
      </c>
      <c r="C1395" s="2">
        <v>300</v>
      </c>
      <c r="D1395" s="19">
        <v>0.56000000000000005</v>
      </c>
      <c r="E1395" s="11">
        <v>0.27</v>
      </c>
      <c r="F1395" s="2">
        <f t="shared" si="282"/>
        <v>440</v>
      </c>
      <c r="G1395" s="2">
        <f t="shared" si="283"/>
        <v>0.3</v>
      </c>
      <c r="H1395" s="2">
        <f t="shared" si="284"/>
        <v>0.68181818181818177</v>
      </c>
      <c r="I1395" s="12">
        <v>0.02</v>
      </c>
      <c r="J1395" s="12">
        <v>7.0000000000000007E-2</v>
      </c>
      <c r="K1395" s="12">
        <f t="shared" si="285"/>
        <v>0.20839090909090907</v>
      </c>
      <c r="L1395" s="12">
        <f t="shared" si="286"/>
        <v>0.98020909090909081</v>
      </c>
      <c r="M1395" s="2">
        <f t="shared" si="292"/>
        <v>245.05227272727271</v>
      </c>
      <c r="N1395" s="2"/>
      <c r="O1395" s="2"/>
      <c r="P1395" s="2"/>
      <c r="Q1395" s="2">
        <f t="shared" si="293"/>
        <v>980.20909090909083</v>
      </c>
      <c r="R1395" s="28">
        <v>16.666666666666668</v>
      </c>
    </row>
    <row r="1396" spans="1:18" hidden="1" x14ac:dyDescent="0.25">
      <c r="A1396" s="16">
        <v>45778</v>
      </c>
      <c r="B1396" s="2" t="s">
        <v>209</v>
      </c>
      <c r="C1396" s="2">
        <v>200</v>
      </c>
      <c r="D1396" s="19">
        <v>0.09</v>
      </c>
      <c r="E1396" s="11">
        <v>0.88</v>
      </c>
      <c r="F1396" s="2">
        <f t="shared" si="282"/>
        <v>910</v>
      </c>
      <c r="G1396" s="2">
        <f t="shared" si="283"/>
        <v>0.2</v>
      </c>
      <c r="H1396" s="2">
        <f t="shared" si="284"/>
        <v>0.21978021978021978</v>
      </c>
      <c r="I1396" s="12">
        <v>0.02</v>
      </c>
      <c r="J1396" s="12">
        <v>7.0000000000000007E-2</v>
      </c>
      <c r="K1396" s="12">
        <f t="shared" si="285"/>
        <v>0.27260659340659338</v>
      </c>
      <c r="L1396" s="12">
        <f t="shared" si="286"/>
        <v>0.58238681318681307</v>
      </c>
      <c r="M1396" s="2">
        <f t="shared" si="292"/>
        <v>145.59670329670325</v>
      </c>
      <c r="N1396" s="2"/>
      <c r="O1396" s="2"/>
      <c r="P1396" s="2"/>
      <c r="Q1396" s="2">
        <f t="shared" si="293"/>
        <v>582.38681318681301</v>
      </c>
      <c r="R1396" s="28">
        <v>16.666666666666668</v>
      </c>
    </row>
    <row r="1397" spans="1:18" hidden="1" x14ac:dyDescent="0.25">
      <c r="A1397" s="16">
        <v>45780</v>
      </c>
      <c r="B1397" s="2" t="s">
        <v>118</v>
      </c>
      <c r="C1397" s="2">
        <v>350</v>
      </c>
      <c r="D1397" s="19">
        <v>0.41</v>
      </c>
      <c r="E1397" s="11">
        <v>0.32</v>
      </c>
      <c r="F1397" s="2">
        <f t="shared" si="282"/>
        <v>590</v>
      </c>
      <c r="G1397" s="2">
        <f t="shared" si="283"/>
        <v>0.35</v>
      </c>
      <c r="H1397" s="2">
        <f t="shared" si="284"/>
        <v>0.59322033898305082</v>
      </c>
      <c r="I1397" s="12">
        <v>0.02</v>
      </c>
      <c r="J1397" s="12">
        <v>7.0000000000000007E-2</v>
      </c>
      <c r="K1397" s="12">
        <f t="shared" si="285"/>
        <v>0.2186305084745763</v>
      </c>
      <c r="L1397" s="12">
        <f t="shared" si="286"/>
        <v>0.90185084745762722</v>
      </c>
      <c r="M1397" s="2">
        <f t="shared" si="292"/>
        <v>225.4627118644068</v>
      </c>
      <c r="N1397" s="2"/>
      <c r="O1397" s="2"/>
      <c r="P1397" s="2"/>
      <c r="Q1397" s="2">
        <f t="shared" si="293"/>
        <v>901.8508474576272</v>
      </c>
      <c r="R1397" s="28">
        <v>16.666666666666668</v>
      </c>
    </row>
    <row r="1398" spans="1:18" hidden="1" x14ac:dyDescent="0.25">
      <c r="A1398" s="16">
        <v>45780</v>
      </c>
      <c r="B1398" s="2" t="s">
        <v>116</v>
      </c>
      <c r="C1398" s="2">
        <v>600</v>
      </c>
      <c r="D1398" s="19">
        <v>0.08</v>
      </c>
      <c r="E1398" s="11">
        <v>1.292</v>
      </c>
      <c r="F1398" s="2">
        <f t="shared" si="282"/>
        <v>920</v>
      </c>
      <c r="G1398" s="2">
        <f t="shared" si="283"/>
        <v>0.6</v>
      </c>
      <c r="H1398" s="2">
        <f t="shared" si="284"/>
        <v>0.65217391304347827</v>
      </c>
      <c r="I1398" s="12">
        <v>0.02</v>
      </c>
      <c r="J1398" s="12">
        <v>7.0000000000000007E-2</v>
      </c>
      <c r="K1398" s="12">
        <f t="shared" si="285"/>
        <v>0.95888869565217405</v>
      </c>
      <c r="L1398" s="12">
        <f t="shared" si="286"/>
        <v>1.7010626086956524</v>
      </c>
      <c r="M1398" s="2">
        <f t="shared" si="292"/>
        <v>425.26565217391311</v>
      </c>
      <c r="N1398" s="2"/>
      <c r="O1398" s="2">
        <f>L1398*500</f>
        <v>850.53130434782622</v>
      </c>
      <c r="P1398" s="2"/>
      <c r="Q1398" s="2">
        <f t="shared" si="293"/>
        <v>1701.0626086956524</v>
      </c>
      <c r="R1398" s="28">
        <v>16.666666666666668</v>
      </c>
    </row>
    <row r="1399" spans="1:18" hidden="1" x14ac:dyDescent="0.25">
      <c r="A1399" s="16">
        <v>45783</v>
      </c>
      <c r="B1399" s="2" t="s">
        <v>102</v>
      </c>
      <c r="C1399" s="2">
        <v>600</v>
      </c>
      <c r="D1399" s="19">
        <v>0.57999999999999996</v>
      </c>
      <c r="E1399" s="11">
        <v>0.17299999999999999</v>
      </c>
      <c r="F1399" s="2">
        <f t="shared" si="282"/>
        <v>420</v>
      </c>
      <c r="G1399" s="2">
        <f t="shared" si="283"/>
        <v>0.6</v>
      </c>
      <c r="H1399" s="2">
        <f t="shared" si="284"/>
        <v>1.4285714285714286</v>
      </c>
      <c r="I1399" s="12">
        <v>0.02</v>
      </c>
      <c r="J1399" s="12">
        <v>7.0000000000000007E-2</v>
      </c>
      <c r="K1399" s="12">
        <f t="shared" si="285"/>
        <v>0.26271285714285714</v>
      </c>
      <c r="L1399" s="12">
        <f t="shared" si="286"/>
        <v>1.7812842857142859</v>
      </c>
      <c r="M1399" s="2">
        <f t="shared" si="292"/>
        <v>445.32107142857149</v>
      </c>
      <c r="N1399" s="2"/>
      <c r="O1399" s="2">
        <f>L1399*500</f>
        <v>890.64214285714297</v>
      </c>
      <c r="P1399" s="2"/>
      <c r="Q1399" s="2">
        <f t="shared" si="293"/>
        <v>1781.2842857142859</v>
      </c>
      <c r="R1399" s="28">
        <v>16.666666666666668</v>
      </c>
    </row>
    <row r="1400" spans="1:18" x14ac:dyDescent="0.25">
      <c r="A1400" s="16">
        <v>45783</v>
      </c>
      <c r="B1400" s="2" t="s">
        <v>220</v>
      </c>
      <c r="C1400" s="2">
        <v>1300</v>
      </c>
      <c r="D1400" s="19">
        <v>0.21</v>
      </c>
      <c r="E1400" s="11">
        <v>0.14199999999999999</v>
      </c>
      <c r="F1400" s="2">
        <f t="shared" si="282"/>
        <v>790</v>
      </c>
      <c r="G1400" s="2">
        <f t="shared" si="283"/>
        <v>1.3</v>
      </c>
      <c r="H1400" s="2">
        <f t="shared" si="284"/>
        <v>1.6455696202531647</v>
      </c>
      <c r="I1400" s="12">
        <v>0.02</v>
      </c>
      <c r="J1400" s="12">
        <v>7.0000000000000007E-2</v>
      </c>
      <c r="K1400" s="12">
        <f t="shared" si="285"/>
        <v>0.24645088607594937</v>
      </c>
      <c r="L1400" s="12">
        <f t="shared" si="286"/>
        <v>1.9820205063291141</v>
      </c>
      <c r="M1400" s="2">
        <f t="shared" si="292"/>
        <v>495.50512658227854</v>
      </c>
      <c r="N1400" s="2"/>
      <c r="O1400" s="2">
        <f>L1400*500</f>
        <v>991.01025316455707</v>
      </c>
      <c r="P1400" s="2"/>
      <c r="Q1400" s="2">
        <f t="shared" si="293"/>
        <v>1982.0205063291141</v>
      </c>
      <c r="R1400" s="28">
        <v>16.666666666666668</v>
      </c>
    </row>
    <row r="1401" spans="1:18" hidden="1" x14ac:dyDescent="0.25">
      <c r="A1401" s="16">
        <v>45783</v>
      </c>
      <c r="B1401" s="2" t="s">
        <v>116</v>
      </c>
      <c r="C1401" s="2">
        <v>600</v>
      </c>
      <c r="D1401" s="19">
        <v>0.18</v>
      </c>
      <c r="E1401" s="11">
        <v>1.17</v>
      </c>
      <c r="F1401" s="2">
        <f t="shared" ref="F1401:F1407" si="294">1000-1000*D1401</f>
        <v>820</v>
      </c>
      <c r="G1401" s="2">
        <f t="shared" ref="G1401:G1407" si="295">C1401/1000</f>
        <v>0.6</v>
      </c>
      <c r="H1401" s="2">
        <f t="shared" ref="H1401:H1407" si="296">C1401/F1401</f>
        <v>0.73170731707317072</v>
      </c>
      <c r="I1401" s="12">
        <v>0.02</v>
      </c>
      <c r="J1401" s="12">
        <v>7.0000000000000007E-2</v>
      </c>
      <c r="K1401" s="12">
        <f t="shared" ref="K1401:K1407" si="297">SUM(H1401:J1401)*E1401</f>
        <v>0.9613975609756098</v>
      </c>
      <c r="L1401" s="12">
        <f t="shared" ref="L1401:L1407" si="298">SUM(H1401:K1401)</f>
        <v>1.7831048780487806</v>
      </c>
      <c r="M1401" s="2">
        <f t="shared" ref="M1401:M1405" si="299">L1401*250</f>
        <v>445.77621951219515</v>
      </c>
      <c r="N1401" s="2"/>
      <c r="O1401" s="2">
        <f>L1401*500</f>
        <v>891.55243902439031</v>
      </c>
      <c r="P1401" s="2"/>
      <c r="Q1401" s="2">
        <f t="shared" ref="Q1401:Q1405" si="300">L1401*1000</f>
        <v>1783.1048780487806</v>
      </c>
      <c r="R1401" s="28">
        <v>16.666666666666668</v>
      </c>
    </row>
    <row r="1402" spans="1:18" hidden="1" x14ac:dyDescent="0.25">
      <c r="A1402" s="16">
        <v>45785</v>
      </c>
      <c r="B1402" s="2" t="s">
        <v>111</v>
      </c>
      <c r="C1402" s="2">
        <v>950</v>
      </c>
      <c r="D1402" s="19">
        <v>0.26</v>
      </c>
      <c r="E1402" s="11">
        <v>0.152</v>
      </c>
      <c r="F1402" s="2">
        <f t="shared" si="294"/>
        <v>740</v>
      </c>
      <c r="G1402" s="2">
        <f t="shared" si="295"/>
        <v>0.95</v>
      </c>
      <c r="H1402" s="2">
        <f t="shared" si="296"/>
        <v>1.2837837837837838</v>
      </c>
      <c r="I1402" s="12">
        <v>0.02</v>
      </c>
      <c r="J1402" s="12">
        <v>7.0000000000000007E-2</v>
      </c>
      <c r="K1402" s="12">
        <f t="shared" si="297"/>
        <v>0.20881513513513514</v>
      </c>
      <c r="L1402" s="12">
        <f t="shared" si="298"/>
        <v>1.5825989189189189</v>
      </c>
      <c r="M1402" s="2">
        <f t="shared" si="299"/>
        <v>395.6497297297297</v>
      </c>
      <c r="N1402" s="2"/>
      <c r="O1402" s="2"/>
      <c r="P1402" s="2"/>
      <c r="Q1402" s="2">
        <f t="shared" si="300"/>
        <v>1582.5989189189188</v>
      </c>
      <c r="R1402" s="28">
        <v>16.666666666666668</v>
      </c>
    </row>
    <row r="1403" spans="1:18" hidden="1" x14ac:dyDescent="0.25">
      <c r="A1403" s="16">
        <v>45785</v>
      </c>
      <c r="B1403" s="2" t="s">
        <v>116</v>
      </c>
      <c r="C1403" s="2">
        <v>600</v>
      </c>
      <c r="D1403" s="19">
        <v>0.16</v>
      </c>
      <c r="E1403" s="11">
        <v>1.2150000000000001</v>
      </c>
      <c r="F1403" s="2">
        <f t="shared" si="294"/>
        <v>840</v>
      </c>
      <c r="G1403" s="2">
        <f t="shared" si="295"/>
        <v>0.6</v>
      </c>
      <c r="H1403" s="2">
        <f t="shared" si="296"/>
        <v>0.7142857142857143</v>
      </c>
      <c r="I1403" s="12">
        <v>0.02</v>
      </c>
      <c r="J1403" s="12">
        <v>7.0000000000000007E-2</v>
      </c>
      <c r="K1403" s="12">
        <f t="shared" si="297"/>
        <v>0.97720714285714294</v>
      </c>
      <c r="L1403" s="12">
        <f t="shared" si="298"/>
        <v>1.7814928571428572</v>
      </c>
      <c r="M1403" s="2">
        <f t="shared" si="299"/>
        <v>445.37321428571431</v>
      </c>
      <c r="N1403" s="2"/>
      <c r="O1403" s="2"/>
      <c r="P1403" s="2"/>
      <c r="Q1403" s="2">
        <f t="shared" si="300"/>
        <v>1781.4928571428572</v>
      </c>
      <c r="R1403" s="28">
        <v>16.666666666666668</v>
      </c>
    </row>
    <row r="1404" spans="1:18" hidden="1" x14ac:dyDescent="0.25">
      <c r="A1404" s="16">
        <v>45792</v>
      </c>
      <c r="B1404" s="2" t="s">
        <v>221</v>
      </c>
      <c r="C1404" s="2">
        <v>700</v>
      </c>
      <c r="D1404" s="19">
        <v>0.25</v>
      </c>
      <c r="E1404" s="11">
        <v>0.35</v>
      </c>
      <c r="F1404" s="2">
        <f t="shared" si="294"/>
        <v>750</v>
      </c>
      <c r="G1404" s="2">
        <f t="shared" si="295"/>
        <v>0.7</v>
      </c>
      <c r="H1404" s="2">
        <f t="shared" si="296"/>
        <v>0.93333333333333335</v>
      </c>
      <c r="I1404" s="12">
        <v>0.02</v>
      </c>
      <c r="J1404" s="12">
        <v>7.0000000000000007E-2</v>
      </c>
      <c r="K1404" s="12">
        <f t="shared" si="297"/>
        <v>0.35816666666666669</v>
      </c>
      <c r="L1404" s="12">
        <f t="shared" si="298"/>
        <v>1.3815000000000002</v>
      </c>
      <c r="M1404" s="2">
        <f t="shared" si="299"/>
        <v>345.37500000000006</v>
      </c>
      <c r="N1404" s="2"/>
      <c r="O1404" s="2"/>
      <c r="P1404" s="2"/>
      <c r="Q1404" s="2">
        <f t="shared" si="300"/>
        <v>1381.5000000000002</v>
      </c>
      <c r="R1404" s="28">
        <v>16.666666666666668</v>
      </c>
    </row>
    <row r="1405" spans="1:18" hidden="1" x14ac:dyDescent="0.25">
      <c r="A1405" s="16">
        <v>45793</v>
      </c>
      <c r="B1405" s="2" t="s">
        <v>120</v>
      </c>
      <c r="C1405" s="2">
        <v>280</v>
      </c>
      <c r="D1405" s="19">
        <v>0.53</v>
      </c>
      <c r="E1405" s="11">
        <v>0.315</v>
      </c>
      <c r="F1405" s="2">
        <f t="shared" si="294"/>
        <v>470</v>
      </c>
      <c r="G1405" s="2">
        <f t="shared" si="295"/>
        <v>0.28000000000000003</v>
      </c>
      <c r="H1405" s="2">
        <f t="shared" si="296"/>
        <v>0.5957446808510638</v>
      </c>
      <c r="I1405" s="12">
        <v>0.02</v>
      </c>
      <c r="J1405" s="12">
        <v>7.0000000000000007E-2</v>
      </c>
      <c r="K1405" s="12">
        <f t="shared" si="297"/>
        <v>0.21600957446808514</v>
      </c>
      <c r="L1405" s="12">
        <f t="shared" si="298"/>
        <v>0.90175425531914899</v>
      </c>
      <c r="M1405" s="2">
        <f t="shared" si="299"/>
        <v>225.43856382978726</v>
      </c>
      <c r="N1405" s="2"/>
      <c r="O1405" s="2"/>
      <c r="P1405" s="2"/>
      <c r="Q1405" s="2">
        <f t="shared" si="300"/>
        <v>901.75425531914902</v>
      </c>
      <c r="R1405" s="28">
        <v>16.666666666666668</v>
      </c>
    </row>
    <row r="1406" spans="1:18" hidden="1" x14ac:dyDescent="0.25">
      <c r="A1406" s="16">
        <v>45794</v>
      </c>
      <c r="B1406" s="2" t="s">
        <v>204</v>
      </c>
      <c r="C1406" s="2">
        <v>900</v>
      </c>
      <c r="D1406" s="19">
        <v>0.41</v>
      </c>
      <c r="E1406" s="11">
        <v>0.1</v>
      </c>
      <c r="F1406" s="2">
        <f t="shared" si="294"/>
        <v>590</v>
      </c>
      <c r="G1406" s="2">
        <f t="shared" si="295"/>
        <v>0.9</v>
      </c>
      <c r="H1406" s="2">
        <f t="shared" si="296"/>
        <v>1.5254237288135593</v>
      </c>
      <c r="I1406" s="12">
        <v>0.02</v>
      </c>
      <c r="J1406" s="12">
        <v>7.0000000000000007E-2</v>
      </c>
      <c r="K1406" s="12">
        <f t="shared" si="297"/>
        <v>0.16154237288135595</v>
      </c>
      <c r="L1406" s="12">
        <f t="shared" si="298"/>
        <v>1.7769661016949152</v>
      </c>
      <c r="M1406" s="2"/>
      <c r="N1406" s="2"/>
      <c r="O1406" s="2">
        <f t="shared" ref="O1406:O1411" si="301">L1406*500</f>
        <v>888.48305084745755</v>
      </c>
      <c r="P1406" s="2"/>
      <c r="Q1406" s="2">
        <f>L1406*1000</f>
        <v>1776.9661016949151</v>
      </c>
      <c r="R1406" s="28">
        <v>16.666666666666668</v>
      </c>
    </row>
    <row r="1407" spans="1:18" hidden="1" x14ac:dyDescent="0.25">
      <c r="A1407" s="16">
        <v>45794</v>
      </c>
      <c r="B1407" s="2" t="s">
        <v>219</v>
      </c>
      <c r="C1407" s="2">
        <v>900</v>
      </c>
      <c r="D1407" s="19">
        <v>0.41</v>
      </c>
      <c r="E1407" s="11">
        <v>0.1</v>
      </c>
      <c r="F1407" s="2">
        <f t="shared" si="294"/>
        <v>590</v>
      </c>
      <c r="G1407" s="2">
        <f t="shared" si="295"/>
        <v>0.9</v>
      </c>
      <c r="H1407" s="2">
        <f t="shared" si="296"/>
        <v>1.5254237288135593</v>
      </c>
      <c r="I1407" s="12">
        <v>0.02</v>
      </c>
      <c r="J1407" s="12">
        <v>7.0000000000000007E-2</v>
      </c>
      <c r="K1407" s="12">
        <f t="shared" si="297"/>
        <v>0.16154237288135595</v>
      </c>
      <c r="L1407" s="12">
        <f t="shared" si="298"/>
        <v>1.7769661016949152</v>
      </c>
      <c r="M1407" s="2">
        <f>L1407*250</f>
        <v>444.24152542372877</v>
      </c>
      <c r="N1407" s="2"/>
      <c r="O1407" s="2">
        <f t="shared" si="301"/>
        <v>888.48305084745755</v>
      </c>
      <c r="P1407" s="2"/>
      <c r="Q1407" s="2">
        <f>L1407*1000</f>
        <v>1776.9661016949151</v>
      </c>
      <c r="R1407" s="28">
        <v>16.666666666666668</v>
      </c>
    </row>
    <row r="1408" spans="1:18" hidden="1" x14ac:dyDescent="0.25">
      <c r="A1408" s="16">
        <v>45794</v>
      </c>
      <c r="B1408" s="2" t="s">
        <v>205</v>
      </c>
      <c r="C1408" s="2">
        <v>900</v>
      </c>
      <c r="D1408" s="19">
        <v>0.41</v>
      </c>
      <c r="E1408" s="11">
        <v>-0.02</v>
      </c>
      <c r="F1408" s="2">
        <f t="shared" ref="F1408:F1414" si="302">1000-1000*D1408</f>
        <v>590</v>
      </c>
      <c r="G1408" s="2">
        <f t="shared" ref="G1408:G1414" si="303">C1408/1000</f>
        <v>0.9</v>
      </c>
      <c r="H1408" s="2">
        <f t="shared" ref="H1408:H1414" si="304">C1408/F1408</f>
        <v>1.5254237288135593</v>
      </c>
      <c r="I1408" s="12">
        <v>0.02</v>
      </c>
      <c r="J1408" s="12">
        <v>7.0000000000000007E-2</v>
      </c>
      <c r="K1408" s="12">
        <f t="shared" ref="K1408:K1414" si="305">SUM(H1408:J1408)*E1408</f>
        <v>-3.2308474576271187E-2</v>
      </c>
      <c r="L1408" s="12">
        <f t="shared" ref="L1408:L1414" si="306">SUM(H1408:K1408)</f>
        <v>1.5831152542372882</v>
      </c>
      <c r="M1408" s="2">
        <f>L1408*250</f>
        <v>395.77881355932203</v>
      </c>
      <c r="N1408" s="2"/>
      <c r="O1408" s="2">
        <f t="shared" si="301"/>
        <v>791.55762711864406</v>
      </c>
      <c r="P1408" s="2"/>
      <c r="Q1408" s="2">
        <f t="shared" ref="Q1408:Q1414" si="307">L1408*1000</f>
        <v>1583.1152542372881</v>
      </c>
      <c r="R1408" s="28">
        <v>16.666666666666668</v>
      </c>
    </row>
    <row r="1409" spans="1:18" hidden="1" x14ac:dyDescent="0.25">
      <c r="A1409" s="16">
        <v>45794</v>
      </c>
      <c r="B1409" s="2" t="s">
        <v>111</v>
      </c>
      <c r="C1409" s="2">
        <v>1100</v>
      </c>
      <c r="D1409" s="19">
        <v>0.28999999999999998</v>
      </c>
      <c r="E1409" s="11">
        <v>0.09</v>
      </c>
      <c r="F1409" s="2">
        <f t="shared" si="302"/>
        <v>710</v>
      </c>
      <c r="G1409" s="2">
        <f t="shared" si="303"/>
        <v>1.1000000000000001</v>
      </c>
      <c r="H1409" s="2">
        <f t="shared" si="304"/>
        <v>1.5492957746478873</v>
      </c>
      <c r="I1409" s="12">
        <v>0.02</v>
      </c>
      <c r="J1409" s="12">
        <v>7.0000000000000007E-2</v>
      </c>
      <c r="K1409" s="12">
        <f t="shared" si="305"/>
        <v>0.14753661971830986</v>
      </c>
      <c r="L1409" s="12">
        <f t="shared" si="306"/>
        <v>1.7868323943661972</v>
      </c>
      <c r="M1409" s="2">
        <f>L1409*250</f>
        <v>446.70809859154929</v>
      </c>
      <c r="N1409" s="2"/>
      <c r="O1409" s="2">
        <f t="shared" si="301"/>
        <v>893.41619718309857</v>
      </c>
      <c r="P1409" s="2"/>
      <c r="Q1409" s="2">
        <f t="shared" si="307"/>
        <v>1786.8323943661971</v>
      </c>
      <c r="R1409" s="28">
        <v>16.666666666666668</v>
      </c>
    </row>
    <row r="1410" spans="1:18" hidden="1" x14ac:dyDescent="0.25">
      <c r="A1410" s="16">
        <v>45797</v>
      </c>
      <c r="B1410" s="2" t="s">
        <v>111</v>
      </c>
      <c r="C1410" s="2">
        <v>1130</v>
      </c>
      <c r="D1410" s="19">
        <v>0.26</v>
      </c>
      <c r="E1410" s="11">
        <v>0.10199999999999999</v>
      </c>
      <c r="F1410" s="2">
        <f t="shared" si="302"/>
        <v>740</v>
      </c>
      <c r="G1410" s="2">
        <f t="shared" si="303"/>
        <v>1.1299999999999999</v>
      </c>
      <c r="H1410" s="2">
        <f t="shared" si="304"/>
        <v>1.527027027027027</v>
      </c>
      <c r="I1410" s="12">
        <v>0.02</v>
      </c>
      <c r="J1410" s="12">
        <v>7.0000000000000007E-2</v>
      </c>
      <c r="K1410" s="12">
        <f t="shared" si="305"/>
        <v>0.16493675675675676</v>
      </c>
      <c r="L1410" s="12">
        <f t="shared" si="306"/>
        <v>1.7819637837837838</v>
      </c>
      <c r="M1410" s="2">
        <f>L1410*250</f>
        <v>445.49094594594595</v>
      </c>
      <c r="N1410" s="2"/>
      <c r="O1410" s="2">
        <f t="shared" si="301"/>
        <v>890.98189189189191</v>
      </c>
      <c r="P1410" s="2"/>
      <c r="Q1410" s="2">
        <f t="shared" si="307"/>
        <v>1781.9637837837838</v>
      </c>
      <c r="R1410" s="28">
        <v>16.666666666666668</v>
      </c>
    </row>
    <row r="1411" spans="1:18" hidden="1" x14ac:dyDescent="0.25">
      <c r="A1411" s="16">
        <v>45797</v>
      </c>
      <c r="B1411" s="2" t="s">
        <v>196</v>
      </c>
      <c r="C1411" s="2">
        <v>375</v>
      </c>
      <c r="D1411" s="19">
        <v>0.11</v>
      </c>
      <c r="E1411" s="11">
        <v>0</v>
      </c>
      <c r="F1411" s="2">
        <f t="shared" si="302"/>
        <v>890</v>
      </c>
      <c r="G1411" s="2">
        <f t="shared" si="303"/>
        <v>0.375</v>
      </c>
      <c r="H1411" s="2">
        <f t="shared" si="304"/>
        <v>0.42134831460674155</v>
      </c>
      <c r="I1411" s="12">
        <v>0.02</v>
      </c>
      <c r="J1411" s="12">
        <v>7.0000000000000007E-2</v>
      </c>
      <c r="K1411" s="12">
        <f t="shared" si="305"/>
        <v>0</v>
      </c>
      <c r="L1411" s="12">
        <f t="shared" si="306"/>
        <v>0.51134831460674157</v>
      </c>
      <c r="M1411" s="2"/>
      <c r="N1411" s="2"/>
      <c r="O1411" s="2">
        <f t="shared" si="301"/>
        <v>255.67415730337078</v>
      </c>
      <c r="P1411" s="2"/>
      <c r="Q1411" s="2">
        <f t="shared" si="307"/>
        <v>511.34831460674155</v>
      </c>
      <c r="R1411" s="28">
        <v>16.666666666666668</v>
      </c>
    </row>
    <row r="1412" spans="1:18" hidden="1" x14ac:dyDescent="0.25">
      <c r="A1412" s="16">
        <v>45797</v>
      </c>
      <c r="B1412" s="2" t="s">
        <v>116</v>
      </c>
      <c r="C1412" s="2">
        <v>650</v>
      </c>
      <c r="D1412" s="19">
        <v>0.26</v>
      </c>
      <c r="E1412" s="11">
        <v>0.84</v>
      </c>
      <c r="F1412" s="2">
        <f t="shared" si="302"/>
        <v>740</v>
      </c>
      <c r="G1412" s="2">
        <f t="shared" si="303"/>
        <v>0.65</v>
      </c>
      <c r="H1412" s="2">
        <f t="shared" si="304"/>
        <v>0.8783783783783784</v>
      </c>
      <c r="I1412" s="12">
        <v>0.02</v>
      </c>
      <c r="J1412" s="12">
        <v>7.0000000000000007E-2</v>
      </c>
      <c r="K1412" s="12">
        <f t="shared" si="305"/>
        <v>0.81343783783783785</v>
      </c>
      <c r="L1412" s="12">
        <f t="shared" si="306"/>
        <v>1.7818162162162161</v>
      </c>
      <c r="M1412" s="2">
        <f t="shared" ref="M1412:M1421" si="308">L1412*250</f>
        <v>445.45405405405404</v>
      </c>
      <c r="N1412" s="2"/>
      <c r="O1412" s="2"/>
      <c r="P1412" s="2"/>
      <c r="Q1412" s="2">
        <f t="shared" si="307"/>
        <v>1781.8162162162162</v>
      </c>
      <c r="R1412" s="28">
        <v>16.666666666666668</v>
      </c>
    </row>
    <row r="1413" spans="1:18" hidden="1" x14ac:dyDescent="0.25">
      <c r="A1413" s="16">
        <v>45797</v>
      </c>
      <c r="B1413" s="2" t="s">
        <v>118</v>
      </c>
      <c r="C1413" s="2">
        <v>330</v>
      </c>
      <c r="D1413" s="19">
        <v>0.25</v>
      </c>
      <c r="E1413" s="11">
        <v>0.47799999999999998</v>
      </c>
      <c r="F1413" s="2">
        <f t="shared" si="302"/>
        <v>750</v>
      </c>
      <c r="G1413" s="2">
        <f t="shared" si="303"/>
        <v>0.33</v>
      </c>
      <c r="H1413" s="2">
        <f t="shared" si="304"/>
        <v>0.44</v>
      </c>
      <c r="I1413" s="12">
        <v>0.02</v>
      </c>
      <c r="J1413" s="12">
        <v>7.0000000000000007E-2</v>
      </c>
      <c r="K1413" s="12">
        <f t="shared" si="305"/>
        <v>0.25334000000000001</v>
      </c>
      <c r="L1413" s="12">
        <f t="shared" si="306"/>
        <v>0.78334000000000004</v>
      </c>
      <c r="M1413" s="2">
        <f t="shared" si="308"/>
        <v>195.83500000000001</v>
      </c>
      <c r="N1413" s="2"/>
      <c r="O1413" s="2"/>
      <c r="P1413" s="2"/>
      <c r="Q1413" s="2">
        <f t="shared" si="307"/>
        <v>783.34</v>
      </c>
      <c r="R1413" s="28">
        <v>16.666666666666668</v>
      </c>
    </row>
    <row r="1414" spans="1:18" hidden="1" x14ac:dyDescent="0.25">
      <c r="A1414" s="16">
        <v>45799</v>
      </c>
      <c r="B1414" s="2" t="s">
        <v>205</v>
      </c>
      <c r="C1414" s="2">
        <v>1000</v>
      </c>
      <c r="D1414" s="19">
        <v>0.43</v>
      </c>
      <c r="E1414" s="11">
        <v>8.5000000000000006E-2</v>
      </c>
      <c r="F1414" s="2">
        <f t="shared" si="302"/>
        <v>570</v>
      </c>
      <c r="G1414" s="2">
        <f t="shared" si="303"/>
        <v>1</v>
      </c>
      <c r="H1414" s="2">
        <f t="shared" si="304"/>
        <v>1.7543859649122806</v>
      </c>
      <c r="I1414" s="12">
        <v>0.02</v>
      </c>
      <c r="J1414" s="12">
        <v>7.0000000000000007E-2</v>
      </c>
      <c r="K1414" s="12">
        <f t="shared" si="305"/>
        <v>0.15677280701754387</v>
      </c>
      <c r="L1414" s="12">
        <f t="shared" si="306"/>
        <v>2.0011587719298247</v>
      </c>
      <c r="M1414" s="2">
        <f t="shared" si="308"/>
        <v>500.28969298245619</v>
      </c>
      <c r="N1414" s="2"/>
      <c r="O1414" s="2"/>
      <c r="P1414" s="2"/>
      <c r="Q1414" s="2">
        <f t="shared" si="307"/>
        <v>2001.1587719298248</v>
      </c>
      <c r="R1414" s="28">
        <v>16.666666666666668</v>
      </c>
    </row>
    <row r="1415" spans="1:18" hidden="1" x14ac:dyDescent="0.25">
      <c r="A1415" s="16">
        <v>45799</v>
      </c>
      <c r="B1415" s="2" t="s">
        <v>111</v>
      </c>
      <c r="C1415" s="2">
        <v>1150</v>
      </c>
      <c r="D1415" s="19">
        <v>0.26</v>
      </c>
      <c r="E1415" s="11">
        <v>8.5000000000000006E-2</v>
      </c>
      <c r="F1415" s="2">
        <f>1000-1000*D1415</f>
        <v>740</v>
      </c>
      <c r="G1415" s="2">
        <f t="shared" ref="G1415:G1422" si="309">C1415/1000</f>
        <v>1.1499999999999999</v>
      </c>
      <c r="H1415" s="2">
        <f t="shared" ref="H1415:H1422" si="310">C1415/F1415</f>
        <v>1.5540540540540539</v>
      </c>
      <c r="I1415" s="12">
        <v>0.02</v>
      </c>
      <c r="J1415" s="12">
        <v>7.0000000000000007E-2</v>
      </c>
      <c r="K1415" s="12">
        <f t="shared" ref="K1415:K1422" si="311">SUM(H1415:J1415)*E1415</f>
        <v>0.1397445945945946</v>
      </c>
      <c r="L1415" s="12">
        <f t="shared" ref="L1415:L1422" si="312">SUM(H1415:K1415)</f>
        <v>1.7837986486486486</v>
      </c>
      <c r="M1415" s="2">
        <f t="shared" si="308"/>
        <v>445.94966216216216</v>
      </c>
      <c r="N1415" s="2"/>
      <c r="O1415" s="2"/>
      <c r="P1415" s="2"/>
      <c r="Q1415" s="2">
        <f t="shared" ref="Q1415:Q1422" si="313">L1415*1000</f>
        <v>1783.7986486486486</v>
      </c>
      <c r="R1415" s="28">
        <v>16.666666666666668</v>
      </c>
    </row>
    <row r="1416" spans="1:18" hidden="1" x14ac:dyDescent="0.25">
      <c r="A1416" s="16">
        <v>45799</v>
      </c>
      <c r="B1416" s="2" t="s">
        <v>116</v>
      </c>
      <c r="C1416" s="2">
        <v>650</v>
      </c>
      <c r="D1416" s="19">
        <v>0.15</v>
      </c>
      <c r="E1416" s="11">
        <v>0.85</v>
      </c>
      <c r="F1416" s="2">
        <f t="shared" ref="F1416:F1430" si="314">1000-1000*D1416</f>
        <v>850</v>
      </c>
      <c r="G1416" s="2">
        <f t="shared" si="309"/>
        <v>0.65</v>
      </c>
      <c r="H1416" s="2">
        <f t="shared" si="310"/>
        <v>0.76470588235294112</v>
      </c>
      <c r="I1416" s="12">
        <v>0.02</v>
      </c>
      <c r="J1416" s="12">
        <v>7.0000000000000007E-2</v>
      </c>
      <c r="K1416" s="12">
        <f t="shared" si="311"/>
        <v>0.72650000000000003</v>
      </c>
      <c r="L1416" s="12">
        <f t="shared" si="312"/>
        <v>1.5812058823529411</v>
      </c>
      <c r="M1416" s="2">
        <f t="shared" si="308"/>
        <v>395.3014705882353</v>
      </c>
      <c r="N1416" s="2"/>
      <c r="O1416" s="2"/>
      <c r="P1416" s="2"/>
      <c r="Q1416" s="2">
        <f t="shared" si="313"/>
        <v>1581.2058823529412</v>
      </c>
      <c r="R1416" s="28">
        <v>16.666666666666668</v>
      </c>
    </row>
    <row r="1417" spans="1:18" hidden="1" x14ac:dyDescent="0.25">
      <c r="A1417" s="16">
        <v>45801</v>
      </c>
      <c r="B1417" s="2" t="s">
        <v>116</v>
      </c>
      <c r="C1417" s="2">
        <v>650</v>
      </c>
      <c r="D1417" s="19">
        <v>0.13</v>
      </c>
      <c r="E1417" s="11">
        <v>0.89</v>
      </c>
      <c r="F1417" s="2">
        <f t="shared" si="314"/>
        <v>870</v>
      </c>
      <c r="G1417" s="2">
        <f t="shared" si="309"/>
        <v>0.65</v>
      </c>
      <c r="H1417" s="2">
        <f t="shared" si="310"/>
        <v>0.74712643678160917</v>
      </c>
      <c r="I1417" s="12">
        <v>0.02</v>
      </c>
      <c r="J1417" s="12">
        <v>7.0000000000000007E-2</v>
      </c>
      <c r="K1417" s="12">
        <f t="shared" si="311"/>
        <v>0.74504252873563215</v>
      </c>
      <c r="L1417" s="12">
        <f t="shared" si="312"/>
        <v>1.5821689655172413</v>
      </c>
      <c r="M1417" s="2">
        <f t="shared" si="308"/>
        <v>395.54224137931033</v>
      </c>
      <c r="N1417" s="2"/>
      <c r="O1417" s="2">
        <f t="shared" ref="O1417" si="315">L1417*500</f>
        <v>791.08448275862065</v>
      </c>
      <c r="P1417" s="2"/>
      <c r="Q1417" s="2">
        <f t="shared" si="313"/>
        <v>1582.1689655172413</v>
      </c>
      <c r="R1417" s="28">
        <v>16.666666666666668</v>
      </c>
    </row>
    <row r="1418" spans="1:18" hidden="1" x14ac:dyDescent="0.25">
      <c r="A1418" s="16">
        <v>45801</v>
      </c>
      <c r="B1418" s="2" t="s">
        <v>102</v>
      </c>
      <c r="C1418" s="2">
        <v>650</v>
      </c>
      <c r="D1418" s="19">
        <v>0.62</v>
      </c>
      <c r="E1418" s="11">
        <v>0.1</v>
      </c>
      <c r="F1418" s="2">
        <f t="shared" si="314"/>
        <v>380</v>
      </c>
      <c r="G1418" s="2">
        <f t="shared" si="309"/>
        <v>0.65</v>
      </c>
      <c r="H1418" s="2">
        <f t="shared" si="310"/>
        <v>1.7105263157894737</v>
      </c>
      <c r="I1418" s="12">
        <v>0.02</v>
      </c>
      <c r="J1418" s="12">
        <v>7.0000000000000007E-2</v>
      </c>
      <c r="K1418" s="12">
        <f t="shared" si="311"/>
        <v>0.18005263157894738</v>
      </c>
      <c r="L1418" s="12">
        <f t="shared" si="312"/>
        <v>1.9805789473684212</v>
      </c>
      <c r="M1418" s="2">
        <f t="shared" si="308"/>
        <v>495.14473684210532</v>
      </c>
      <c r="N1418" s="2"/>
      <c r="O1418" s="2"/>
      <c r="P1418" s="2"/>
      <c r="Q1418" s="2">
        <f t="shared" si="313"/>
        <v>1980.5789473684213</v>
      </c>
      <c r="R1418" s="28">
        <v>16.666666666666668</v>
      </c>
    </row>
    <row r="1419" spans="1:18" hidden="1" x14ac:dyDescent="0.25">
      <c r="A1419" s="16">
        <v>45801</v>
      </c>
      <c r="B1419" s="2" t="s">
        <v>213</v>
      </c>
      <c r="C1419" s="2">
        <v>550</v>
      </c>
      <c r="D1419" s="19">
        <v>0.5</v>
      </c>
      <c r="E1419" s="11">
        <v>0.33</v>
      </c>
      <c r="F1419" s="2">
        <f t="shared" si="314"/>
        <v>500</v>
      </c>
      <c r="G1419" s="2">
        <f t="shared" si="309"/>
        <v>0.55000000000000004</v>
      </c>
      <c r="H1419" s="2">
        <f t="shared" si="310"/>
        <v>1.1000000000000001</v>
      </c>
      <c r="I1419" s="12">
        <v>0.02</v>
      </c>
      <c r="J1419" s="12">
        <v>7.0000000000000007E-2</v>
      </c>
      <c r="K1419" s="12">
        <f t="shared" si="311"/>
        <v>0.39270000000000005</v>
      </c>
      <c r="L1419" s="12">
        <f t="shared" si="312"/>
        <v>1.5827000000000002</v>
      </c>
      <c r="M1419" s="2">
        <f t="shared" si="308"/>
        <v>395.67500000000007</v>
      </c>
      <c r="N1419" s="2"/>
      <c r="O1419" s="2"/>
      <c r="P1419" s="2"/>
      <c r="Q1419" s="2">
        <f t="shared" si="313"/>
        <v>1582.7000000000003</v>
      </c>
      <c r="R1419" s="28">
        <v>16.666666666666668</v>
      </c>
    </row>
    <row r="1420" spans="1:18" hidden="1" x14ac:dyDescent="0.25">
      <c r="A1420" s="16">
        <v>45801</v>
      </c>
      <c r="B1420" s="2" t="s">
        <v>209</v>
      </c>
      <c r="C1420" s="2">
        <v>300</v>
      </c>
      <c r="D1420" s="19">
        <v>0.1</v>
      </c>
      <c r="E1420" s="11">
        <v>0.85</v>
      </c>
      <c r="F1420" s="2">
        <f t="shared" si="314"/>
        <v>900</v>
      </c>
      <c r="G1420" s="2">
        <f t="shared" si="309"/>
        <v>0.3</v>
      </c>
      <c r="H1420" s="2">
        <f t="shared" si="310"/>
        <v>0.33333333333333331</v>
      </c>
      <c r="I1420" s="12">
        <v>0.02</v>
      </c>
      <c r="J1420" s="12">
        <v>7.0000000000000007E-2</v>
      </c>
      <c r="K1420" s="12">
        <f t="shared" si="311"/>
        <v>0.35983333333333334</v>
      </c>
      <c r="L1420" s="12">
        <f t="shared" si="312"/>
        <v>0.78316666666666668</v>
      </c>
      <c r="M1420" s="2">
        <f t="shared" si="308"/>
        <v>195.79166666666666</v>
      </c>
      <c r="N1420" s="2"/>
      <c r="O1420" s="2"/>
      <c r="P1420" s="2"/>
      <c r="Q1420" s="2">
        <f t="shared" si="313"/>
        <v>783.16666666666663</v>
      </c>
      <c r="R1420" s="28">
        <v>16.666666666666668</v>
      </c>
    </row>
    <row r="1421" spans="1:18" hidden="1" x14ac:dyDescent="0.25">
      <c r="A1421" s="16">
        <v>45804</v>
      </c>
      <c r="B1421" s="2" t="s">
        <v>111</v>
      </c>
      <c r="C1421" s="2">
        <v>1100</v>
      </c>
      <c r="D1421" s="19">
        <v>0.27</v>
      </c>
      <c r="E1421" s="11">
        <v>0.115</v>
      </c>
      <c r="F1421" s="2">
        <f t="shared" si="314"/>
        <v>730</v>
      </c>
      <c r="G1421" s="2">
        <f t="shared" si="309"/>
        <v>1.1000000000000001</v>
      </c>
      <c r="H1421" s="2">
        <f t="shared" si="310"/>
        <v>1.5068493150684932</v>
      </c>
      <c r="I1421" s="12">
        <v>0.02</v>
      </c>
      <c r="J1421" s="12">
        <v>7.0000000000000007E-2</v>
      </c>
      <c r="K1421" s="12">
        <f t="shared" si="311"/>
        <v>0.18363767123287672</v>
      </c>
      <c r="L1421" s="12">
        <f t="shared" si="312"/>
        <v>1.7804869863013699</v>
      </c>
      <c r="M1421" s="2">
        <f t="shared" si="308"/>
        <v>445.12174657534246</v>
      </c>
      <c r="N1421" s="2"/>
      <c r="O1421" s="2"/>
      <c r="P1421" s="2"/>
      <c r="Q1421" s="2">
        <f t="shared" si="313"/>
        <v>1780.4869863013698</v>
      </c>
      <c r="R1421" s="28">
        <v>16.666666666666668</v>
      </c>
    </row>
    <row r="1422" spans="1:18" hidden="1" x14ac:dyDescent="0.25">
      <c r="A1422" s="16">
        <v>45804</v>
      </c>
      <c r="B1422" s="2" t="s">
        <v>222</v>
      </c>
      <c r="C1422" s="2">
        <v>670</v>
      </c>
      <c r="D1422" s="19">
        <v>0</v>
      </c>
      <c r="E1422" s="11">
        <v>0</v>
      </c>
      <c r="F1422" s="2">
        <f t="shared" si="314"/>
        <v>1000</v>
      </c>
      <c r="G1422" s="2">
        <f t="shared" si="309"/>
        <v>0.67</v>
      </c>
      <c r="H1422" s="2">
        <f t="shared" si="310"/>
        <v>0.67</v>
      </c>
      <c r="I1422" s="12">
        <v>0.02</v>
      </c>
      <c r="J1422" s="12">
        <v>7.0000000000000007E-2</v>
      </c>
      <c r="K1422" s="12">
        <f t="shared" si="311"/>
        <v>0</v>
      </c>
      <c r="L1422" s="12">
        <f t="shared" si="312"/>
        <v>0.76</v>
      </c>
      <c r="M1422" s="2"/>
      <c r="N1422" s="2"/>
      <c r="O1422" s="2">
        <f>L1422*500</f>
        <v>380</v>
      </c>
      <c r="P1422" s="2"/>
      <c r="Q1422" s="2">
        <f t="shared" si="313"/>
        <v>760</v>
      </c>
      <c r="R1422" s="28">
        <v>16.666666666666668</v>
      </c>
    </row>
    <row r="1423" spans="1:18" hidden="1" x14ac:dyDescent="0.25">
      <c r="A1423" s="16">
        <v>45804</v>
      </c>
      <c r="B1423" s="2" t="s">
        <v>142</v>
      </c>
      <c r="C1423" s="2">
        <v>380</v>
      </c>
      <c r="D1423" s="19">
        <v>0.55000000000000004</v>
      </c>
      <c r="E1423" s="11">
        <v>0.26500000000000001</v>
      </c>
      <c r="F1423" s="2">
        <f t="shared" si="314"/>
        <v>450</v>
      </c>
      <c r="G1423" s="2">
        <f t="shared" ref="G1423:G1430" si="316">C1423/1000</f>
        <v>0.38</v>
      </c>
      <c r="H1423" s="2">
        <f t="shared" ref="H1423:H1430" si="317">C1423/F1423</f>
        <v>0.84444444444444444</v>
      </c>
      <c r="I1423" s="12">
        <v>0.02</v>
      </c>
      <c r="J1423" s="12">
        <v>7.0000000000000007E-2</v>
      </c>
      <c r="K1423" s="12">
        <f t="shared" ref="K1423:K1430" si="318">SUM(H1423:J1423)*E1423</f>
        <v>0.24762777777777778</v>
      </c>
      <c r="L1423" s="12">
        <f t="shared" ref="L1423:L1430" si="319">SUM(H1423:K1423)</f>
        <v>1.1820722222222222</v>
      </c>
      <c r="M1423" s="2">
        <f t="shared" ref="M1423:M1428" si="320">L1423*250</f>
        <v>295.51805555555552</v>
      </c>
      <c r="N1423" s="2"/>
      <c r="O1423" s="2"/>
      <c r="P1423" s="2"/>
      <c r="Q1423" s="2">
        <f t="shared" ref="Q1423:Q1430" si="321">L1423*1000</f>
        <v>1182.0722222222221</v>
      </c>
      <c r="R1423" s="28">
        <v>16.666666666666668</v>
      </c>
    </row>
    <row r="1424" spans="1:18" hidden="1" x14ac:dyDescent="0.25">
      <c r="A1424" s="16">
        <v>45804</v>
      </c>
      <c r="B1424" s="2" t="s">
        <v>223</v>
      </c>
      <c r="C1424" s="2">
        <v>600</v>
      </c>
      <c r="D1424" s="19">
        <v>0.47</v>
      </c>
      <c r="E1424" s="11">
        <v>0.23</v>
      </c>
      <c r="F1424" s="2">
        <f t="shared" si="314"/>
        <v>530</v>
      </c>
      <c r="G1424" s="2">
        <f t="shared" si="316"/>
        <v>0.6</v>
      </c>
      <c r="H1424" s="2">
        <f t="shared" si="317"/>
        <v>1.1320754716981132</v>
      </c>
      <c r="I1424" s="12">
        <v>0.02</v>
      </c>
      <c r="J1424" s="12">
        <v>7.0000000000000007E-2</v>
      </c>
      <c r="K1424" s="12">
        <f t="shared" si="318"/>
        <v>0.28107735849056609</v>
      </c>
      <c r="L1424" s="12">
        <f t="shared" si="319"/>
        <v>1.5031528301886794</v>
      </c>
      <c r="M1424" s="2">
        <f t="shared" si="320"/>
        <v>375.78820754716986</v>
      </c>
      <c r="N1424" s="2"/>
      <c r="O1424" s="2"/>
      <c r="P1424" s="2"/>
      <c r="Q1424" s="2">
        <f t="shared" si="321"/>
        <v>1503.1528301886794</v>
      </c>
      <c r="R1424" s="28">
        <v>16.666666666666668</v>
      </c>
    </row>
    <row r="1425" spans="1:18" hidden="1" x14ac:dyDescent="0.25">
      <c r="A1425" s="16">
        <v>45806</v>
      </c>
      <c r="B1425" s="2" t="s">
        <v>224</v>
      </c>
      <c r="C1425" s="2">
        <v>600</v>
      </c>
      <c r="D1425" s="19">
        <v>0.6</v>
      </c>
      <c r="E1425" s="11">
        <v>0.252</v>
      </c>
      <c r="F1425" s="2">
        <f t="shared" si="314"/>
        <v>400</v>
      </c>
      <c r="G1425" s="2">
        <f t="shared" si="316"/>
        <v>0.6</v>
      </c>
      <c r="H1425" s="2">
        <f t="shared" si="317"/>
        <v>1.5</v>
      </c>
      <c r="I1425" s="12">
        <v>0.02</v>
      </c>
      <c r="J1425" s="12">
        <v>7.0000000000000007E-2</v>
      </c>
      <c r="K1425" s="12">
        <f t="shared" si="318"/>
        <v>0.40068000000000004</v>
      </c>
      <c r="L1425" s="12">
        <f t="shared" si="319"/>
        <v>1.9906800000000002</v>
      </c>
      <c r="M1425" s="2"/>
      <c r="N1425" s="2"/>
      <c r="O1425" s="2">
        <f>L1425*500</f>
        <v>995.34000000000015</v>
      </c>
      <c r="P1425" s="2"/>
      <c r="Q1425" s="2">
        <f t="shared" si="321"/>
        <v>1990.6800000000003</v>
      </c>
      <c r="R1425" s="28">
        <v>16.666666666666668</v>
      </c>
    </row>
    <row r="1426" spans="1:18" hidden="1" x14ac:dyDescent="0.25">
      <c r="A1426" s="16">
        <v>45806</v>
      </c>
      <c r="B1426" s="2" t="s">
        <v>102</v>
      </c>
      <c r="C1426" s="2">
        <v>600</v>
      </c>
      <c r="D1426" s="19">
        <v>0.6</v>
      </c>
      <c r="E1426" s="11">
        <v>0.246</v>
      </c>
      <c r="F1426" s="2">
        <f t="shared" si="314"/>
        <v>400</v>
      </c>
      <c r="G1426" s="2">
        <f t="shared" si="316"/>
        <v>0.6</v>
      </c>
      <c r="H1426" s="2">
        <f t="shared" si="317"/>
        <v>1.5</v>
      </c>
      <c r="I1426" s="12">
        <v>0.02</v>
      </c>
      <c r="J1426" s="12">
        <v>7.0000000000000007E-2</v>
      </c>
      <c r="K1426" s="12">
        <f t="shared" si="318"/>
        <v>0.39113999999999999</v>
      </c>
      <c r="L1426" s="12">
        <f t="shared" si="319"/>
        <v>1.9811400000000001</v>
      </c>
      <c r="M1426" s="2">
        <f t="shared" si="320"/>
        <v>495.28500000000003</v>
      </c>
      <c r="N1426" s="2"/>
      <c r="O1426" s="2"/>
      <c r="P1426" s="2"/>
      <c r="Q1426" s="2">
        <f t="shared" si="321"/>
        <v>1981.14</v>
      </c>
      <c r="R1426" s="28">
        <v>16.666666666666668</v>
      </c>
    </row>
    <row r="1427" spans="1:18" hidden="1" x14ac:dyDescent="0.25">
      <c r="A1427" s="16">
        <v>45806</v>
      </c>
      <c r="B1427" s="2" t="s">
        <v>205</v>
      </c>
      <c r="C1427" s="2">
        <v>1000</v>
      </c>
      <c r="D1427" s="19">
        <v>0.41</v>
      </c>
      <c r="E1427" s="11">
        <v>0.11</v>
      </c>
      <c r="F1427" s="2">
        <f t="shared" si="314"/>
        <v>590</v>
      </c>
      <c r="G1427" s="2">
        <f t="shared" si="316"/>
        <v>1</v>
      </c>
      <c r="H1427" s="2">
        <f t="shared" si="317"/>
        <v>1.6949152542372881</v>
      </c>
      <c r="I1427" s="12">
        <v>0.02</v>
      </c>
      <c r="J1427" s="12">
        <v>7.0000000000000007E-2</v>
      </c>
      <c r="K1427" s="12">
        <f t="shared" si="318"/>
        <v>0.19634067796610169</v>
      </c>
      <c r="L1427" s="12">
        <f t="shared" si="319"/>
        <v>1.9812559322033898</v>
      </c>
      <c r="M1427" s="2">
        <f t="shared" si="320"/>
        <v>495.31398305084747</v>
      </c>
      <c r="N1427" s="2"/>
      <c r="O1427" s="2"/>
      <c r="P1427" s="2"/>
      <c r="Q1427" s="2">
        <f t="shared" si="321"/>
        <v>1981.2559322033899</v>
      </c>
      <c r="R1427" s="28">
        <v>16.666666666666668</v>
      </c>
    </row>
    <row r="1428" spans="1:18" hidden="1" x14ac:dyDescent="0.25">
      <c r="A1428" s="16">
        <v>45806</v>
      </c>
      <c r="B1428" s="2" t="s">
        <v>120</v>
      </c>
      <c r="C1428" s="2">
        <v>270</v>
      </c>
      <c r="D1428" s="19">
        <v>0.53</v>
      </c>
      <c r="E1428" s="11">
        <v>0.36</v>
      </c>
      <c r="F1428" s="2">
        <f t="shared" si="314"/>
        <v>470</v>
      </c>
      <c r="G1428" s="2">
        <f t="shared" si="316"/>
        <v>0.27</v>
      </c>
      <c r="H1428" s="2">
        <f t="shared" si="317"/>
        <v>0.57446808510638303</v>
      </c>
      <c r="I1428" s="12">
        <v>0.02</v>
      </c>
      <c r="J1428" s="12">
        <v>7.0000000000000007E-2</v>
      </c>
      <c r="K1428" s="12">
        <f t="shared" si="318"/>
        <v>0.2392085106382979</v>
      </c>
      <c r="L1428" s="12">
        <f t="shared" si="319"/>
        <v>0.90367659574468107</v>
      </c>
      <c r="M1428" s="2">
        <f t="shared" si="320"/>
        <v>225.91914893617027</v>
      </c>
      <c r="N1428" s="2"/>
      <c r="O1428" s="2"/>
      <c r="P1428" s="2"/>
      <c r="Q1428" s="2">
        <f t="shared" si="321"/>
        <v>903.67659574468109</v>
      </c>
      <c r="R1428" s="28">
        <v>16.666666666666668</v>
      </c>
    </row>
    <row r="1429" spans="1:18" hidden="1" x14ac:dyDescent="0.25">
      <c r="A1429" s="16">
        <v>45806</v>
      </c>
      <c r="B1429" s="2" t="s">
        <v>180</v>
      </c>
      <c r="C1429" s="2">
        <v>700</v>
      </c>
      <c r="D1429" s="19">
        <v>0.21</v>
      </c>
      <c r="E1429" s="11">
        <v>0.745</v>
      </c>
      <c r="F1429" s="2">
        <f t="shared" si="314"/>
        <v>790</v>
      </c>
      <c r="G1429" s="2">
        <f t="shared" si="316"/>
        <v>0.7</v>
      </c>
      <c r="H1429" s="2">
        <f t="shared" si="317"/>
        <v>0.88607594936708856</v>
      </c>
      <c r="I1429" s="12">
        <v>0.02</v>
      </c>
      <c r="J1429" s="12">
        <v>7.0000000000000007E-2</v>
      </c>
      <c r="K1429" s="12">
        <f t="shared" si="318"/>
        <v>0.72717658227848092</v>
      </c>
      <c r="L1429" s="12">
        <f t="shared" si="319"/>
        <v>1.7032525316455693</v>
      </c>
      <c r="M1429" s="2">
        <f>L1429*250</f>
        <v>425.81313291139236</v>
      </c>
      <c r="N1429" s="2"/>
      <c r="O1429" s="2"/>
      <c r="P1429" s="2"/>
      <c r="Q1429" s="2">
        <f t="shared" si="321"/>
        <v>1703.2525316455694</v>
      </c>
      <c r="R1429" s="28">
        <v>16.666666666666668</v>
      </c>
    </row>
    <row r="1430" spans="1:18" hidden="1" x14ac:dyDescent="0.25">
      <c r="A1430" s="16">
        <v>45808</v>
      </c>
      <c r="B1430" s="2" t="s">
        <v>205</v>
      </c>
      <c r="C1430" s="2">
        <v>1000</v>
      </c>
      <c r="D1430" s="19">
        <v>0.35</v>
      </c>
      <c r="E1430" s="11">
        <v>0.216</v>
      </c>
      <c r="F1430" s="2">
        <f t="shared" si="314"/>
        <v>650</v>
      </c>
      <c r="G1430" s="2">
        <f t="shared" si="316"/>
        <v>1</v>
      </c>
      <c r="H1430" s="2">
        <f t="shared" si="317"/>
        <v>1.5384615384615385</v>
      </c>
      <c r="I1430" s="12">
        <v>0.02</v>
      </c>
      <c r="J1430" s="12">
        <v>7.0000000000000007E-2</v>
      </c>
      <c r="K1430" s="12">
        <f t="shared" si="318"/>
        <v>0.35174769230769232</v>
      </c>
      <c r="L1430" s="12">
        <f t="shared" si="319"/>
        <v>1.9802092307692309</v>
      </c>
      <c r="M1430" s="2">
        <f>L1430*250</f>
        <v>495.05230769230775</v>
      </c>
      <c r="N1430" s="2"/>
      <c r="O1430" s="2"/>
      <c r="P1430" s="2"/>
      <c r="Q1430" s="2">
        <f t="shared" si="321"/>
        <v>1980.209230769231</v>
      </c>
      <c r="R1430" s="28">
        <v>16.666666666666668</v>
      </c>
    </row>
    <row r="1431" spans="1:18" hidden="1" x14ac:dyDescent="0.25">
      <c r="A1431" s="16">
        <v>45811</v>
      </c>
      <c r="B1431" s="2" t="s">
        <v>225</v>
      </c>
      <c r="C1431" s="2">
        <v>450</v>
      </c>
      <c r="D1431" s="19">
        <v>7.0000000000000007E-2</v>
      </c>
      <c r="E1431" s="11">
        <v>0</v>
      </c>
      <c r="F1431" s="2">
        <f t="shared" ref="F1431:F1435" si="322">1000-1000*D1431</f>
        <v>930</v>
      </c>
      <c r="G1431" s="2">
        <f t="shared" ref="G1431:G1435" si="323">C1431/1000</f>
        <v>0.45</v>
      </c>
      <c r="H1431" s="2">
        <f t="shared" ref="H1431:H1435" si="324">C1431/F1431</f>
        <v>0.4838709677419355</v>
      </c>
      <c r="I1431" s="12">
        <v>0.02</v>
      </c>
      <c r="J1431" s="12">
        <v>7.0000000000000007E-2</v>
      </c>
      <c r="K1431" s="12">
        <f t="shared" ref="K1431:K1435" si="325">SUM(H1431:J1431)*E1431</f>
        <v>0</v>
      </c>
      <c r="L1431" s="12">
        <f t="shared" ref="L1431:L1435" si="326">SUM(H1431:K1431)</f>
        <v>0.57387096774193558</v>
      </c>
      <c r="M1431" s="2"/>
      <c r="N1431" s="2"/>
      <c r="O1431" s="2">
        <f>L1431*500</f>
        <v>286.9354838709678</v>
      </c>
      <c r="P1431" s="2"/>
      <c r="Q1431" s="2">
        <f t="shared" ref="Q1431:Q1435" si="327">L1431*1000</f>
        <v>573.8709677419356</v>
      </c>
      <c r="R1431" s="28">
        <v>16.666666666666668</v>
      </c>
    </row>
    <row r="1432" spans="1:18" hidden="1" x14ac:dyDescent="0.25">
      <c r="A1432" s="16">
        <v>45811</v>
      </c>
      <c r="B1432" s="2" t="s">
        <v>205</v>
      </c>
      <c r="C1432" s="2">
        <v>1000</v>
      </c>
      <c r="D1432" s="19">
        <v>0.33</v>
      </c>
      <c r="E1432" s="11">
        <v>0.252</v>
      </c>
      <c r="F1432" s="2">
        <f t="shared" si="322"/>
        <v>670</v>
      </c>
      <c r="G1432" s="2">
        <f t="shared" si="323"/>
        <v>1</v>
      </c>
      <c r="H1432" s="2">
        <f t="shared" si="324"/>
        <v>1.4925373134328359</v>
      </c>
      <c r="I1432" s="12">
        <v>0.02</v>
      </c>
      <c r="J1432" s="12">
        <v>7.0000000000000007E-2</v>
      </c>
      <c r="K1432" s="12">
        <f t="shared" si="325"/>
        <v>0.39879940298507466</v>
      </c>
      <c r="L1432" s="12">
        <f t="shared" si="326"/>
        <v>1.9813367164179105</v>
      </c>
      <c r="M1432" s="2">
        <f>L1432*250</f>
        <v>495.33417910447764</v>
      </c>
      <c r="N1432" s="2"/>
      <c r="O1432" s="2"/>
      <c r="P1432" s="2"/>
      <c r="Q1432" s="2">
        <f t="shared" si="327"/>
        <v>1981.3367164179106</v>
      </c>
      <c r="R1432" s="28">
        <v>16.666666666666668</v>
      </c>
    </row>
    <row r="1433" spans="1:18" hidden="1" x14ac:dyDescent="0.25">
      <c r="A1433" s="16">
        <v>45813</v>
      </c>
      <c r="B1433" s="2" t="s">
        <v>102</v>
      </c>
      <c r="C1433" s="2">
        <v>650</v>
      </c>
      <c r="D1433" s="19">
        <v>0.61</v>
      </c>
      <c r="E1433" s="11">
        <v>0.13</v>
      </c>
      <c r="F1433" s="2">
        <f t="shared" si="322"/>
        <v>390</v>
      </c>
      <c r="G1433" s="2">
        <f t="shared" si="323"/>
        <v>0.65</v>
      </c>
      <c r="H1433" s="2">
        <f t="shared" si="324"/>
        <v>1.6666666666666667</v>
      </c>
      <c r="I1433" s="12">
        <v>0.02</v>
      </c>
      <c r="J1433" s="12">
        <v>7.0000000000000007E-2</v>
      </c>
      <c r="K1433" s="12">
        <f t="shared" si="325"/>
        <v>0.22836666666666669</v>
      </c>
      <c r="L1433" s="12">
        <f t="shared" si="326"/>
        <v>1.9850333333333334</v>
      </c>
      <c r="M1433" s="2">
        <f>L1433*250</f>
        <v>496.25833333333338</v>
      </c>
      <c r="N1433" s="2"/>
      <c r="O1433" s="2"/>
      <c r="P1433" s="2"/>
      <c r="Q1433" s="2">
        <f t="shared" si="327"/>
        <v>1985.0333333333335</v>
      </c>
      <c r="R1433" s="28">
        <v>16.666666666666668</v>
      </c>
    </row>
    <row r="1434" spans="1:18" hidden="1" x14ac:dyDescent="0.25">
      <c r="A1434" s="16">
        <v>45814</v>
      </c>
      <c r="B1434" s="2" t="s">
        <v>111</v>
      </c>
      <c r="C1434" s="2">
        <v>1100</v>
      </c>
      <c r="D1434" s="19">
        <v>0.27</v>
      </c>
      <c r="E1434" s="11">
        <v>0.115</v>
      </c>
      <c r="F1434" s="2">
        <f t="shared" si="322"/>
        <v>730</v>
      </c>
      <c r="G1434" s="2">
        <f t="shared" si="323"/>
        <v>1.1000000000000001</v>
      </c>
      <c r="H1434" s="2">
        <f t="shared" si="324"/>
        <v>1.5068493150684932</v>
      </c>
      <c r="I1434" s="12">
        <v>0.02</v>
      </c>
      <c r="J1434" s="12">
        <v>7.0000000000000007E-2</v>
      </c>
      <c r="K1434" s="12">
        <f t="shared" si="325"/>
        <v>0.18363767123287672</v>
      </c>
      <c r="L1434" s="12">
        <f t="shared" si="326"/>
        <v>1.7804869863013699</v>
      </c>
      <c r="M1434" s="2">
        <f t="shared" ref="M1434" si="328">L1434*250</f>
        <v>445.12174657534246</v>
      </c>
      <c r="N1434" s="2"/>
      <c r="O1434" s="2"/>
      <c r="P1434" s="2"/>
      <c r="Q1434" s="2">
        <f t="shared" si="327"/>
        <v>1780.4869863013698</v>
      </c>
      <c r="R1434" s="28">
        <v>16.666666666666668</v>
      </c>
    </row>
    <row r="1435" spans="1:18" hidden="1" x14ac:dyDescent="0.25">
      <c r="A1435" s="16">
        <v>45814</v>
      </c>
      <c r="B1435" s="2" t="s">
        <v>160</v>
      </c>
      <c r="C1435" s="2">
        <v>680</v>
      </c>
      <c r="D1435" s="19">
        <v>0.4</v>
      </c>
      <c r="E1435" s="11">
        <v>0.3</v>
      </c>
      <c r="F1435" s="2">
        <f t="shared" si="322"/>
        <v>600</v>
      </c>
      <c r="G1435" s="2">
        <f t="shared" si="323"/>
        <v>0.68</v>
      </c>
      <c r="H1435" s="2">
        <f t="shared" si="324"/>
        <v>1.1333333333333333</v>
      </c>
      <c r="I1435" s="12">
        <v>0.02</v>
      </c>
      <c r="J1435" s="12">
        <v>7.0000000000000007E-2</v>
      </c>
      <c r="K1435" s="12">
        <f t="shared" si="325"/>
        <v>0.36699999999999999</v>
      </c>
      <c r="L1435" s="12">
        <f t="shared" si="326"/>
        <v>1.5903333333333334</v>
      </c>
      <c r="M1435" s="2"/>
      <c r="N1435" s="2"/>
      <c r="O1435" s="2">
        <f t="shared" ref="O1435:O1442" si="329">L1435*500</f>
        <v>795.16666666666674</v>
      </c>
      <c r="P1435" s="2"/>
      <c r="Q1435" s="2">
        <f t="shared" si="327"/>
        <v>1590.3333333333335</v>
      </c>
      <c r="R1435" s="28">
        <v>16.666666666666668</v>
      </c>
    </row>
    <row r="1436" spans="1:18" hidden="1" x14ac:dyDescent="0.25">
      <c r="A1436" s="16">
        <v>45814</v>
      </c>
      <c r="B1436" s="2" t="s">
        <v>111</v>
      </c>
      <c r="C1436" s="2">
        <v>1350</v>
      </c>
      <c r="D1436" s="19">
        <v>0.19</v>
      </c>
      <c r="E1436" s="11">
        <v>0.19</v>
      </c>
      <c r="F1436" s="2">
        <f t="shared" ref="F1436:F1441" si="330">1000-1000*D1436</f>
        <v>810</v>
      </c>
      <c r="G1436" s="2">
        <f t="shared" ref="G1436:G1441" si="331">C1436/1000</f>
        <v>1.35</v>
      </c>
      <c r="H1436" s="2">
        <f t="shared" ref="H1436:H1441" si="332">C1436/F1436</f>
        <v>1.6666666666666667</v>
      </c>
      <c r="I1436" s="12">
        <v>0.02</v>
      </c>
      <c r="J1436" s="12">
        <v>7.0000000000000007E-2</v>
      </c>
      <c r="K1436" s="12">
        <f t="shared" ref="K1436:K1441" si="333">SUM(H1436:J1436)*E1436</f>
        <v>0.33376666666666671</v>
      </c>
      <c r="L1436" s="12">
        <f t="shared" ref="L1436:L1441" si="334">SUM(H1436:K1436)</f>
        <v>2.0904333333333334</v>
      </c>
      <c r="M1436" s="2">
        <f t="shared" ref="M1436:M1437" si="335">L1436*250</f>
        <v>522.60833333333335</v>
      </c>
      <c r="N1436" s="2"/>
      <c r="O1436" s="2">
        <f t="shared" si="329"/>
        <v>1045.2166666666667</v>
      </c>
      <c r="P1436" s="2"/>
      <c r="Q1436" s="2">
        <f t="shared" ref="Q1436:Q1437" si="336">L1436*1000</f>
        <v>2090.4333333333334</v>
      </c>
      <c r="R1436" s="28">
        <v>16.666666666666668</v>
      </c>
    </row>
    <row r="1437" spans="1:18" hidden="1" x14ac:dyDescent="0.25">
      <c r="A1437" s="16">
        <v>45814</v>
      </c>
      <c r="B1437" s="2" t="s">
        <v>160</v>
      </c>
      <c r="C1437" s="2">
        <v>1350</v>
      </c>
      <c r="D1437" s="19">
        <v>0.19</v>
      </c>
      <c r="E1437" s="11">
        <v>0</v>
      </c>
      <c r="F1437" s="2">
        <f t="shared" si="330"/>
        <v>810</v>
      </c>
      <c r="G1437" s="2">
        <f t="shared" si="331"/>
        <v>1.35</v>
      </c>
      <c r="H1437" s="2">
        <f t="shared" si="332"/>
        <v>1.6666666666666667</v>
      </c>
      <c r="I1437" s="12">
        <v>0.02</v>
      </c>
      <c r="J1437" s="12">
        <v>7.0000000000000007E-2</v>
      </c>
      <c r="K1437" s="12">
        <f t="shared" si="333"/>
        <v>0</v>
      </c>
      <c r="L1437" s="12">
        <f t="shared" si="334"/>
        <v>1.7566666666666668</v>
      </c>
      <c r="M1437" s="2">
        <f t="shared" si="335"/>
        <v>439.16666666666669</v>
      </c>
      <c r="N1437" s="2"/>
      <c r="O1437" s="2">
        <f t="shared" si="329"/>
        <v>878.33333333333337</v>
      </c>
      <c r="P1437" s="2"/>
      <c r="Q1437" s="2">
        <f t="shared" si="336"/>
        <v>1756.6666666666667</v>
      </c>
      <c r="R1437" s="28">
        <v>16.666666666666668</v>
      </c>
    </row>
    <row r="1438" spans="1:18" hidden="1" x14ac:dyDescent="0.25">
      <c r="A1438" s="16">
        <v>45815</v>
      </c>
      <c r="B1438" s="2" t="s">
        <v>91</v>
      </c>
      <c r="C1438" s="2">
        <v>500</v>
      </c>
      <c r="D1438" s="19">
        <v>0.24</v>
      </c>
      <c r="E1438" s="11">
        <v>0.15</v>
      </c>
      <c r="F1438" s="2">
        <f t="shared" si="330"/>
        <v>760</v>
      </c>
      <c r="G1438" s="2">
        <f t="shared" si="331"/>
        <v>0.5</v>
      </c>
      <c r="H1438" s="2">
        <f t="shared" si="332"/>
        <v>0.65789473684210531</v>
      </c>
      <c r="I1438" s="12">
        <v>0.02</v>
      </c>
      <c r="J1438" s="12">
        <v>7.0000000000000007E-2</v>
      </c>
      <c r="K1438" s="12">
        <f t="shared" si="333"/>
        <v>0.1121842105263158</v>
      </c>
      <c r="L1438" s="12">
        <f t="shared" si="334"/>
        <v>0.86007894736842117</v>
      </c>
      <c r="M1438" s="2"/>
      <c r="N1438" s="2"/>
      <c r="O1438" s="2">
        <f t="shared" si="329"/>
        <v>430.03947368421058</v>
      </c>
      <c r="P1438" s="2"/>
      <c r="Q1438" s="2"/>
      <c r="R1438" s="28">
        <v>16.666666666666668</v>
      </c>
    </row>
    <row r="1439" spans="1:18" hidden="1" x14ac:dyDescent="0.25">
      <c r="A1439" s="16">
        <v>45815</v>
      </c>
      <c r="B1439" s="2" t="s">
        <v>103</v>
      </c>
      <c r="C1439" s="2">
        <v>160</v>
      </c>
      <c r="D1439" s="19">
        <v>0</v>
      </c>
      <c r="E1439" s="11">
        <v>0.16</v>
      </c>
      <c r="F1439" s="2">
        <f t="shared" si="330"/>
        <v>1000</v>
      </c>
      <c r="G1439" s="2">
        <f t="shared" si="331"/>
        <v>0.16</v>
      </c>
      <c r="H1439" s="2">
        <f t="shared" si="332"/>
        <v>0.16</v>
      </c>
      <c r="I1439" s="12">
        <v>0.02</v>
      </c>
      <c r="J1439" s="12">
        <v>7.0000000000000007E-2</v>
      </c>
      <c r="K1439" s="12">
        <f t="shared" si="333"/>
        <v>0.04</v>
      </c>
      <c r="L1439" s="12">
        <f t="shared" si="334"/>
        <v>0.28999999999999998</v>
      </c>
      <c r="M1439" s="2"/>
      <c r="N1439" s="2"/>
      <c r="O1439" s="2">
        <f t="shared" si="329"/>
        <v>145</v>
      </c>
      <c r="P1439" s="2"/>
      <c r="Q1439" s="2"/>
      <c r="R1439" s="28">
        <v>16.666666666666668</v>
      </c>
    </row>
    <row r="1440" spans="1:18" hidden="1" x14ac:dyDescent="0.25">
      <c r="A1440" s="16">
        <v>45818</v>
      </c>
      <c r="B1440" s="2" t="s">
        <v>93</v>
      </c>
      <c r="C1440" s="2">
        <v>700</v>
      </c>
      <c r="D1440" s="19">
        <v>0.05</v>
      </c>
      <c r="E1440" s="11">
        <v>0.15</v>
      </c>
      <c r="F1440" s="2">
        <f t="shared" si="330"/>
        <v>950</v>
      </c>
      <c r="G1440" s="2">
        <f t="shared" si="331"/>
        <v>0.7</v>
      </c>
      <c r="H1440" s="2">
        <f t="shared" si="332"/>
        <v>0.73684210526315785</v>
      </c>
      <c r="I1440" s="12">
        <v>0.02</v>
      </c>
      <c r="J1440" s="12">
        <v>7.0000000000000007E-2</v>
      </c>
      <c r="K1440" s="12">
        <f t="shared" si="333"/>
        <v>0.12402631578947367</v>
      </c>
      <c r="L1440" s="12">
        <f t="shared" si="334"/>
        <v>0.95086842105263147</v>
      </c>
      <c r="M1440" s="2"/>
      <c r="N1440" s="2"/>
      <c r="O1440" s="2">
        <f t="shared" si="329"/>
        <v>475.43421052631572</v>
      </c>
      <c r="P1440" s="2"/>
      <c r="Q1440" s="2"/>
      <c r="R1440" s="28">
        <v>16.666666666666668</v>
      </c>
    </row>
    <row r="1441" spans="1:18" hidden="1" x14ac:dyDescent="0.25">
      <c r="A1441" s="16">
        <v>45818</v>
      </c>
      <c r="B1441" s="2" t="s">
        <v>160</v>
      </c>
      <c r="C1441" s="2">
        <v>1430</v>
      </c>
      <c r="D1441" s="19">
        <v>0.31</v>
      </c>
      <c r="E1441" s="11">
        <v>0.02</v>
      </c>
      <c r="F1441" s="2">
        <f t="shared" si="330"/>
        <v>690</v>
      </c>
      <c r="G1441" s="2">
        <f t="shared" si="331"/>
        <v>1.43</v>
      </c>
      <c r="H1441" s="2">
        <f t="shared" si="332"/>
        <v>2.0724637681159419</v>
      </c>
      <c r="I1441" s="12">
        <v>0.02</v>
      </c>
      <c r="J1441" s="12">
        <v>7.0000000000000007E-2</v>
      </c>
      <c r="K1441" s="12">
        <f t="shared" si="333"/>
        <v>4.3249275362318838E-2</v>
      </c>
      <c r="L1441" s="12">
        <f t="shared" si="334"/>
        <v>2.2057130434782608</v>
      </c>
      <c r="M1441" s="2"/>
      <c r="N1441" s="2"/>
      <c r="O1441" s="2">
        <f t="shared" si="329"/>
        <v>1102.8565217391304</v>
      </c>
      <c r="P1441" s="2"/>
      <c r="Q1441" s="2">
        <f t="shared" ref="Q1441:Q1447" si="337">L1441*1000</f>
        <v>2205.7130434782607</v>
      </c>
      <c r="R1441" s="28">
        <v>16.666666666666668</v>
      </c>
    </row>
    <row r="1442" spans="1:18" hidden="1" x14ac:dyDescent="0.25">
      <c r="A1442" s="16">
        <v>45818</v>
      </c>
      <c r="B1442" s="2" t="s">
        <v>111</v>
      </c>
      <c r="C1442" s="2">
        <v>1430</v>
      </c>
      <c r="D1442" s="19">
        <v>0.31</v>
      </c>
      <c r="E1442" s="11">
        <v>0.02</v>
      </c>
      <c r="F1442" s="2">
        <f t="shared" ref="F1442:F1447" si="338">1000-1000*D1442</f>
        <v>690</v>
      </c>
      <c r="G1442" s="2">
        <f t="shared" ref="G1442:G1447" si="339">C1442/1000</f>
        <v>1.43</v>
      </c>
      <c r="H1442" s="2">
        <f t="shared" ref="H1442:H1447" si="340">C1442/F1442</f>
        <v>2.0724637681159419</v>
      </c>
      <c r="I1442" s="12">
        <v>0.02</v>
      </c>
      <c r="J1442" s="12">
        <v>7.0000000000000007E-2</v>
      </c>
      <c r="K1442" s="12">
        <f t="shared" ref="K1442:K1447" si="341">SUM(H1442:J1442)*E1442</f>
        <v>4.3249275362318838E-2</v>
      </c>
      <c r="L1442" s="12">
        <f t="shared" ref="L1442:L1447" si="342">SUM(H1442:K1442)</f>
        <v>2.2057130434782608</v>
      </c>
      <c r="M1442" s="2">
        <f t="shared" ref="M1442" si="343">L1442*250</f>
        <v>551.42826086956518</v>
      </c>
      <c r="N1442" s="2"/>
      <c r="O1442" s="2">
        <f t="shared" si="329"/>
        <v>1102.8565217391304</v>
      </c>
      <c r="P1442" s="2"/>
      <c r="Q1442" s="2">
        <f t="shared" si="337"/>
        <v>2205.7130434782607</v>
      </c>
      <c r="R1442" s="28">
        <v>16.666666666666668</v>
      </c>
    </row>
    <row r="1443" spans="1:18" hidden="1" x14ac:dyDescent="0.25">
      <c r="A1443" s="16">
        <v>45818</v>
      </c>
      <c r="B1443" s="2" t="s">
        <v>102</v>
      </c>
      <c r="C1443" s="2">
        <v>600</v>
      </c>
      <c r="D1443" s="19">
        <v>0.61</v>
      </c>
      <c r="E1443" s="11">
        <v>0.16800000000000001</v>
      </c>
      <c r="F1443" s="2">
        <f t="shared" si="338"/>
        <v>390</v>
      </c>
      <c r="G1443" s="2">
        <f t="shared" si="339"/>
        <v>0.6</v>
      </c>
      <c r="H1443" s="2">
        <f t="shared" si="340"/>
        <v>1.5384615384615385</v>
      </c>
      <c r="I1443" s="12">
        <v>0.02</v>
      </c>
      <c r="J1443" s="12">
        <v>7.0000000000000007E-2</v>
      </c>
      <c r="K1443" s="12">
        <f t="shared" si="341"/>
        <v>0.27358153846153849</v>
      </c>
      <c r="L1443" s="12">
        <f t="shared" si="342"/>
        <v>1.9020430769230772</v>
      </c>
      <c r="M1443" s="2">
        <f>L1443*250</f>
        <v>475.51076923076931</v>
      </c>
      <c r="N1443" s="2"/>
      <c r="O1443" s="2"/>
      <c r="P1443" s="2"/>
      <c r="Q1443" s="2">
        <f t="shared" si="337"/>
        <v>1902.0430769230773</v>
      </c>
      <c r="R1443" s="28">
        <v>16.666666666666668</v>
      </c>
    </row>
    <row r="1444" spans="1:18" hidden="1" x14ac:dyDescent="0.25">
      <c r="A1444" s="16">
        <v>45818</v>
      </c>
      <c r="B1444" s="2" t="s">
        <v>106</v>
      </c>
      <c r="C1444" s="2">
        <v>380</v>
      </c>
      <c r="D1444" s="19">
        <v>0.03</v>
      </c>
      <c r="E1444" s="11">
        <v>0.22500000000000001</v>
      </c>
      <c r="F1444" s="2">
        <f t="shared" si="338"/>
        <v>970</v>
      </c>
      <c r="G1444" s="2">
        <f t="shared" si="339"/>
        <v>0.38</v>
      </c>
      <c r="H1444" s="2">
        <f t="shared" si="340"/>
        <v>0.39175257731958762</v>
      </c>
      <c r="I1444" s="12">
        <v>0.02</v>
      </c>
      <c r="J1444" s="12">
        <v>7.0000000000000007E-2</v>
      </c>
      <c r="K1444" s="12">
        <f t="shared" si="341"/>
        <v>0.10839432989690723</v>
      </c>
      <c r="L1444" s="12">
        <f t="shared" si="342"/>
        <v>0.59014690721649488</v>
      </c>
      <c r="M1444" s="2"/>
      <c r="N1444" s="2"/>
      <c r="O1444" s="2">
        <f>L1444*500</f>
        <v>295.07345360824746</v>
      </c>
      <c r="P1444" s="2"/>
      <c r="Q1444" s="2">
        <f t="shared" si="337"/>
        <v>590.14690721649492</v>
      </c>
      <c r="R1444" s="28">
        <v>16.666666666666668</v>
      </c>
    </row>
    <row r="1445" spans="1:18" hidden="1" x14ac:dyDescent="0.25">
      <c r="A1445" s="16">
        <v>45818</v>
      </c>
      <c r="B1445" s="2" t="s">
        <v>152</v>
      </c>
      <c r="C1445" s="2">
        <v>380</v>
      </c>
      <c r="D1445" s="19">
        <v>0.03</v>
      </c>
      <c r="E1445" s="11">
        <v>0.13400000000000001</v>
      </c>
      <c r="F1445" s="2">
        <f t="shared" si="338"/>
        <v>970</v>
      </c>
      <c r="G1445" s="2">
        <f t="shared" si="339"/>
        <v>0.38</v>
      </c>
      <c r="H1445" s="2">
        <f t="shared" si="340"/>
        <v>0.39175257731958762</v>
      </c>
      <c r="I1445" s="12">
        <v>0.02</v>
      </c>
      <c r="J1445" s="12">
        <v>7.0000000000000007E-2</v>
      </c>
      <c r="K1445" s="12">
        <f t="shared" si="341"/>
        <v>6.4554845360824745E-2</v>
      </c>
      <c r="L1445" s="12">
        <f t="shared" si="342"/>
        <v>0.54630742268041244</v>
      </c>
      <c r="M1445" s="2"/>
      <c r="N1445" s="2"/>
      <c r="O1445" s="2">
        <f>L1445*450</f>
        <v>245.83834020618559</v>
      </c>
      <c r="P1445" s="2"/>
      <c r="Q1445" s="2">
        <f t="shared" si="337"/>
        <v>546.3074226804124</v>
      </c>
      <c r="R1445" s="28">
        <v>16.666666666666668</v>
      </c>
    </row>
    <row r="1446" spans="1:18" hidden="1" x14ac:dyDescent="0.25">
      <c r="A1446" s="16">
        <v>45818</v>
      </c>
      <c r="B1446" s="2" t="s">
        <v>223</v>
      </c>
      <c r="C1446" s="2">
        <v>600</v>
      </c>
      <c r="D1446" s="19">
        <v>0.46</v>
      </c>
      <c r="E1446" s="11">
        <v>0.25</v>
      </c>
      <c r="F1446" s="2">
        <f t="shared" si="338"/>
        <v>540</v>
      </c>
      <c r="G1446" s="2">
        <f t="shared" si="339"/>
        <v>0.6</v>
      </c>
      <c r="H1446" s="2">
        <f t="shared" si="340"/>
        <v>1.1111111111111112</v>
      </c>
      <c r="I1446" s="12">
        <v>0.02</v>
      </c>
      <c r="J1446" s="12">
        <v>7.0000000000000007E-2</v>
      </c>
      <c r="K1446" s="12">
        <f t="shared" si="341"/>
        <v>0.30027777777777781</v>
      </c>
      <c r="L1446" s="12">
        <f t="shared" si="342"/>
        <v>1.5013888888888891</v>
      </c>
      <c r="M1446" s="2">
        <f>L1446*250</f>
        <v>375.34722222222229</v>
      </c>
      <c r="N1446" s="2"/>
      <c r="O1446" s="2"/>
      <c r="P1446" s="2"/>
      <c r="Q1446" s="2">
        <f t="shared" si="337"/>
        <v>1501.3888888888891</v>
      </c>
      <c r="R1446" s="28">
        <v>16.666666666666668</v>
      </c>
    </row>
    <row r="1447" spans="1:18" hidden="1" x14ac:dyDescent="0.25">
      <c r="A1447" s="16">
        <v>45818</v>
      </c>
      <c r="B1447" s="2" t="s">
        <v>120</v>
      </c>
      <c r="C1447" s="2">
        <v>300</v>
      </c>
      <c r="D1447" s="19">
        <v>0.52</v>
      </c>
      <c r="E1447" s="11">
        <v>0.26</v>
      </c>
      <c r="F1447" s="2">
        <f t="shared" si="338"/>
        <v>480</v>
      </c>
      <c r="G1447" s="2">
        <f t="shared" si="339"/>
        <v>0.3</v>
      </c>
      <c r="H1447" s="2">
        <f t="shared" si="340"/>
        <v>0.625</v>
      </c>
      <c r="I1447" s="12">
        <v>0.02</v>
      </c>
      <c r="J1447" s="12">
        <v>7.0000000000000007E-2</v>
      </c>
      <c r="K1447" s="12">
        <f t="shared" si="341"/>
        <v>0.18590000000000004</v>
      </c>
      <c r="L1447" s="12">
        <f t="shared" si="342"/>
        <v>0.90090000000000015</v>
      </c>
      <c r="M1447" s="2">
        <f t="shared" ref="M1447:M1448" si="344">L1447*250</f>
        <v>225.22500000000002</v>
      </c>
      <c r="N1447" s="2"/>
      <c r="O1447" s="2"/>
      <c r="P1447" s="2"/>
      <c r="Q1447" s="2">
        <f t="shared" si="337"/>
        <v>900.90000000000009</v>
      </c>
      <c r="R1447" s="28">
        <v>16.666666666666668</v>
      </c>
    </row>
    <row r="1448" spans="1:18" hidden="1" x14ac:dyDescent="0.25">
      <c r="A1448" s="16">
        <v>45819</v>
      </c>
      <c r="B1448" s="2" t="s">
        <v>111</v>
      </c>
      <c r="C1448" s="2">
        <v>1300</v>
      </c>
      <c r="D1448" s="19">
        <v>0.31</v>
      </c>
      <c r="E1448" s="11">
        <v>0.02</v>
      </c>
      <c r="F1448" s="2">
        <f t="shared" ref="F1448:F1451" si="345">1000-1000*D1448</f>
        <v>690</v>
      </c>
      <c r="G1448" s="2">
        <f t="shared" ref="G1448:G1451" si="346">C1448/1000</f>
        <v>1.3</v>
      </c>
      <c r="H1448" s="2">
        <f t="shared" ref="H1448:H1451" si="347">C1448/F1448</f>
        <v>1.8840579710144927</v>
      </c>
      <c r="I1448" s="12">
        <v>0.02</v>
      </c>
      <c r="J1448" s="12">
        <v>7.0000000000000007E-2</v>
      </c>
      <c r="K1448" s="12">
        <f t="shared" ref="K1448:K1451" si="348">SUM(H1448:J1448)*E1448</f>
        <v>3.9481159420289853E-2</v>
      </c>
      <c r="L1448" s="12">
        <f t="shared" ref="L1448:L1451" si="349">SUM(H1448:K1448)</f>
        <v>2.0135391304347827</v>
      </c>
      <c r="M1448" s="2">
        <f t="shared" si="344"/>
        <v>503.38478260869567</v>
      </c>
      <c r="N1448" s="2"/>
      <c r="O1448" s="2">
        <f t="shared" ref="O1448:O1449" si="350">L1448*500</f>
        <v>1006.7695652173913</v>
      </c>
      <c r="P1448" s="2"/>
      <c r="Q1448" s="2">
        <f t="shared" ref="Q1448:Q1451" si="351">L1448*1000</f>
        <v>2013.5391304347827</v>
      </c>
      <c r="R1448" s="28">
        <v>16.666666666666668</v>
      </c>
    </row>
    <row r="1449" spans="1:18" hidden="1" x14ac:dyDescent="0.25">
      <c r="A1449" s="16">
        <v>45819</v>
      </c>
      <c r="B1449" s="2" t="s">
        <v>160</v>
      </c>
      <c r="C1449" s="2">
        <v>1300</v>
      </c>
      <c r="D1449" s="19">
        <v>0.31</v>
      </c>
      <c r="E1449" s="11">
        <v>0.02</v>
      </c>
      <c r="F1449" s="2">
        <f t="shared" si="345"/>
        <v>690</v>
      </c>
      <c r="G1449" s="2">
        <f t="shared" si="346"/>
        <v>1.3</v>
      </c>
      <c r="H1449" s="2">
        <f t="shared" si="347"/>
        <v>1.8840579710144927</v>
      </c>
      <c r="I1449" s="12">
        <v>0.02</v>
      </c>
      <c r="J1449" s="12">
        <v>7.0000000000000007E-2</v>
      </c>
      <c r="K1449" s="12">
        <f t="shared" si="348"/>
        <v>3.9481159420289853E-2</v>
      </c>
      <c r="L1449" s="12">
        <f t="shared" si="349"/>
        <v>2.0135391304347827</v>
      </c>
      <c r="M1449" s="2"/>
      <c r="N1449" s="2"/>
      <c r="O1449" s="2">
        <f t="shared" si="350"/>
        <v>1006.7695652173913</v>
      </c>
      <c r="P1449" s="2"/>
      <c r="Q1449" s="2">
        <f t="shared" si="351"/>
        <v>2013.5391304347827</v>
      </c>
      <c r="R1449" s="28">
        <v>16.666666666666668</v>
      </c>
    </row>
    <row r="1450" spans="1:18" hidden="1" x14ac:dyDescent="0.25">
      <c r="A1450" s="16">
        <v>45814</v>
      </c>
      <c r="B1450" s="2" t="s">
        <v>138</v>
      </c>
      <c r="C1450" s="2">
        <v>800</v>
      </c>
      <c r="D1450" s="19">
        <v>0.56999999999999995</v>
      </c>
      <c r="E1450" s="11">
        <v>0.222</v>
      </c>
      <c r="F1450" s="2">
        <f t="shared" si="345"/>
        <v>430</v>
      </c>
      <c r="G1450" s="2">
        <f t="shared" si="346"/>
        <v>0.8</v>
      </c>
      <c r="H1450" s="2">
        <f t="shared" si="347"/>
        <v>1.8604651162790697</v>
      </c>
      <c r="I1450" s="12">
        <v>0.02</v>
      </c>
      <c r="J1450" s="12">
        <v>7.0000000000000007E-2</v>
      </c>
      <c r="K1450" s="12">
        <f t="shared" si="348"/>
        <v>0.43300325581395349</v>
      </c>
      <c r="L1450" s="12">
        <f t="shared" si="349"/>
        <v>2.3834683720930232</v>
      </c>
      <c r="M1450" s="2">
        <f>L1450*250</f>
        <v>595.86709302325585</v>
      </c>
      <c r="N1450" s="2"/>
      <c r="O1450" s="2"/>
      <c r="P1450" s="2"/>
      <c r="Q1450" s="2"/>
      <c r="R1450" s="28">
        <v>16.666666666666668</v>
      </c>
    </row>
    <row r="1451" spans="1:18" hidden="1" x14ac:dyDescent="0.25">
      <c r="A1451" s="16">
        <v>45819</v>
      </c>
      <c r="B1451" s="2" t="s">
        <v>138</v>
      </c>
      <c r="C1451" s="2">
        <v>680</v>
      </c>
      <c r="D1451" s="19">
        <v>0.57999999999999996</v>
      </c>
      <c r="E1451" s="11">
        <v>0.39400000000000002</v>
      </c>
      <c r="F1451" s="2">
        <f t="shared" si="345"/>
        <v>420</v>
      </c>
      <c r="G1451" s="2">
        <f t="shared" si="346"/>
        <v>0.68</v>
      </c>
      <c r="H1451" s="2">
        <f t="shared" si="347"/>
        <v>1.6190476190476191</v>
      </c>
      <c r="I1451" s="12">
        <v>0.02</v>
      </c>
      <c r="J1451" s="12">
        <v>7.0000000000000007E-2</v>
      </c>
      <c r="K1451" s="12">
        <f t="shared" si="348"/>
        <v>0.67336476190476202</v>
      </c>
      <c r="L1451" s="12">
        <f t="shared" si="349"/>
        <v>2.3824123809523812</v>
      </c>
      <c r="M1451" s="2">
        <f>L1451*250</f>
        <v>595.60309523809531</v>
      </c>
      <c r="N1451" s="2"/>
      <c r="O1451" s="2"/>
      <c r="P1451" s="2"/>
      <c r="Q1451" s="2">
        <f t="shared" si="351"/>
        <v>2382.4123809523812</v>
      </c>
      <c r="R1451" s="28">
        <v>16.666666666666668</v>
      </c>
    </row>
    <row r="1452" spans="1:18" hidden="1" x14ac:dyDescent="0.25">
      <c r="A1452" s="16">
        <v>45819</v>
      </c>
      <c r="B1452" s="2" t="s">
        <v>205</v>
      </c>
      <c r="C1452" s="2">
        <v>1100</v>
      </c>
      <c r="D1452" s="19">
        <v>0.49</v>
      </c>
      <c r="E1452" s="11">
        <v>0.06</v>
      </c>
      <c r="F1452" s="2">
        <f t="shared" ref="F1452:F1465" si="352">1000-1000*D1452</f>
        <v>510</v>
      </c>
      <c r="G1452" s="2">
        <f t="shared" ref="G1452:G1465" si="353">C1452/1000</f>
        <v>1.1000000000000001</v>
      </c>
      <c r="H1452" s="2">
        <f t="shared" ref="H1452:H1465" si="354">C1452/F1452</f>
        <v>2.1568627450980391</v>
      </c>
      <c r="I1452" s="12">
        <v>0.02</v>
      </c>
      <c r="J1452" s="12">
        <v>7.0000000000000007E-2</v>
      </c>
      <c r="K1452" s="12">
        <f t="shared" ref="K1452:K1465" si="355">SUM(H1452:J1452)*E1452</f>
        <v>0.13481176470588233</v>
      </c>
      <c r="L1452" s="12">
        <f t="shared" ref="L1452:L1465" si="356">SUM(H1452:K1452)</f>
        <v>2.3816745098039211</v>
      </c>
      <c r="M1452" s="2">
        <f>L1452*250</f>
        <v>595.41862745098024</v>
      </c>
      <c r="N1452" s="2"/>
      <c r="O1452" s="2"/>
      <c r="P1452" s="2"/>
      <c r="Q1452" s="2">
        <f t="shared" ref="Q1452:Q1465" si="357">L1452*1000</f>
        <v>2381.674509803921</v>
      </c>
      <c r="R1452" s="28">
        <v>16.666666666666668</v>
      </c>
    </row>
    <row r="1453" spans="1:18" hidden="1" x14ac:dyDescent="0.25">
      <c r="A1453" s="16">
        <v>45820</v>
      </c>
      <c r="B1453" s="2" t="s">
        <v>209</v>
      </c>
      <c r="C1453" s="2">
        <v>300</v>
      </c>
      <c r="D1453" s="19">
        <v>0</v>
      </c>
      <c r="E1453" s="11">
        <v>1</v>
      </c>
      <c r="F1453" s="2">
        <f t="shared" si="352"/>
        <v>1000</v>
      </c>
      <c r="G1453" s="2">
        <f t="shared" si="353"/>
        <v>0.3</v>
      </c>
      <c r="H1453" s="2">
        <f t="shared" si="354"/>
        <v>0.3</v>
      </c>
      <c r="I1453" s="12">
        <v>0.02</v>
      </c>
      <c r="J1453" s="12">
        <v>7.0000000000000007E-2</v>
      </c>
      <c r="K1453" s="12">
        <f t="shared" si="355"/>
        <v>0.39</v>
      </c>
      <c r="L1453" s="12">
        <f t="shared" si="356"/>
        <v>0.78</v>
      </c>
      <c r="M1453" s="2">
        <f>L1453*250</f>
        <v>195</v>
      </c>
      <c r="N1453" s="2"/>
      <c r="O1453" s="2"/>
      <c r="P1453" s="2"/>
      <c r="Q1453" s="2">
        <f t="shared" si="357"/>
        <v>780</v>
      </c>
      <c r="R1453" s="28">
        <v>16.666666666666668</v>
      </c>
    </row>
    <row r="1454" spans="1:18" hidden="1" x14ac:dyDescent="0.25">
      <c r="A1454" s="16">
        <v>45822</v>
      </c>
      <c r="B1454" s="2" t="s">
        <v>111</v>
      </c>
      <c r="C1454" s="2">
        <v>1250</v>
      </c>
      <c r="D1454" s="19">
        <v>0.35</v>
      </c>
      <c r="E1454" s="11">
        <v>8.4000000000000005E-2</v>
      </c>
      <c r="F1454" s="2">
        <f t="shared" si="352"/>
        <v>650</v>
      </c>
      <c r="G1454" s="2">
        <f t="shared" si="353"/>
        <v>1.25</v>
      </c>
      <c r="H1454" s="2">
        <f t="shared" si="354"/>
        <v>1.9230769230769231</v>
      </c>
      <c r="I1454" s="12">
        <v>0.02</v>
      </c>
      <c r="J1454" s="12">
        <v>7.0000000000000007E-2</v>
      </c>
      <c r="K1454" s="12">
        <f t="shared" si="355"/>
        <v>0.16909846153846156</v>
      </c>
      <c r="L1454" s="12">
        <f t="shared" si="356"/>
        <v>2.1821753846153848</v>
      </c>
      <c r="M1454" s="2">
        <f t="shared" ref="M1454" si="358">L1454*250</f>
        <v>545.54384615384618</v>
      </c>
      <c r="N1454" s="2"/>
      <c r="O1454" s="2"/>
      <c r="P1454" s="2"/>
      <c r="Q1454" s="2">
        <f t="shared" si="357"/>
        <v>2182.1753846153847</v>
      </c>
      <c r="R1454" s="28">
        <v>16.666666666666668</v>
      </c>
    </row>
    <row r="1455" spans="1:18" hidden="1" x14ac:dyDescent="0.25">
      <c r="A1455" s="16">
        <v>45822</v>
      </c>
      <c r="B1455" s="2" t="s">
        <v>160</v>
      </c>
      <c r="C1455" s="2">
        <v>1250</v>
      </c>
      <c r="D1455" s="19">
        <v>0.35</v>
      </c>
      <c r="E1455" s="11">
        <v>8.7999999999999995E-2</v>
      </c>
      <c r="F1455" s="2">
        <f t="shared" si="352"/>
        <v>650</v>
      </c>
      <c r="G1455" s="2">
        <f t="shared" si="353"/>
        <v>1.25</v>
      </c>
      <c r="H1455" s="2">
        <f t="shared" si="354"/>
        <v>1.9230769230769231</v>
      </c>
      <c r="I1455" s="12">
        <v>0.02</v>
      </c>
      <c r="J1455" s="12">
        <v>7.0000000000000007E-2</v>
      </c>
      <c r="K1455" s="12">
        <f t="shared" si="355"/>
        <v>0.17715076923076922</v>
      </c>
      <c r="L1455" s="12">
        <f t="shared" si="356"/>
        <v>2.1902276923076922</v>
      </c>
      <c r="M1455" s="2"/>
      <c r="N1455" s="2"/>
      <c r="O1455" s="2">
        <f t="shared" ref="O1455:O1463" si="359">L1455*500</f>
        <v>1095.113846153846</v>
      </c>
      <c r="P1455" s="2"/>
      <c r="Q1455" s="2">
        <f t="shared" si="357"/>
        <v>2190.227692307692</v>
      </c>
      <c r="R1455" s="28">
        <v>16.666666666666668</v>
      </c>
    </row>
    <row r="1456" spans="1:18" hidden="1" x14ac:dyDescent="0.25">
      <c r="A1456" s="16">
        <v>45822</v>
      </c>
      <c r="B1456" s="2" t="s">
        <v>90</v>
      </c>
      <c r="C1456" s="2">
        <v>380</v>
      </c>
      <c r="D1456" s="19">
        <v>0.17499999999999999</v>
      </c>
      <c r="E1456" s="11">
        <v>0.37</v>
      </c>
      <c r="F1456" s="2">
        <f t="shared" si="352"/>
        <v>825</v>
      </c>
      <c r="G1456" s="2">
        <f t="shared" si="353"/>
        <v>0.38</v>
      </c>
      <c r="H1456" s="2">
        <f t="shared" si="354"/>
        <v>0.46060606060606063</v>
      </c>
      <c r="I1456" s="12">
        <v>0.02</v>
      </c>
      <c r="J1456" s="12">
        <v>7.0000000000000007E-2</v>
      </c>
      <c r="K1456" s="12">
        <f t="shared" si="355"/>
        <v>0.20372424242424245</v>
      </c>
      <c r="L1456" s="12">
        <f t="shared" si="356"/>
        <v>0.75433030303030313</v>
      </c>
      <c r="M1456" s="2"/>
      <c r="N1456" s="2"/>
      <c r="O1456" s="2">
        <f t="shared" si="359"/>
        <v>377.16515151515159</v>
      </c>
      <c r="P1456" s="2"/>
      <c r="Q1456" s="2">
        <f t="shared" si="357"/>
        <v>754.33030303030318</v>
      </c>
      <c r="R1456" s="28">
        <v>16.666666666666668</v>
      </c>
    </row>
    <row r="1457" spans="1:18" hidden="1" x14ac:dyDescent="0.25">
      <c r="A1457" s="16">
        <v>45822</v>
      </c>
      <c r="B1457" s="2" t="s">
        <v>95</v>
      </c>
      <c r="C1457" s="2">
        <v>450</v>
      </c>
      <c r="D1457" s="19">
        <v>0.23</v>
      </c>
      <c r="E1457" s="11">
        <v>0.114</v>
      </c>
      <c r="F1457" s="2">
        <f t="shared" si="352"/>
        <v>770</v>
      </c>
      <c r="G1457" s="2">
        <f t="shared" si="353"/>
        <v>0.45</v>
      </c>
      <c r="H1457" s="2">
        <f t="shared" si="354"/>
        <v>0.58441558441558439</v>
      </c>
      <c r="I1457" s="12">
        <v>0.02</v>
      </c>
      <c r="J1457" s="12">
        <v>7.0000000000000007E-2</v>
      </c>
      <c r="K1457" s="12">
        <f t="shared" si="355"/>
        <v>7.6883376623376617E-2</v>
      </c>
      <c r="L1457" s="12">
        <f t="shared" si="356"/>
        <v>0.75129896103896099</v>
      </c>
      <c r="M1457" s="2"/>
      <c r="N1457" s="2"/>
      <c r="O1457" s="2">
        <f t="shared" si="359"/>
        <v>375.64948051948051</v>
      </c>
      <c r="P1457" s="2"/>
      <c r="Q1457" s="2">
        <f t="shared" si="357"/>
        <v>751.29896103896101</v>
      </c>
      <c r="R1457" s="28">
        <v>16.666666666666668</v>
      </c>
    </row>
    <row r="1458" spans="1:18" hidden="1" x14ac:dyDescent="0.25">
      <c r="A1458" s="16">
        <v>45822</v>
      </c>
      <c r="B1458" s="2" t="s">
        <v>192</v>
      </c>
      <c r="C1458" s="2">
        <v>630</v>
      </c>
      <c r="D1458" s="19">
        <v>0.1</v>
      </c>
      <c r="E1458" s="11">
        <v>0.127</v>
      </c>
      <c r="F1458" s="2">
        <f t="shared" si="352"/>
        <v>900</v>
      </c>
      <c r="G1458" s="2">
        <f t="shared" si="353"/>
        <v>0.63</v>
      </c>
      <c r="H1458" s="2">
        <f t="shared" si="354"/>
        <v>0.7</v>
      </c>
      <c r="I1458" s="12">
        <v>0.02</v>
      </c>
      <c r="J1458" s="12">
        <v>7.0000000000000007E-2</v>
      </c>
      <c r="K1458" s="12">
        <f t="shared" si="355"/>
        <v>0.10033</v>
      </c>
      <c r="L1458" s="12">
        <f t="shared" si="356"/>
        <v>0.89033000000000007</v>
      </c>
      <c r="M1458" s="2"/>
      <c r="N1458" s="2"/>
      <c r="O1458" s="2">
        <f t="shared" si="359"/>
        <v>445.16500000000002</v>
      </c>
      <c r="P1458" s="2"/>
      <c r="Q1458" s="2">
        <f t="shared" si="357"/>
        <v>890.33</v>
      </c>
      <c r="R1458" s="28">
        <v>16.666666666666668</v>
      </c>
    </row>
    <row r="1459" spans="1:18" hidden="1" x14ac:dyDescent="0.25">
      <c r="A1459" s="16">
        <v>45822</v>
      </c>
      <c r="B1459" s="2" t="s">
        <v>93</v>
      </c>
      <c r="C1459" s="2">
        <v>630</v>
      </c>
      <c r="D1459" s="19">
        <v>0.1</v>
      </c>
      <c r="E1459" s="11">
        <v>0.255</v>
      </c>
      <c r="F1459" s="2">
        <f t="shared" si="352"/>
        <v>900</v>
      </c>
      <c r="G1459" s="2">
        <f t="shared" si="353"/>
        <v>0.63</v>
      </c>
      <c r="H1459" s="2">
        <f t="shared" si="354"/>
        <v>0.7</v>
      </c>
      <c r="I1459" s="12">
        <v>0.02</v>
      </c>
      <c r="J1459" s="12">
        <v>7.0000000000000007E-2</v>
      </c>
      <c r="K1459" s="12">
        <f t="shared" si="355"/>
        <v>0.20145000000000002</v>
      </c>
      <c r="L1459" s="12">
        <f t="shared" si="356"/>
        <v>0.99145000000000005</v>
      </c>
      <c r="M1459" s="2"/>
      <c r="N1459" s="2"/>
      <c r="O1459" s="2">
        <f t="shared" si="359"/>
        <v>495.72500000000002</v>
      </c>
      <c r="P1459" s="2"/>
      <c r="Q1459" s="2">
        <f t="shared" si="357"/>
        <v>991.45</v>
      </c>
      <c r="R1459" s="28">
        <v>16.666666666666668</v>
      </c>
    </row>
    <row r="1460" spans="1:18" hidden="1" x14ac:dyDescent="0.25">
      <c r="A1460" s="16">
        <v>45825</v>
      </c>
      <c r="B1460" s="2" t="s">
        <v>106</v>
      </c>
      <c r="C1460" s="2">
        <v>320</v>
      </c>
      <c r="D1460" s="19">
        <v>0</v>
      </c>
      <c r="E1460" s="11">
        <v>0.19700000000000001</v>
      </c>
      <c r="F1460" s="2">
        <f t="shared" si="352"/>
        <v>1000</v>
      </c>
      <c r="G1460" s="2">
        <f t="shared" si="353"/>
        <v>0.32</v>
      </c>
      <c r="H1460" s="2">
        <f t="shared" si="354"/>
        <v>0.32</v>
      </c>
      <c r="I1460" s="12">
        <v>0.02</v>
      </c>
      <c r="J1460" s="12">
        <v>7.0000000000000007E-2</v>
      </c>
      <c r="K1460" s="12">
        <f t="shared" si="355"/>
        <v>8.0770000000000008E-2</v>
      </c>
      <c r="L1460" s="12">
        <f t="shared" si="356"/>
        <v>0.49077000000000004</v>
      </c>
      <c r="M1460" s="2"/>
      <c r="N1460" s="2"/>
      <c r="O1460" s="2">
        <f t="shared" si="359"/>
        <v>245.38500000000002</v>
      </c>
      <c r="P1460" s="2"/>
      <c r="Q1460" s="2">
        <f t="shared" si="357"/>
        <v>490.77000000000004</v>
      </c>
      <c r="R1460" s="28">
        <v>16.666666666666668</v>
      </c>
    </row>
    <row r="1461" spans="1:18" hidden="1" x14ac:dyDescent="0.25">
      <c r="A1461" s="16">
        <v>45825</v>
      </c>
      <c r="B1461" s="2" t="s">
        <v>205</v>
      </c>
      <c r="C1461" s="2">
        <v>900</v>
      </c>
      <c r="D1461" s="19">
        <v>0.43269999999999997</v>
      </c>
      <c r="E1461" s="11">
        <v>0.42</v>
      </c>
      <c r="F1461" s="2">
        <f t="shared" si="352"/>
        <v>567.29999999999995</v>
      </c>
      <c r="G1461" s="2">
        <f t="shared" si="353"/>
        <v>0.9</v>
      </c>
      <c r="H1461" s="2">
        <f t="shared" si="354"/>
        <v>1.5864621893178215</v>
      </c>
      <c r="I1461" s="12">
        <v>0.02</v>
      </c>
      <c r="J1461" s="12">
        <v>7.0000000000000007E-2</v>
      </c>
      <c r="K1461" s="12">
        <f t="shared" si="355"/>
        <v>0.70411411951348502</v>
      </c>
      <c r="L1461" s="12">
        <f t="shared" si="356"/>
        <v>2.3805763088313068</v>
      </c>
      <c r="M1461" s="2">
        <f>L1461*250</f>
        <v>595.14407720782674</v>
      </c>
      <c r="N1461" s="2"/>
      <c r="O1461" s="2"/>
      <c r="P1461" s="2"/>
      <c r="Q1461" s="2">
        <f t="shared" si="357"/>
        <v>2380.576308831307</v>
      </c>
      <c r="R1461" s="28">
        <v>16.666666666666668</v>
      </c>
    </row>
    <row r="1462" spans="1:18" hidden="1" x14ac:dyDescent="0.25">
      <c r="A1462" s="16">
        <v>45825</v>
      </c>
      <c r="B1462" s="2" t="s">
        <v>108</v>
      </c>
      <c r="C1462" s="2">
        <v>350</v>
      </c>
      <c r="D1462" s="19">
        <v>0.1</v>
      </c>
      <c r="E1462" s="11">
        <v>0.36</v>
      </c>
      <c r="F1462" s="2">
        <f t="shared" si="352"/>
        <v>900</v>
      </c>
      <c r="G1462" s="2">
        <f t="shared" si="353"/>
        <v>0.35</v>
      </c>
      <c r="H1462" s="2">
        <f t="shared" si="354"/>
        <v>0.3888888888888889</v>
      </c>
      <c r="I1462" s="12">
        <v>0.02</v>
      </c>
      <c r="J1462" s="12">
        <v>7.0000000000000007E-2</v>
      </c>
      <c r="K1462" s="12">
        <f t="shared" si="355"/>
        <v>0.1724</v>
      </c>
      <c r="L1462" s="12">
        <f t="shared" si="356"/>
        <v>0.65128888888888892</v>
      </c>
      <c r="M1462" s="2"/>
      <c r="N1462" s="2"/>
      <c r="O1462" s="2">
        <f t="shared" si="359"/>
        <v>325.64444444444445</v>
      </c>
      <c r="P1462" s="2"/>
      <c r="Q1462" s="2">
        <f t="shared" si="357"/>
        <v>651.28888888888889</v>
      </c>
      <c r="R1462" s="28">
        <v>16.666666666666668</v>
      </c>
    </row>
    <row r="1463" spans="1:18" hidden="1" x14ac:dyDescent="0.25">
      <c r="A1463" s="16">
        <v>45825</v>
      </c>
      <c r="B1463" s="2" t="s">
        <v>92</v>
      </c>
      <c r="C1463" s="2">
        <v>350</v>
      </c>
      <c r="D1463" s="19">
        <v>0.1</v>
      </c>
      <c r="E1463" s="11">
        <v>0.442</v>
      </c>
      <c r="F1463" s="2">
        <f t="shared" si="352"/>
        <v>900</v>
      </c>
      <c r="G1463" s="2">
        <f t="shared" si="353"/>
        <v>0.35</v>
      </c>
      <c r="H1463" s="2">
        <f t="shared" si="354"/>
        <v>0.3888888888888889</v>
      </c>
      <c r="I1463" s="12">
        <v>0.02</v>
      </c>
      <c r="J1463" s="12">
        <v>7.0000000000000007E-2</v>
      </c>
      <c r="K1463" s="12">
        <f t="shared" si="355"/>
        <v>0.21166888888888891</v>
      </c>
      <c r="L1463" s="12">
        <f t="shared" si="356"/>
        <v>0.69055777777777783</v>
      </c>
      <c r="M1463" s="2"/>
      <c r="N1463" s="2"/>
      <c r="O1463" s="2">
        <f t="shared" si="359"/>
        <v>345.2788888888889</v>
      </c>
      <c r="P1463" s="2"/>
      <c r="Q1463" s="2">
        <f t="shared" si="357"/>
        <v>690.5577777777778</v>
      </c>
      <c r="R1463" s="28">
        <v>16.666666666666668</v>
      </c>
    </row>
    <row r="1464" spans="1:18" hidden="1" x14ac:dyDescent="0.25">
      <c r="A1464" s="16">
        <v>45825</v>
      </c>
      <c r="B1464" s="2" t="s">
        <v>192</v>
      </c>
      <c r="C1464" s="2">
        <v>700</v>
      </c>
      <c r="D1464" s="19">
        <v>0.125</v>
      </c>
      <c r="E1464" s="11">
        <v>0</v>
      </c>
      <c r="F1464" s="2">
        <f t="shared" si="352"/>
        <v>875</v>
      </c>
      <c r="G1464" s="2">
        <f t="shared" si="353"/>
        <v>0.7</v>
      </c>
      <c r="H1464" s="2">
        <f t="shared" si="354"/>
        <v>0.8</v>
      </c>
      <c r="I1464" s="12">
        <v>0.02</v>
      </c>
      <c r="J1464" s="12">
        <v>7.0000000000000007E-2</v>
      </c>
      <c r="K1464" s="12">
        <f t="shared" si="355"/>
        <v>0</v>
      </c>
      <c r="L1464" s="12">
        <f t="shared" si="356"/>
        <v>0.89000000000000012</v>
      </c>
      <c r="M1464" s="2"/>
      <c r="N1464" s="2"/>
      <c r="O1464" s="2">
        <f t="shared" ref="O1464:O1474" si="360">L1464*500</f>
        <v>445.00000000000006</v>
      </c>
      <c r="P1464" s="2"/>
      <c r="Q1464" s="2">
        <f t="shared" si="357"/>
        <v>890.00000000000011</v>
      </c>
      <c r="R1464" s="28">
        <v>16.666666666666668</v>
      </c>
    </row>
    <row r="1465" spans="1:18" hidden="1" x14ac:dyDescent="0.25">
      <c r="A1465" s="16">
        <v>45825</v>
      </c>
      <c r="B1465" s="2" t="s">
        <v>93</v>
      </c>
      <c r="C1465" s="2">
        <v>700</v>
      </c>
      <c r="D1465" s="19">
        <v>0.125</v>
      </c>
      <c r="E1465" s="11">
        <v>0.114</v>
      </c>
      <c r="F1465" s="2">
        <f t="shared" si="352"/>
        <v>875</v>
      </c>
      <c r="G1465" s="2">
        <f t="shared" si="353"/>
        <v>0.7</v>
      </c>
      <c r="H1465" s="2">
        <f t="shared" si="354"/>
        <v>0.8</v>
      </c>
      <c r="I1465" s="12">
        <v>0.02</v>
      </c>
      <c r="J1465" s="12">
        <v>7.0000000000000007E-2</v>
      </c>
      <c r="K1465" s="12">
        <f t="shared" si="355"/>
        <v>0.10146000000000002</v>
      </c>
      <c r="L1465" s="12">
        <f t="shared" si="356"/>
        <v>0.99146000000000012</v>
      </c>
      <c r="M1465" s="2"/>
      <c r="N1465" s="2"/>
      <c r="O1465" s="2">
        <f t="shared" si="360"/>
        <v>495.73000000000008</v>
      </c>
      <c r="P1465" s="2"/>
      <c r="Q1465" s="2">
        <f t="shared" si="357"/>
        <v>991.46000000000015</v>
      </c>
      <c r="R1465" s="28">
        <v>16.666666666666668</v>
      </c>
    </row>
    <row r="1466" spans="1:18" hidden="1" x14ac:dyDescent="0.25">
      <c r="A1466" s="16">
        <v>45826</v>
      </c>
      <c r="B1466" s="2" t="s">
        <v>145</v>
      </c>
      <c r="C1466" s="2">
        <v>330</v>
      </c>
      <c r="D1466" s="19">
        <v>0.32</v>
      </c>
      <c r="E1466" s="11">
        <v>0.2</v>
      </c>
      <c r="F1466" s="2">
        <f t="shared" ref="F1466:F1469" si="361">1000-1000*D1466</f>
        <v>680</v>
      </c>
      <c r="G1466" s="2">
        <f t="shared" ref="G1466:G1469" si="362">C1466/1000</f>
        <v>0.33</v>
      </c>
      <c r="H1466" s="2">
        <f t="shared" ref="H1466:H1469" si="363">C1466/F1466</f>
        <v>0.48529411764705882</v>
      </c>
      <c r="I1466" s="12">
        <v>0.02</v>
      </c>
      <c r="J1466" s="12">
        <v>7.0000000000000007E-2</v>
      </c>
      <c r="K1466" s="12">
        <f t="shared" ref="K1466:K1469" si="364">SUM(H1466:J1466)*E1466</f>
        <v>0.11505882352941176</v>
      </c>
      <c r="L1466" s="12">
        <f t="shared" ref="L1466:L1469" si="365">SUM(H1466:K1466)</f>
        <v>0.6903529411764705</v>
      </c>
      <c r="M1466" s="2"/>
      <c r="N1466" s="2"/>
      <c r="O1466" s="2">
        <f t="shared" si="360"/>
        <v>345.17647058823525</v>
      </c>
      <c r="P1466" s="2"/>
      <c r="Q1466" s="2">
        <f t="shared" ref="Q1466:Q1469" si="366">L1466*1000</f>
        <v>690.35294117647049</v>
      </c>
      <c r="R1466" s="28">
        <v>16.666666666666668</v>
      </c>
    </row>
    <row r="1467" spans="1:18" hidden="1" x14ac:dyDescent="0.25">
      <c r="A1467" s="16">
        <v>45826</v>
      </c>
      <c r="B1467" s="2" t="s">
        <v>206</v>
      </c>
      <c r="C1467" s="2">
        <v>400</v>
      </c>
      <c r="D1467" s="19">
        <v>0.2</v>
      </c>
      <c r="E1467" s="11">
        <v>0.17199999999999999</v>
      </c>
      <c r="F1467" s="2">
        <f t="shared" si="361"/>
        <v>800</v>
      </c>
      <c r="G1467" s="2">
        <f t="shared" si="362"/>
        <v>0.4</v>
      </c>
      <c r="H1467" s="2">
        <f t="shared" si="363"/>
        <v>0.5</v>
      </c>
      <c r="I1467" s="12">
        <v>0.02</v>
      </c>
      <c r="J1467" s="12">
        <v>7.0000000000000007E-2</v>
      </c>
      <c r="K1467" s="12">
        <f t="shared" si="364"/>
        <v>0.10148</v>
      </c>
      <c r="L1467" s="12">
        <f t="shared" si="365"/>
        <v>0.69148000000000009</v>
      </c>
      <c r="M1467" s="2"/>
      <c r="N1467" s="2"/>
      <c r="O1467" s="2">
        <f t="shared" si="360"/>
        <v>345.74000000000007</v>
      </c>
      <c r="P1467" s="2"/>
      <c r="Q1467" s="2">
        <f t="shared" si="366"/>
        <v>691.48000000000013</v>
      </c>
      <c r="R1467" s="28">
        <v>16.666666666666668</v>
      </c>
    </row>
    <row r="1468" spans="1:18" hidden="1" x14ac:dyDescent="0.25">
      <c r="A1468" s="16">
        <v>45826</v>
      </c>
      <c r="B1468" s="2" t="s">
        <v>84</v>
      </c>
      <c r="C1468" s="2">
        <v>800</v>
      </c>
      <c r="D1468" s="19">
        <v>0</v>
      </c>
      <c r="E1468" s="11">
        <v>0.114</v>
      </c>
      <c r="F1468" s="2">
        <f t="shared" si="361"/>
        <v>1000</v>
      </c>
      <c r="G1468" s="2">
        <f t="shared" si="362"/>
        <v>0.8</v>
      </c>
      <c r="H1468" s="2">
        <f t="shared" si="363"/>
        <v>0.8</v>
      </c>
      <c r="I1468" s="12">
        <v>0.02</v>
      </c>
      <c r="J1468" s="12">
        <v>7.0000000000000007E-2</v>
      </c>
      <c r="K1468" s="12">
        <f t="shared" si="364"/>
        <v>0.10146000000000002</v>
      </c>
      <c r="L1468" s="12">
        <f t="shared" si="365"/>
        <v>0.99146000000000012</v>
      </c>
      <c r="M1468" s="2"/>
      <c r="N1468" s="2"/>
      <c r="O1468" s="2">
        <f t="shared" si="360"/>
        <v>495.73000000000008</v>
      </c>
      <c r="P1468" s="2"/>
      <c r="Q1468" s="2">
        <f t="shared" si="366"/>
        <v>991.46000000000015</v>
      </c>
      <c r="R1468" s="28">
        <v>16.666666666666668</v>
      </c>
    </row>
    <row r="1469" spans="1:18" hidden="1" x14ac:dyDescent="0.25">
      <c r="A1469" s="16">
        <v>45826</v>
      </c>
      <c r="B1469" s="2" t="s">
        <v>100</v>
      </c>
      <c r="C1469" s="2">
        <v>600</v>
      </c>
      <c r="D1469" s="11">
        <v>0.19</v>
      </c>
      <c r="E1469" s="11">
        <v>7.1999999999999995E-2</v>
      </c>
      <c r="F1469" s="2">
        <f t="shared" si="361"/>
        <v>810</v>
      </c>
      <c r="G1469" s="2">
        <f t="shared" si="362"/>
        <v>0.6</v>
      </c>
      <c r="H1469" s="2">
        <f t="shared" si="363"/>
        <v>0.7407407407407407</v>
      </c>
      <c r="I1469" s="12">
        <v>0.02</v>
      </c>
      <c r="J1469" s="12">
        <v>7.0000000000000007E-2</v>
      </c>
      <c r="K1469" s="12">
        <f t="shared" si="364"/>
        <v>5.9813333333333329E-2</v>
      </c>
      <c r="L1469" s="12">
        <f t="shared" si="365"/>
        <v>0.89055407407407405</v>
      </c>
      <c r="M1469" s="2"/>
      <c r="N1469" s="2"/>
      <c r="O1469" s="2">
        <f t="shared" si="360"/>
        <v>445.27703703703702</v>
      </c>
      <c r="P1469" s="2"/>
      <c r="Q1469" s="2">
        <f t="shared" si="366"/>
        <v>890.55407407407404</v>
      </c>
      <c r="R1469" s="28">
        <v>16.666666666666668</v>
      </c>
    </row>
    <row r="1470" spans="1:18" hidden="1" x14ac:dyDescent="0.25">
      <c r="A1470" s="16">
        <v>45827</v>
      </c>
      <c r="B1470" s="2" t="s">
        <v>100</v>
      </c>
      <c r="C1470" s="2"/>
      <c r="D1470" s="11">
        <v>0</v>
      </c>
      <c r="E1470" s="11">
        <v>0</v>
      </c>
      <c r="F1470" s="2">
        <f t="shared" ref="F1470" si="367">1000-1000*D1470</f>
        <v>1000</v>
      </c>
      <c r="G1470" s="2">
        <f t="shared" ref="G1470" si="368">C1470/1000</f>
        <v>0</v>
      </c>
      <c r="H1470" s="2">
        <f t="shared" ref="H1470" si="369">C1470/F1470</f>
        <v>0</v>
      </c>
      <c r="I1470" s="12">
        <v>0.02</v>
      </c>
      <c r="J1470" s="12">
        <v>7.0000000000000007E-2</v>
      </c>
      <c r="K1470" s="12">
        <f t="shared" ref="K1470" si="370">SUM(H1470:J1470)*E1470</f>
        <v>0</v>
      </c>
      <c r="L1470" s="12">
        <f t="shared" ref="L1470" si="371">SUM(H1470:K1470)</f>
        <v>9.0000000000000011E-2</v>
      </c>
      <c r="M1470" s="2"/>
      <c r="N1470" s="2"/>
      <c r="O1470" s="2">
        <f t="shared" si="360"/>
        <v>45.000000000000007</v>
      </c>
      <c r="P1470" s="2"/>
      <c r="Q1470" s="2">
        <f t="shared" ref="Q1470" si="372">L1470*1000</f>
        <v>90.000000000000014</v>
      </c>
      <c r="R1470" s="28">
        <v>16.666666666666668</v>
      </c>
    </row>
    <row r="1471" spans="1:18" hidden="1" x14ac:dyDescent="0.25">
      <c r="A1471" s="16">
        <v>45827</v>
      </c>
      <c r="B1471" s="2" t="s">
        <v>104</v>
      </c>
      <c r="C1471" s="2">
        <v>110</v>
      </c>
      <c r="D1471" s="19">
        <v>0.74</v>
      </c>
      <c r="E1471" s="11">
        <v>0.52400000000000002</v>
      </c>
      <c r="F1471" s="2">
        <f t="shared" ref="F1471:F1474" si="373">1000-1000*D1471</f>
        <v>260</v>
      </c>
      <c r="G1471" s="2">
        <f t="shared" ref="G1471:G1474" si="374">C1471/1000</f>
        <v>0.11</v>
      </c>
      <c r="H1471" s="2">
        <f t="shared" ref="H1471:H1474" si="375">C1471/F1471</f>
        <v>0.42307692307692307</v>
      </c>
      <c r="I1471" s="12">
        <v>0.02</v>
      </c>
      <c r="J1471" s="12">
        <v>7.0000000000000007E-2</v>
      </c>
      <c r="K1471" s="12">
        <f t="shared" ref="K1471:K1474" si="376">SUM(H1471:J1471)*E1471</f>
        <v>0.26885230769230772</v>
      </c>
      <c r="L1471" s="12">
        <f t="shared" ref="L1471:L1474" si="377">SUM(H1471:K1471)</f>
        <v>0.78192923076923082</v>
      </c>
      <c r="M1471" s="2">
        <f t="shared" ref="M1471:M1472" si="378">L1471*250</f>
        <v>195.4823076923077</v>
      </c>
      <c r="N1471" s="2"/>
      <c r="O1471" s="2">
        <f t="shared" si="360"/>
        <v>390.9646153846154</v>
      </c>
      <c r="P1471" s="2"/>
      <c r="Q1471" s="2">
        <f t="shared" ref="Q1471:Q1474" si="379">L1471*1000</f>
        <v>781.9292307692308</v>
      </c>
      <c r="R1471" s="28">
        <v>16.666666666666668</v>
      </c>
    </row>
    <row r="1472" spans="1:18" hidden="1" x14ac:dyDescent="0.25">
      <c r="A1472" s="16">
        <v>45827</v>
      </c>
      <c r="B1472" s="2" t="s">
        <v>199</v>
      </c>
      <c r="C1472" s="2">
        <v>110</v>
      </c>
      <c r="D1472" s="19">
        <v>0.74</v>
      </c>
      <c r="E1472" s="11">
        <v>0.52400000000000002</v>
      </c>
      <c r="F1472" s="2">
        <f t="shared" si="373"/>
        <v>260</v>
      </c>
      <c r="G1472" s="2">
        <f t="shared" si="374"/>
        <v>0.11</v>
      </c>
      <c r="H1472" s="2">
        <f t="shared" si="375"/>
        <v>0.42307692307692307</v>
      </c>
      <c r="I1472" s="12">
        <v>0.02</v>
      </c>
      <c r="J1472" s="12">
        <v>7.0000000000000007E-2</v>
      </c>
      <c r="K1472" s="12">
        <f t="shared" si="376"/>
        <v>0.26885230769230772</v>
      </c>
      <c r="L1472" s="12">
        <f t="shared" si="377"/>
        <v>0.78192923076923082</v>
      </c>
      <c r="M1472" s="2">
        <f t="shared" si="378"/>
        <v>195.4823076923077</v>
      </c>
      <c r="N1472" s="2"/>
      <c r="O1472" s="2">
        <f t="shared" si="360"/>
        <v>390.9646153846154</v>
      </c>
      <c r="P1472" s="2"/>
      <c r="Q1472" s="2">
        <f t="shared" si="379"/>
        <v>781.9292307692308</v>
      </c>
      <c r="R1472" s="28">
        <v>16.666666666666668</v>
      </c>
    </row>
    <row r="1473" spans="1:18" hidden="1" x14ac:dyDescent="0.25">
      <c r="A1473" s="16">
        <v>45828</v>
      </c>
      <c r="B1473" s="2" t="s">
        <v>94</v>
      </c>
      <c r="C1473" s="2">
        <v>500</v>
      </c>
      <c r="D1473" s="19">
        <v>0.1</v>
      </c>
      <c r="E1473" s="11">
        <v>0.22500000000000001</v>
      </c>
      <c r="F1473" s="2">
        <f t="shared" si="373"/>
        <v>900</v>
      </c>
      <c r="G1473" s="2">
        <f t="shared" si="374"/>
        <v>0.5</v>
      </c>
      <c r="H1473" s="2">
        <f t="shared" si="375"/>
        <v>0.55555555555555558</v>
      </c>
      <c r="I1473" s="12">
        <v>0.02</v>
      </c>
      <c r="J1473" s="12">
        <v>7.0000000000000007E-2</v>
      </c>
      <c r="K1473" s="12">
        <f t="shared" si="376"/>
        <v>0.14525000000000002</v>
      </c>
      <c r="L1473" s="12">
        <f t="shared" si="377"/>
        <v>0.79080555555555565</v>
      </c>
      <c r="M1473" s="2"/>
      <c r="N1473" s="2"/>
      <c r="O1473" s="2">
        <f t="shared" si="360"/>
        <v>395.40277777777783</v>
      </c>
      <c r="P1473" s="2"/>
      <c r="Q1473" s="2">
        <f t="shared" si="379"/>
        <v>790.80555555555566</v>
      </c>
      <c r="R1473" s="28">
        <v>16.666666666666668</v>
      </c>
    </row>
    <row r="1474" spans="1:18" hidden="1" x14ac:dyDescent="0.25">
      <c r="A1474" s="16">
        <v>45828</v>
      </c>
      <c r="B1474" s="2" t="s">
        <v>95</v>
      </c>
      <c r="C1474" s="2">
        <v>500</v>
      </c>
      <c r="D1474" s="19">
        <v>0.1</v>
      </c>
      <c r="E1474" s="11">
        <v>0.22500000000000001</v>
      </c>
      <c r="F1474" s="2">
        <f t="shared" si="373"/>
        <v>900</v>
      </c>
      <c r="G1474" s="2">
        <f t="shared" si="374"/>
        <v>0.5</v>
      </c>
      <c r="H1474" s="2">
        <f t="shared" si="375"/>
        <v>0.55555555555555558</v>
      </c>
      <c r="I1474" s="12">
        <v>0.02</v>
      </c>
      <c r="J1474" s="12">
        <v>7.0000000000000007E-2</v>
      </c>
      <c r="K1474" s="12">
        <f t="shared" si="376"/>
        <v>0.14525000000000002</v>
      </c>
      <c r="L1474" s="12">
        <f t="shared" si="377"/>
        <v>0.79080555555555565</v>
      </c>
      <c r="M1474" s="2"/>
      <c r="N1474" s="2"/>
      <c r="O1474" s="2">
        <f t="shared" si="360"/>
        <v>395.40277777777783</v>
      </c>
      <c r="P1474" s="2"/>
      <c r="Q1474" s="2">
        <f t="shared" si="379"/>
        <v>790.80555555555566</v>
      </c>
      <c r="R1474" s="28">
        <v>16.666666666666668</v>
      </c>
    </row>
    <row r="1475" spans="1:18" hidden="1" x14ac:dyDescent="0.25">
      <c r="A1475" s="16">
        <v>45828</v>
      </c>
      <c r="B1475" s="2" t="s">
        <v>92</v>
      </c>
      <c r="C1475" s="2">
        <v>450</v>
      </c>
      <c r="D1475" s="19">
        <v>0</v>
      </c>
      <c r="E1475" s="11">
        <v>0.28000000000000003</v>
      </c>
      <c r="F1475" s="2">
        <f t="shared" ref="F1475:F1481" si="380">1000-1000*D1475</f>
        <v>1000</v>
      </c>
      <c r="G1475" s="2">
        <f t="shared" ref="G1475:G1481" si="381">C1475/1000</f>
        <v>0.45</v>
      </c>
      <c r="H1475" s="2">
        <f t="shared" ref="H1475:H1481" si="382">C1475/F1475</f>
        <v>0.45</v>
      </c>
      <c r="I1475" s="12">
        <v>0.02</v>
      </c>
      <c r="J1475" s="12">
        <v>7.0000000000000007E-2</v>
      </c>
      <c r="K1475" s="12">
        <f t="shared" ref="K1475:K1481" si="383">SUM(H1475:J1475)*E1475</f>
        <v>0.15120000000000003</v>
      </c>
      <c r="L1475" s="12">
        <f t="shared" ref="L1475:L1481" si="384">SUM(H1475:K1475)</f>
        <v>0.69120000000000004</v>
      </c>
      <c r="M1475" s="2"/>
      <c r="N1475" s="2"/>
      <c r="O1475" s="2">
        <f t="shared" ref="O1475:O1479" si="385">L1475*500</f>
        <v>345.6</v>
      </c>
      <c r="P1475" s="2"/>
      <c r="Q1475" s="2">
        <f t="shared" ref="Q1475:Q1481" si="386">L1475*1000</f>
        <v>691.2</v>
      </c>
      <c r="R1475" s="28">
        <v>16.666666666666668</v>
      </c>
    </row>
    <row r="1476" spans="1:18" hidden="1" x14ac:dyDescent="0.25">
      <c r="A1476" s="16">
        <v>45828</v>
      </c>
      <c r="B1476" s="2" t="s">
        <v>91</v>
      </c>
      <c r="C1476" s="2">
        <v>450</v>
      </c>
      <c r="D1476" s="19">
        <v>0.18</v>
      </c>
      <c r="E1476" s="11">
        <v>0.17499999999999999</v>
      </c>
      <c r="F1476" s="2">
        <f t="shared" si="380"/>
        <v>820</v>
      </c>
      <c r="G1476" s="2">
        <f t="shared" si="381"/>
        <v>0.45</v>
      </c>
      <c r="H1476" s="2">
        <f t="shared" si="382"/>
        <v>0.54878048780487809</v>
      </c>
      <c r="I1476" s="12">
        <v>0.02</v>
      </c>
      <c r="J1476" s="12">
        <v>7.0000000000000007E-2</v>
      </c>
      <c r="K1476" s="12">
        <f t="shared" si="383"/>
        <v>0.11178658536585367</v>
      </c>
      <c r="L1476" s="12">
        <f t="shared" si="384"/>
        <v>0.7505670731707319</v>
      </c>
      <c r="M1476" s="2"/>
      <c r="N1476" s="2"/>
      <c r="O1476" s="2">
        <f t="shared" si="385"/>
        <v>375.28353658536594</v>
      </c>
      <c r="P1476" s="2"/>
      <c r="Q1476" s="2">
        <f t="shared" si="386"/>
        <v>750.56707317073187</v>
      </c>
      <c r="R1476" s="28">
        <v>16.666666666666668</v>
      </c>
    </row>
    <row r="1477" spans="1:18" hidden="1" x14ac:dyDescent="0.25">
      <c r="A1477" s="16">
        <v>45828</v>
      </c>
      <c r="B1477" s="2" t="s">
        <v>90</v>
      </c>
      <c r="C1477" s="2">
        <v>450</v>
      </c>
      <c r="D1477" s="19">
        <v>0.18</v>
      </c>
      <c r="E1477" s="11">
        <v>0.17499999999999999</v>
      </c>
      <c r="F1477" s="2">
        <f t="shared" si="380"/>
        <v>820</v>
      </c>
      <c r="G1477" s="2">
        <f t="shared" si="381"/>
        <v>0.45</v>
      </c>
      <c r="H1477" s="2">
        <f t="shared" si="382"/>
        <v>0.54878048780487809</v>
      </c>
      <c r="I1477" s="12">
        <v>0.02</v>
      </c>
      <c r="J1477" s="12">
        <v>7.0000000000000007E-2</v>
      </c>
      <c r="K1477" s="12">
        <f t="shared" si="383"/>
        <v>0.11178658536585367</v>
      </c>
      <c r="L1477" s="12">
        <f t="shared" si="384"/>
        <v>0.7505670731707319</v>
      </c>
      <c r="M1477" s="2"/>
      <c r="N1477" s="2"/>
      <c r="O1477" s="2">
        <f t="shared" si="385"/>
        <v>375.28353658536594</v>
      </c>
      <c r="P1477" s="2"/>
      <c r="Q1477" s="2">
        <f t="shared" si="386"/>
        <v>750.56707317073187</v>
      </c>
      <c r="R1477" s="28">
        <v>16.666666666666668</v>
      </c>
    </row>
    <row r="1478" spans="1:18" hidden="1" x14ac:dyDescent="0.25">
      <c r="A1478" s="16">
        <v>45829</v>
      </c>
      <c r="B1478" s="2" t="s">
        <v>93</v>
      </c>
      <c r="C1478" s="2">
        <v>630</v>
      </c>
      <c r="D1478" s="19">
        <v>7.0000000000000007E-2</v>
      </c>
      <c r="E1478" s="11">
        <v>0.29199999999999998</v>
      </c>
      <c r="F1478" s="2">
        <f t="shared" si="380"/>
        <v>930</v>
      </c>
      <c r="G1478" s="2">
        <f t="shared" si="381"/>
        <v>0.63</v>
      </c>
      <c r="H1478" s="2">
        <f t="shared" si="382"/>
        <v>0.67741935483870963</v>
      </c>
      <c r="I1478" s="12">
        <v>0.02</v>
      </c>
      <c r="J1478" s="12">
        <v>7.0000000000000007E-2</v>
      </c>
      <c r="K1478" s="12">
        <f t="shared" si="383"/>
        <v>0.22408645161290319</v>
      </c>
      <c r="L1478" s="12">
        <f t="shared" si="384"/>
        <v>0.99150580645161279</v>
      </c>
      <c r="M1478" s="2"/>
      <c r="N1478" s="2"/>
      <c r="O1478" s="2">
        <f t="shared" si="385"/>
        <v>495.75290322580639</v>
      </c>
      <c r="P1478" s="2"/>
      <c r="Q1478" s="2">
        <f t="shared" si="386"/>
        <v>991.50580645161278</v>
      </c>
      <c r="R1478" s="28">
        <v>16.666666666666668</v>
      </c>
    </row>
    <row r="1479" spans="1:18" hidden="1" x14ac:dyDescent="0.25">
      <c r="A1479" s="16">
        <v>45829</v>
      </c>
      <c r="B1479" s="2" t="s">
        <v>192</v>
      </c>
      <c r="C1479" s="2">
        <v>630</v>
      </c>
      <c r="D1479" s="19">
        <v>7.0000000000000007E-2</v>
      </c>
      <c r="E1479" s="11">
        <v>0.16</v>
      </c>
      <c r="F1479" s="2">
        <f t="shared" si="380"/>
        <v>930</v>
      </c>
      <c r="G1479" s="2">
        <f t="shared" si="381"/>
        <v>0.63</v>
      </c>
      <c r="H1479" s="2">
        <f t="shared" si="382"/>
        <v>0.67741935483870963</v>
      </c>
      <c r="I1479" s="12">
        <v>0.02</v>
      </c>
      <c r="J1479" s="12">
        <v>7.0000000000000007E-2</v>
      </c>
      <c r="K1479" s="12">
        <f t="shared" si="383"/>
        <v>0.12278709677419354</v>
      </c>
      <c r="L1479" s="12">
        <f t="shared" si="384"/>
        <v>0.89020645161290313</v>
      </c>
      <c r="M1479" s="2"/>
      <c r="N1479" s="2"/>
      <c r="O1479" s="2">
        <f t="shared" si="385"/>
        <v>445.10322580645158</v>
      </c>
      <c r="P1479" s="2"/>
      <c r="Q1479" s="2">
        <f t="shared" si="386"/>
        <v>890.20645161290315</v>
      </c>
      <c r="R1479" s="28">
        <v>16.666666666666668</v>
      </c>
    </row>
    <row r="1480" spans="1:18" hidden="1" x14ac:dyDescent="0.25">
      <c r="A1480" s="16">
        <v>45829</v>
      </c>
      <c r="B1480" s="2" t="s">
        <v>205</v>
      </c>
      <c r="C1480" s="2">
        <v>1200</v>
      </c>
      <c r="D1480" s="19">
        <v>0.38</v>
      </c>
      <c r="E1480" s="11">
        <v>0.17599999999999999</v>
      </c>
      <c r="F1480" s="2">
        <f t="shared" si="380"/>
        <v>620</v>
      </c>
      <c r="G1480" s="2">
        <f t="shared" si="381"/>
        <v>1.2</v>
      </c>
      <c r="H1480" s="2">
        <f t="shared" si="382"/>
        <v>1.935483870967742</v>
      </c>
      <c r="I1480" s="12">
        <v>0.02</v>
      </c>
      <c r="J1480" s="12">
        <v>7.0000000000000007E-2</v>
      </c>
      <c r="K1480" s="12">
        <f t="shared" si="383"/>
        <v>0.35648516129032254</v>
      </c>
      <c r="L1480" s="12">
        <f t="shared" si="384"/>
        <v>2.3819690322580644</v>
      </c>
      <c r="M1480" s="2">
        <f>L1480*250</f>
        <v>595.49225806451614</v>
      </c>
      <c r="N1480" s="2"/>
      <c r="O1480" s="2"/>
      <c r="P1480" s="2"/>
      <c r="Q1480" s="2">
        <f t="shared" si="386"/>
        <v>2381.9690322580645</v>
      </c>
      <c r="R1480" s="28">
        <v>16.666666666666668</v>
      </c>
    </row>
    <row r="1481" spans="1:18" hidden="1" x14ac:dyDescent="0.25">
      <c r="A1481" s="16">
        <v>45829</v>
      </c>
      <c r="B1481" s="2" t="s">
        <v>204</v>
      </c>
      <c r="C1481" s="2">
        <v>1200</v>
      </c>
      <c r="D1481" s="19">
        <v>0.38</v>
      </c>
      <c r="E1481" s="11">
        <v>0.13100000000000001</v>
      </c>
      <c r="F1481" s="2">
        <f t="shared" si="380"/>
        <v>620</v>
      </c>
      <c r="G1481" s="2">
        <f t="shared" si="381"/>
        <v>1.2</v>
      </c>
      <c r="H1481" s="2">
        <f t="shared" si="382"/>
        <v>1.935483870967742</v>
      </c>
      <c r="I1481" s="12">
        <v>0.02</v>
      </c>
      <c r="J1481" s="12">
        <v>7.0000000000000007E-2</v>
      </c>
      <c r="K1481" s="12">
        <f t="shared" si="383"/>
        <v>0.26533838709677421</v>
      </c>
      <c r="L1481" s="12">
        <f t="shared" si="384"/>
        <v>2.2908222580645159</v>
      </c>
      <c r="M1481" s="2"/>
      <c r="N1481" s="2"/>
      <c r="O1481" s="2">
        <f>L1481*500</f>
        <v>1145.411129032258</v>
      </c>
      <c r="P1481" s="2"/>
      <c r="Q1481" s="2">
        <f t="shared" si="386"/>
        <v>2290.8222580645161</v>
      </c>
      <c r="R1481" s="28">
        <v>16.666666666666668</v>
      </c>
    </row>
    <row r="1482" spans="1:18" hidden="1" x14ac:dyDescent="0.25">
      <c r="A1482" s="16">
        <v>45829</v>
      </c>
      <c r="B1482" s="2" t="s">
        <v>92</v>
      </c>
      <c r="C1482" s="2">
        <v>420</v>
      </c>
      <c r="D1482" s="19">
        <v>0</v>
      </c>
      <c r="E1482" s="11">
        <v>0.28000000000000003</v>
      </c>
      <c r="F1482" s="2">
        <f t="shared" ref="F1482:F1490" si="387">1000-1000*D1482</f>
        <v>1000</v>
      </c>
      <c r="G1482" s="2">
        <f t="shared" ref="G1482:G1490" si="388">C1482/1000</f>
        <v>0.42</v>
      </c>
      <c r="H1482" s="2">
        <f t="shared" ref="H1482:H1490" si="389">C1482/F1482</f>
        <v>0.42</v>
      </c>
      <c r="I1482" s="12">
        <v>0.02</v>
      </c>
      <c r="J1482" s="12">
        <v>7.0000000000000007E-2</v>
      </c>
      <c r="K1482" s="12">
        <f t="shared" ref="K1482:K1490" si="390">SUM(H1482:J1482)*E1482</f>
        <v>0.14280000000000001</v>
      </c>
      <c r="L1482" s="12">
        <f t="shared" ref="L1482:L1490" si="391">SUM(H1482:K1482)</f>
        <v>0.65280000000000005</v>
      </c>
      <c r="M1482" s="2"/>
      <c r="N1482" s="2"/>
      <c r="O1482" s="2">
        <f t="shared" ref="O1482:O1488" si="392">L1482*500</f>
        <v>326.40000000000003</v>
      </c>
      <c r="P1482" s="2"/>
      <c r="Q1482" s="2">
        <f t="shared" ref="Q1482:Q1490" si="393">L1482*1000</f>
        <v>652.80000000000007</v>
      </c>
      <c r="R1482" s="28">
        <v>16.666666666666668</v>
      </c>
    </row>
    <row r="1483" spans="1:18" hidden="1" x14ac:dyDescent="0.25">
      <c r="A1483" s="16">
        <v>45832</v>
      </c>
      <c r="B1483" s="2" t="s">
        <v>234</v>
      </c>
      <c r="C1483" s="2">
        <v>430</v>
      </c>
      <c r="D1483" s="19">
        <v>0.25</v>
      </c>
      <c r="E1483" s="11">
        <v>0.13200000000000001</v>
      </c>
      <c r="F1483" s="2">
        <f t="shared" si="387"/>
        <v>750</v>
      </c>
      <c r="G1483" s="2">
        <f t="shared" si="388"/>
        <v>0.43</v>
      </c>
      <c r="H1483" s="2">
        <f t="shared" si="389"/>
        <v>0.57333333333333336</v>
      </c>
      <c r="I1483" s="12">
        <v>0.02</v>
      </c>
      <c r="J1483" s="12">
        <v>7.0000000000000007E-2</v>
      </c>
      <c r="K1483" s="12">
        <f t="shared" si="390"/>
        <v>8.7559999999999999E-2</v>
      </c>
      <c r="L1483" s="12">
        <f t="shared" si="391"/>
        <v>0.7508933333333333</v>
      </c>
      <c r="M1483" s="2"/>
      <c r="N1483" s="2"/>
      <c r="O1483" s="2">
        <f t="shared" si="392"/>
        <v>375.44666666666666</v>
      </c>
      <c r="P1483" s="2"/>
      <c r="Q1483" s="2">
        <f t="shared" si="393"/>
        <v>750.89333333333332</v>
      </c>
      <c r="R1483" s="28">
        <v>16.666666666666668</v>
      </c>
    </row>
    <row r="1484" spans="1:18" hidden="1" x14ac:dyDescent="0.25">
      <c r="A1484" s="16">
        <v>45832</v>
      </c>
      <c r="B1484" s="2" t="s">
        <v>235</v>
      </c>
      <c r="C1484" s="2">
        <v>430</v>
      </c>
      <c r="D1484" s="19">
        <v>0.25</v>
      </c>
      <c r="E1484" s="11">
        <v>0.13200000000000001</v>
      </c>
      <c r="F1484" s="2">
        <f t="shared" si="387"/>
        <v>750</v>
      </c>
      <c r="G1484" s="2">
        <f t="shared" si="388"/>
        <v>0.43</v>
      </c>
      <c r="H1484" s="2">
        <f t="shared" si="389"/>
        <v>0.57333333333333336</v>
      </c>
      <c r="I1484" s="12">
        <v>0.02</v>
      </c>
      <c r="J1484" s="12">
        <v>7.0000000000000007E-2</v>
      </c>
      <c r="K1484" s="12">
        <f t="shared" si="390"/>
        <v>8.7559999999999999E-2</v>
      </c>
      <c r="L1484" s="12">
        <f t="shared" si="391"/>
        <v>0.7508933333333333</v>
      </c>
      <c r="M1484" s="2"/>
      <c r="N1484" s="2"/>
      <c r="O1484" s="2">
        <f t="shared" si="392"/>
        <v>375.44666666666666</v>
      </c>
      <c r="P1484" s="2"/>
      <c r="Q1484" s="2">
        <f t="shared" si="393"/>
        <v>750.89333333333332</v>
      </c>
      <c r="R1484" s="28">
        <v>16.666666666666668</v>
      </c>
    </row>
    <row r="1485" spans="1:18" hidden="1" x14ac:dyDescent="0.25">
      <c r="A1485" s="16">
        <v>45832</v>
      </c>
      <c r="B1485" s="2" t="s">
        <v>154</v>
      </c>
      <c r="C1485" s="2">
        <v>430</v>
      </c>
      <c r="D1485" s="19">
        <v>0.22</v>
      </c>
      <c r="E1485" s="11">
        <v>7.9000000000000001E-2</v>
      </c>
      <c r="F1485" s="2">
        <f t="shared" si="387"/>
        <v>780</v>
      </c>
      <c r="G1485" s="2">
        <f t="shared" si="388"/>
        <v>0.43</v>
      </c>
      <c r="H1485" s="2">
        <f t="shared" si="389"/>
        <v>0.55128205128205132</v>
      </c>
      <c r="I1485" s="12">
        <v>0.02</v>
      </c>
      <c r="J1485" s="12">
        <v>7.0000000000000007E-2</v>
      </c>
      <c r="K1485" s="12">
        <f t="shared" si="390"/>
        <v>5.0661282051282064E-2</v>
      </c>
      <c r="L1485" s="12">
        <f t="shared" si="391"/>
        <v>0.69194333333333347</v>
      </c>
      <c r="M1485" s="2"/>
      <c r="N1485" s="2"/>
      <c r="O1485" s="2">
        <f t="shared" si="392"/>
        <v>345.97166666666675</v>
      </c>
      <c r="P1485" s="2"/>
      <c r="Q1485" s="2">
        <f t="shared" si="393"/>
        <v>691.9433333333335</v>
      </c>
      <c r="R1485" s="28">
        <v>16.666666666666668</v>
      </c>
    </row>
    <row r="1486" spans="1:18" hidden="1" x14ac:dyDescent="0.25">
      <c r="A1486" s="16">
        <v>45832</v>
      </c>
      <c r="B1486" s="2" t="s">
        <v>206</v>
      </c>
      <c r="C1486" s="2">
        <v>430</v>
      </c>
      <c r="D1486" s="19">
        <v>0.22</v>
      </c>
      <c r="E1486" s="11">
        <v>7.9000000000000001E-2</v>
      </c>
      <c r="F1486" s="2">
        <f t="shared" si="387"/>
        <v>780</v>
      </c>
      <c r="G1486" s="2">
        <f t="shared" si="388"/>
        <v>0.43</v>
      </c>
      <c r="H1486" s="2">
        <f t="shared" si="389"/>
        <v>0.55128205128205132</v>
      </c>
      <c r="I1486" s="12">
        <v>0.02</v>
      </c>
      <c r="J1486" s="12">
        <v>7.0000000000000007E-2</v>
      </c>
      <c r="K1486" s="12">
        <f t="shared" si="390"/>
        <v>5.0661282051282064E-2</v>
      </c>
      <c r="L1486" s="12">
        <f t="shared" si="391"/>
        <v>0.69194333333333347</v>
      </c>
      <c r="M1486" s="2"/>
      <c r="N1486" s="2"/>
      <c r="O1486" s="2">
        <f t="shared" si="392"/>
        <v>345.97166666666675</v>
      </c>
      <c r="P1486" s="2"/>
      <c r="Q1486" s="2">
        <f t="shared" si="393"/>
        <v>691.9433333333335</v>
      </c>
      <c r="R1486" s="28">
        <v>16.666666666666668</v>
      </c>
    </row>
    <row r="1487" spans="1:18" hidden="1" x14ac:dyDescent="0.25">
      <c r="A1487" s="16">
        <v>45832</v>
      </c>
      <c r="B1487" s="2" t="s">
        <v>192</v>
      </c>
      <c r="C1487" s="2">
        <v>600</v>
      </c>
      <c r="D1487" s="19">
        <v>0.15</v>
      </c>
      <c r="E1487" s="11">
        <v>0.246</v>
      </c>
      <c r="F1487" s="2">
        <f t="shared" si="387"/>
        <v>850</v>
      </c>
      <c r="G1487" s="2">
        <f t="shared" si="388"/>
        <v>0.6</v>
      </c>
      <c r="H1487" s="2">
        <f t="shared" si="389"/>
        <v>0.70588235294117652</v>
      </c>
      <c r="I1487" s="12">
        <v>0.02</v>
      </c>
      <c r="J1487" s="12">
        <v>7.0000000000000007E-2</v>
      </c>
      <c r="K1487" s="12">
        <f t="shared" si="390"/>
        <v>0.19578705882352943</v>
      </c>
      <c r="L1487" s="12">
        <f t="shared" si="391"/>
        <v>0.99166941176470591</v>
      </c>
      <c r="M1487" s="2"/>
      <c r="N1487" s="2"/>
      <c r="O1487" s="2">
        <f t="shared" si="392"/>
        <v>495.83470588235298</v>
      </c>
      <c r="P1487" s="2"/>
      <c r="Q1487" s="2">
        <f t="shared" si="393"/>
        <v>991.66941176470596</v>
      </c>
      <c r="R1487" s="28">
        <v>16.666666666666668</v>
      </c>
    </row>
    <row r="1488" spans="1:18" hidden="1" x14ac:dyDescent="0.25">
      <c r="A1488" s="16">
        <v>45832</v>
      </c>
      <c r="B1488" s="2" t="s">
        <v>93</v>
      </c>
      <c r="C1488" s="2">
        <v>600</v>
      </c>
      <c r="D1488" s="19">
        <v>0.15</v>
      </c>
      <c r="E1488" s="11">
        <v>0.12</v>
      </c>
      <c r="F1488" s="2">
        <f t="shared" si="387"/>
        <v>850</v>
      </c>
      <c r="G1488" s="2">
        <f t="shared" si="388"/>
        <v>0.6</v>
      </c>
      <c r="H1488" s="2">
        <f t="shared" si="389"/>
        <v>0.70588235294117652</v>
      </c>
      <c r="I1488" s="12">
        <v>0.02</v>
      </c>
      <c r="J1488" s="12">
        <v>7.0000000000000007E-2</v>
      </c>
      <c r="K1488" s="12">
        <f t="shared" si="390"/>
        <v>9.5505882352941177E-2</v>
      </c>
      <c r="L1488" s="12">
        <f t="shared" si="391"/>
        <v>0.8913882352941177</v>
      </c>
      <c r="M1488" s="2"/>
      <c r="N1488" s="2"/>
      <c r="O1488" s="2">
        <f t="shared" si="392"/>
        <v>445.69411764705887</v>
      </c>
      <c r="P1488" s="2"/>
      <c r="Q1488" s="2">
        <f t="shared" si="393"/>
        <v>891.38823529411775</v>
      </c>
      <c r="R1488" s="28">
        <v>16.666666666666668</v>
      </c>
    </row>
    <row r="1489" spans="1:18" hidden="1" x14ac:dyDescent="0.25">
      <c r="A1489" s="16">
        <v>45833</v>
      </c>
      <c r="B1489" s="2" t="s">
        <v>205</v>
      </c>
      <c r="C1489" s="2">
        <v>900</v>
      </c>
      <c r="D1489" s="19">
        <v>0.25</v>
      </c>
      <c r="E1489" s="11">
        <v>0.32</v>
      </c>
      <c r="F1489" s="2">
        <f t="shared" si="387"/>
        <v>750</v>
      </c>
      <c r="G1489" s="2">
        <f t="shared" si="388"/>
        <v>0.9</v>
      </c>
      <c r="H1489" s="2">
        <f t="shared" si="389"/>
        <v>1.2</v>
      </c>
      <c r="I1489" s="12">
        <v>0.02</v>
      </c>
      <c r="J1489" s="12">
        <v>7.0000000000000007E-2</v>
      </c>
      <c r="K1489" s="12">
        <f t="shared" si="390"/>
        <v>0.4128</v>
      </c>
      <c r="L1489" s="12">
        <f t="shared" si="391"/>
        <v>1.7028000000000001</v>
      </c>
      <c r="M1489" s="2">
        <f>L1489*250</f>
        <v>425.70000000000005</v>
      </c>
      <c r="N1489" s="2"/>
      <c r="O1489" s="2"/>
      <c r="P1489" s="2"/>
      <c r="Q1489" s="2">
        <f t="shared" si="393"/>
        <v>1702.8000000000002</v>
      </c>
      <c r="R1489" s="28">
        <v>16.666666666666668</v>
      </c>
    </row>
    <row r="1490" spans="1:18" hidden="1" x14ac:dyDescent="0.25">
      <c r="A1490" s="16">
        <v>45833</v>
      </c>
      <c r="B1490" s="2" t="s">
        <v>233</v>
      </c>
      <c r="C1490" s="2">
        <v>900</v>
      </c>
      <c r="D1490" s="19">
        <v>0.28000000000000003</v>
      </c>
      <c r="E1490" s="11">
        <v>0.18</v>
      </c>
      <c r="F1490" s="2">
        <f t="shared" si="387"/>
        <v>720</v>
      </c>
      <c r="G1490" s="2">
        <f t="shared" si="388"/>
        <v>0.9</v>
      </c>
      <c r="H1490" s="2">
        <f t="shared" si="389"/>
        <v>1.25</v>
      </c>
      <c r="I1490" s="12">
        <v>0.02</v>
      </c>
      <c r="J1490" s="12">
        <v>7.0000000000000007E-2</v>
      </c>
      <c r="K1490" s="12">
        <f t="shared" si="390"/>
        <v>0.2412</v>
      </c>
      <c r="L1490" s="12">
        <f t="shared" si="391"/>
        <v>1.5812000000000002</v>
      </c>
      <c r="M1490" s="2">
        <f>L1490*250</f>
        <v>395.30000000000007</v>
      </c>
      <c r="N1490" s="2"/>
      <c r="O1490" s="2"/>
      <c r="P1490" s="2"/>
      <c r="Q1490" s="2">
        <f t="shared" si="393"/>
        <v>1581.2000000000003</v>
      </c>
      <c r="R1490" s="28">
        <v>16.666666666666668</v>
      </c>
    </row>
    <row r="1491" spans="1:18" hidden="1" x14ac:dyDescent="0.25">
      <c r="A1491" s="16">
        <v>45834</v>
      </c>
      <c r="B1491" s="2" t="s">
        <v>104</v>
      </c>
      <c r="C1491" s="2">
        <v>120</v>
      </c>
      <c r="D1491" s="19">
        <v>0.71</v>
      </c>
      <c r="E1491" s="11">
        <v>0.55000000000000004</v>
      </c>
      <c r="F1491" s="2">
        <f t="shared" ref="F1491:F1510" si="394">1000-1000*D1491</f>
        <v>290</v>
      </c>
      <c r="G1491" s="2">
        <f t="shared" ref="G1491:G1510" si="395">C1491/1000</f>
        <v>0.12</v>
      </c>
      <c r="H1491" s="2">
        <f t="shared" ref="H1491:H1510" si="396">C1491/F1491</f>
        <v>0.41379310344827586</v>
      </c>
      <c r="I1491" s="12">
        <v>0.02</v>
      </c>
      <c r="J1491" s="12">
        <v>7.0000000000000007E-2</v>
      </c>
      <c r="K1491" s="12">
        <f t="shared" ref="K1491:K1510" si="397">SUM(H1491:J1491)*E1491</f>
        <v>0.27708620689655178</v>
      </c>
      <c r="L1491" s="12">
        <f t="shared" ref="L1491:L1510" si="398">SUM(H1491:K1491)</f>
        <v>0.78087931034482772</v>
      </c>
      <c r="M1491" s="2">
        <f t="shared" ref="M1491:M1492" si="399">L1491*250</f>
        <v>195.21982758620692</v>
      </c>
      <c r="N1491" s="2"/>
      <c r="O1491" s="2"/>
      <c r="P1491" s="2"/>
      <c r="Q1491" s="2">
        <f t="shared" ref="Q1491:Q1510" si="400">L1491*1000</f>
        <v>780.87931034482767</v>
      </c>
      <c r="R1491" s="28">
        <v>16.666666666666668</v>
      </c>
    </row>
    <row r="1492" spans="1:18" hidden="1" x14ac:dyDescent="0.25">
      <c r="A1492" s="16">
        <v>45834</v>
      </c>
      <c r="B1492" s="2" t="s">
        <v>105</v>
      </c>
      <c r="C1492" s="2">
        <v>120</v>
      </c>
      <c r="D1492" s="19">
        <v>0.71</v>
      </c>
      <c r="E1492" s="11">
        <v>0.39</v>
      </c>
      <c r="F1492" s="2">
        <f t="shared" si="394"/>
        <v>290</v>
      </c>
      <c r="G1492" s="2">
        <f t="shared" si="395"/>
        <v>0.12</v>
      </c>
      <c r="H1492" s="2">
        <f t="shared" si="396"/>
        <v>0.41379310344827586</v>
      </c>
      <c r="I1492" s="12">
        <v>0.02</v>
      </c>
      <c r="J1492" s="12">
        <v>7.0000000000000007E-2</v>
      </c>
      <c r="K1492" s="12">
        <f t="shared" si="397"/>
        <v>0.1964793103448276</v>
      </c>
      <c r="L1492" s="12">
        <f t="shared" si="398"/>
        <v>0.70027241379310345</v>
      </c>
      <c r="M1492" s="2">
        <f t="shared" si="399"/>
        <v>175.06810344827588</v>
      </c>
      <c r="N1492" s="2"/>
      <c r="O1492" s="2"/>
      <c r="P1492" s="2"/>
      <c r="Q1492" s="2">
        <f t="shared" si="400"/>
        <v>700.27241379310351</v>
      </c>
      <c r="R1492" s="28">
        <v>16.666666666666668</v>
      </c>
    </row>
    <row r="1493" spans="1:18" hidden="1" x14ac:dyDescent="0.25">
      <c r="A1493" s="16">
        <v>45834</v>
      </c>
      <c r="B1493" s="2" t="s">
        <v>234</v>
      </c>
      <c r="C1493" s="2">
        <v>350</v>
      </c>
      <c r="D1493" s="19">
        <v>0.21</v>
      </c>
      <c r="E1493" s="11">
        <v>0.41</v>
      </c>
      <c r="F1493" s="2">
        <f t="shared" si="394"/>
        <v>790</v>
      </c>
      <c r="G1493" s="2">
        <f t="shared" si="395"/>
        <v>0.35</v>
      </c>
      <c r="H1493" s="2">
        <f t="shared" si="396"/>
        <v>0.44303797468354428</v>
      </c>
      <c r="I1493" s="12">
        <v>0.02</v>
      </c>
      <c r="J1493" s="12">
        <v>7.0000000000000007E-2</v>
      </c>
      <c r="K1493" s="12">
        <f t="shared" si="397"/>
        <v>0.21854556962025315</v>
      </c>
      <c r="L1493" s="12">
        <f t="shared" si="398"/>
        <v>0.75158354430379748</v>
      </c>
      <c r="M1493" s="2"/>
      <c r="N1493" s="2"/>
      <c r="O1493" s="2">
        <f>L1493*500</f>
        <v>375.79177215189873</v>
      </c>
      <c r="P1493" s="2"/>
      <c r="Q1493" s="2">
        <f t="shared" si="400"/>
        <v>751.58354430379745</v>
      </c>
      <c r="R1493" s="28">
        <v>16.666666666666668</v>
      </c>
    </row>
    <row r="1494" spans="1:18" hidden="1" x14ac:dyDescent="0.25">
      <c r="A1494" s="16">
        <v>45834</v>
      </c>
      <c r="B1494" s="2" t="s">
        <v>235</v>
      </c>
      <c r="C1494" s="2">
        <v>350</v>
      </c>
      <c r="D1494" s="19">
        <v>0.21</v>
      </c>
      <c r="E1494" s="11">
        <v>0.41</v>
      </c>
      <c r="F1494" s="2">
        <f t="shared" si="394"/>
        <v>790</v>
      </c>
      <c r="G1494" s="2">
        <f t="shared" si="395"/>
        <v>0.35</v>
      </c>
      <c r="H1494" s="2">
        <f t="shared" si="396"/>
        <v>0.44303797468354428</v>
      </c>
      <c r="I1494" s="12">
        <v>0.02</v>
      </c>
      <c r="J1494" s="12">
        <v>7.0000000000000007E-2</v>
      </c>
      <c r="K1494" s="12">
        <f t="shared" si="397"/>
        <v>0.21854556962025315</v>
      </c>
      <c r="L1494" s="12">
        <f t="shared" si="398"/>
        <v>0.75158354430379748</v>
      </c>
      <c r="M1494" s="2"/>
      <c r="N1494" s="2"/>
      <c r="O1494" s="2">
        <f>L1494*500</f>
        <v>375.79177215189873</v>
      </c>
      <c r="P1494" s="2"/>
      <c r="Q1494" s="2">
        <f t="shared" si="400"/>
        <v>751.58354430379745</v>
      </c>
      <c r="R1494" s="28">
        <v>16.666666666666668</v>
      </c>
    </row>
    <row r="1495" spans="1:18" hidden="1" x14ac:dyDescent="0.25">
      <c r="A1495" s="16">
        <v>45834</v>
      </c>
      <c r="B1495" s="2" t="s">
        <v>93</v>
      </c>
      <c r="C1495" s="2">
        <v>580</v>
      </c>
      <c r="D1495" s="19">
        <v>0.05</v>
      </c>
      <c r="E1495" s="11">
        <v>0.41499999999999998</v>
      </c>
      <c r="F1495" s="2">
        <f t="shared" si="394"/>
        <v>950</v>
      </c>
      <c r="G1495" s="2">
        <f t="shared" si="395"/>
        <v>0.57999999999999996</v>
      </c>
      <c r="H1495" s="2">
        <f t="shared" si="396"/>
        <v>0.61052631578947369</v>
      </c>
      <c r="I1495" s="12">
        <v>0.02</v>
      </c>
      <c r="J1495" s="12">
        <v>7.0000000000000007E-2</v>
      </c>
      <c r="K1495" s="12">
        <f t="shared" si="397"/>
        <v>0.29071842105263157</v>
      </c>
      <c r="L1495" s="12">
        <f t="shared" si="398"/>
        <v>0.99124473684210523</v>
      </c>
      <c r="M1495" s="2"/>
      <c r="N1495" s="2"/>
      <c r="O1495" s="2">
        <f t="shared" ref="O1495:O1496" si="401">L1495*500</f>
        <v>495.62236842105261</v>
      </c>
      <c r="P1495" s="2"/>
      <c r="Q1495" s="2">
        <f t="shared" si="400"/>
        <v>991.24473684210523</v>
      </c>
      <c r="R1495" s="28">
        <v>16.666666666666668</v>
      </c>
    </row>
    <row r="1496" spans="1:18" hidden="1" x14ac:dyDescent="0.25">
      <c r="A1496" s="16">
        <v>45834</v>
      </c>
      <c r="B1496" s="2" t="s">
        <v>192</v>
      </c>
      <c r="C1496" s="2">
        <v>580</v>
      </c>
      <c r="D1496" s="19">
        <v>0.05</v>
      </c>
      <c r="E1496" s="11">
        <v>0.27300000000000002</v>
      </c>
      <c r="F1496" s="2">
        <f t="shared" si="394"/>
        <v>950</v>
      </c>
      <c r="G1496" s="2">
        <f t="shared" si="395"/>
        <v>0.57999999999999996</v>
      </c>
      <c r="H1496" s="2">
        <f t="shared" si="396"/>
        <v>0.61052631578947369</v>
      </c>
      <c r="I1496" s="12">
        <v>0.02</v>
      </c>
      <c r="J1496" s="12">
        <v>7.0000000000000007E-2</v>
      </c>
      <c r="K1496" s="12">
        <f t="shared" si="397"/>
        <v>0.19124368421052632</v>
      </c>
      <c r="L1496" s="12">
        <f t="shared" si="398"/>
        <v>0.89176999999999995</v>
      </c>
      <c r="M1496" s="2"/>
      <c r="N1496" s="2"/>
      <c r="O1496" s="2">
        <f t="shared" si="401"/>
        <v>445.88499999999999</v>
      </c>
      <c r="P1496" s="2"/>
      <c r="Q1496" s="2">
        <f t="shared" si="400"/>
        <v>891.77</v>
      </c>
      <c r="R1496" s="28">
        <v>16.666666666666668</v>
      </c>
    </row>
    <row r="1497" spans="1:18" hidden="1" x14ac:dyDescent="0.25">
      <c r="A1497" s="16">
        <v>45834</v>
      </c>
      <c r="B1497" s="2" t="s">
        <v>111</v>
      </c>
      <c r="C1497" s="2">
        <v>1400</v>
      </c>
      <c r="D1497" s="19">
        <v>0.32</v>
      </c>
      <c r="E1497" s="11">
        <v>0.20200000000000001</v>
      </c>
      <c r="F1497" s="2">
        <f t="shared" si="394"/>
        <v>680</v>
      </c>
      <c r="G1497" s="2">
        <f t="shared" si="395"/>
        <v>1.4</v>
      </c>
      <c r="H1497" s="2">
        <f t="shared" si="396"/>
        <v>2.0588235294117645</v>
      </c>
      <c r="I1497" s="12">
        <v>0.02</v>
      </c>
      <c r="J1497" s="12">
        <v>7.0000000000000007E-2</v>
      </c>
      <c r="K1497" s="12">
        <f t="shared" si="397"/>
        <v>0.43406235294117645</v>
      </c>
      <c r="L1497" s="12">
        <f t="shared" si="398"/>
        <v>2.582885882352941</v>
      </c>
      <c r="M1497" s="2">
        <f>L1497*250</f>
        <v>645.72147058823521</v>
      </c>
      <c r="N1497" s="2"/>
      <c r="O1497" s="2"/>
      <c r="P1497" s="2"/>
      <c r="Q1497" s="2">
        <f t="shared" si="400"/>
        <v>2582.8858823529408</v>
      </c>
      <c r="R1497" s="28">
        <v>16.666666666666668</v>
      </c>
    </row>
    <row r="1498" spans="1:18" hidden="1" x14ac:dyDescent="0.25">
      <c r="A1498" s="16">
        <v>45834</v>
      </c>
      <c r="B1498" s="2" t="s">
        <v>102</v>
      </c>
      <c r="C1498" s="2">
        <v>450</v>
      </c>
      <c r="D1498" s="19">
        <v>0.63</v>
      </c>
      <c r="E1498" s="11">
        <v>0.21</v>
      </c>
      <c r="F1498" s="2">
        <f t="shared" si="394"/>
        <v>370</v>
      </c>
      <c r="G1498" s="2">
        <f t="shared" si="395"/>
        <v>0.45</v>
      </c>
      <c r="H1498" s="2">
        <f t="shared" si="396"/>
        <v>1.2162162162162162</v>
      </c>
      <c r="I1498" s="12">
        <v>0.02</v>
      </c>
      <c r="J1498" s="12">
        <v>7.0000000000000007E-2</v>
      </c>
      <c r="K1498" s="12">
        <f t="shared" si="397"/>
        <v>0.27430540540540543</v>
      </c>
      <c r="L1498" s="12">
        <f t="shared" si="398"/>
        <v>1.5805216216216218</v>
      </c>
      <c r="M1498" s="2">
        <f>L1498*250</f>
        <v>395.13040540540544</v>
      </c>
      <c r="N1498" s="2"/>
      <c r="O1498" s="2"/>
      <c r="P1498" s="2"/>
      <c r="Q1498" s="2">
        <f t="shared" si="400"/>
        <v>1580.5216216216218</v>
      </c>
      <c r="R1498" s="28">
        <v>16.666666666666668</v>
      </c>
    </row>
    <row r="1499" spans="1:18" hidden="1" x14ac:dyDescent="0.25">
      <c r="A1499" s="16">
        <v>45835</v>
      </c>
      <c r="B1499" s="2" t="s">
        <v>192</v>
      </c>
      <c r="C1499" s="2">
        <v>570</v>
      </c>
      <c r="D1499" s="19">
        <v>0.13</v>
      </c>
      <c r="E1499" s="11">
        <v>0.19500000000000001</v>
      </c>
      <c r="F1499" s="2">
        <f t="shared" si="394"/>
        <v>870</v>
      </c>
      <c r="G1499" s="2">
        <f t="shared" si="395"/>
        <v>0.56999999999999995</v>
      </c>
      <c r="H1499" s="2">
        <f t="shared" si="396"/>
        <v>0.65517241379310343</v>
      </c>
      <c r="I1499" s="12">
        <v>0.02</v>
      </c>
      <c r="J1499" s="12">
        <v>7.0000000000000007E-2</v>
      </c>
      <c r="K1499" s="12">
        <f t="shared" si="397"/>
        <v>0.14530862068965519</v>
      </c>
      <c r="L1499" s="12">
        <f t="shared" si="398"/>
        <v>0.89048103448275873</v>
      </c>
      <c r="M1499" s="2"/>
      <c r="N1499" s="2"/>
      <c r="O1499" s="2">
        <f t="shared" ref="O1499:O1504" si="402">L1499*500</f>
        <v>445.24051724137934</v>
      </c>
      <c r="P1499" s="2"/>
      <c r="Q1499" s="2">
        <f t="shared" si="400"/>
        <v>890.48103448275867</v>
      </c>
      <c r="R1499" s="28">
        <v>16.666666666666668</v>
      </c>
    </row>
    <row r="1500" spans="1:18" hidden="1" x14ac:dyDescent="0.25">
      <c r="A1500" s="16">
        <v>45835</v>
      </c>
      <c r="B1500" s="2" t="s">
        <v>93</v>
      </c>
      <c r="C1500" s="2">
        <v>570</v>
      </c>
      <c r="D1500" s="19">
        <v>0.13</v>
      </c>
      <c r="E1500" s="11">
        <v>0.33</v>
      </c>
      <c r="F1500" s="2">
        <f t="shared" si="394"/>
        <v>870</v>
      </c>
      <c r="G1500" s="2">
        <f t="shared" si="395"/>
        <v>0.56999999999999995</v>
      </c>
      <c r="H1500" s="2">
        <f t="shared" si="396"/>
        <v>0.65517241379310343</v>
      </c>
      <c r="I1500" s="12">
        <v>0.02</v>
      </c>
      <c r="J1500" s="12">
        <v>7.0000000000000007E-2</v>
      </c>
      <c r="K1500" s="12">
        <f t="shared" si="397"/>
        <v>0.24590689655172418</v>
      </c>
      <c r="L1500" s="12">
        <f t="shared" si="398"/>
        <v>0.99107931034482766</v>
      </c>
      <c r="M1500" s="2"/>
      <c r="N1500" s="2"/>
      <c r="O1500" s="2">
        <f t="shared" si="402"/>
        <v>495.5396551724138</v>
      </c>
      <c r="P1500" s="2"/>
      <c r="Q1500" s="2">
        <f t="shared" si="400"/>
        <v>991.0793103448276</v>
      </c>
      <c r="R1500" s="28">
        <v>16.666666666666668</v>
      </c>
    </row>
    <row r="1501" spans="1:18" hidden="1" x14ac:dyDescent="0.25">
      <c r="A1501" s="16">
        <v>45839</v>
      </c>
      <c r="B1501" s="2" t="s">
        <v>39</v>
      </c>
      <c r="C1501" s="2">
        <v>380</v>
      </c>
      <c r="D1501" s="19">
        <v>0.06</v>
      </c>
      <c r="E1501" s="11">
        <v>0.4</v>
      </c>
      <c r="F1501" s="2">
        <f t="shared" si="394"/>
        <v>940</v>
      </c>
      <c r="G1501" s="2">
        <f t="shared" si="395"/>
        <v>0.38</v>
      </c>
      <c r="H1501" s="2">
        <f t="shared" si="396"/>
        <v>0.40425531914893614</v>
      </c>
      <c r="I1501" s="12">
        <v>0.02</v>
      </c>
      <c r="J1501" s="12">
        <v>7.0000000000000007E-2</v>
      </c>
      <c r="K1501" s="12">
        <f t="shared" si="397"/>
        <v>0.19770212765957448</v>
      </c>
      <c r="L1501" s="12">
        <f t="shared" si="398"/>
        <v>0.69195744680851068</v>
      </c>
      <c r="M1501" s="2"/>
      <c r="N1501" s="2"/>
      <c r="O1501" s="2">
        <f t="shared" si="402"/>
        <v>345.97872340425533</v>
      </c>
      <c r="P1501" s="2"/>
      <c r="Q1501" s="2">
        <f t="shared" si="400"/>
        <v>691.95744680851067</v>
      </c>
      <c r="R1501" s="28">
        <v>16.666666666666668</v>
      </c>
    </row>
    <row r="1502" spans="1:18" hidden="1" x14ac:dyDescent="0.25">
      <c r="A1502" s="16">
        <v>45839</v>
      </c>
      <c r="B1502" s="2" t="s">
        <v>92</v>
      </c>
      <c r="C1502" s="2">
        <v>380</v>
      </c>
      <c r="D1502" s="19">
        <v>0.06</v>
      </c>
      <c r="E1502" s="11">
        <v>0.4</v>
      </c>
      <c r="F1502" s="2">
        <f t="shared" si="394"/>
        <v>940</v>
      </c>
      <c r="G1502" s="2">
        <f t="shared" si="395"/>
        <v>0.38</v>
      </c>
      <c r="H1502" s="2">
        <f t="shared" si="396"/>
        <v>0.40425531914893614</v>
      </c>
      <c r="I1502" s="12">
        <v>0.02</v>
      </c>
      <c r="J1502" s="12">
        <v>7.0000000000000007E-2</v>
      </c>
      <c r="K1502" s="12">
        <f t="shared" si="397"/>
        <v>0.19770212765957448</v>
      </c>
      <c r="L1502" s="12">
        <f t="shared" si="398"/>
        <v>0.69195744680851068</v>
      </c>
      <c r="M1502" s="2"/>
      <c r="N1502" s="2"/>
      <c r="O1502" s="2">
        <f t="shared" si="402"/>
        <v>345.97872340425533</v>
      </c>
      <c r="P1502" s="2"/>
      <c r="Q1502" s="2">
        <f t="shared" si="400"/>
        <v>691.95744680851067</v>
      </c>
      <c r="R1502" s="28">
        <v>16.666666666666668</v>
      </c>
    </row>
    <row r="1503" spans="1:18" hidden="1" x14ac:dyDescent="0.25">
      <c r="A1503" s="16">
        <v>45839</v>
      </c>
      <c r="B1503" s="2" t="s">
        <v>234</v>
      </c>
      <c r="C1503" s="2">
        <v>400</v>
      </c>
      <c r="D1503" s="19">
        <v>0.27</v>
      </c>
      <c r="E1503" s="11">
        <v>8.5999999999999993E-2</v>
      </c>
      <c r="F1503" s="2">
        <f t="shared" si="394"/>
        <v>730</v>
      </c>
      <c r="G1503" s="2">
        <f t="shared" si="395"/>
        <v>0.4</v>
      </c>
      <c r="H1503" s="2">
        <f t="shared" si="396"/>
        <v>0.54794520547945202</v>
      </c>
      <c r="I1503" s="12">
        <v>0.02</v>
      </c>
      <c r="J1503" s="12">
        <v>7.0000000000000007E-2</v>
      </c>
      <c r="K1503" s="12">
        <f t="shared" si="397"/>
        <v>5.4863287671232878E-2</v>
      </c>
      <c r="L1503" s="12">
        <f t="shared" si="398"/>
        <v>0.69280849315068493</v>
      </c>
      <c r="M1503" s="2"/>
      <c r="N1503" s="2"/>
      <c r="O1503" s="2">
        <f t="shared" si="402"/>
        <v>346.40424657534248</v>
      </c>
      <c r="P1503" s="2"/>
      <c r="Q1503" s="2">
        <f t="shared" si="400"/>
        <v>692.80849315068497</v>
      </c>
      <c r="R1503" s="28">
        <v>16.666666666666668</v>
      </c>
    </row>
    <row r="1504" spans="1:18" hidden="1" x14ac:dyDescent="0.25">
      <c r="A1504" s="16">
        <v>45839</v>
      </c>
      <c r="B1504" s="2" t="s">
        <v>235</v>
      </c>
      <c r="C1504" s="2">
        <v>400</v>
      </c>
      <c r="D1504" s="19">
        <v>0.27</v>
      </c>
      <c r="E1504" s="11">
        <v>0.17599999999999999</v>
      </c>
      <c r="F1504" s="2">
        <f t="shared" si="394"/>
        <v>730</v>
      </c>
      <c r="G1504" s="2">
        <f t="shared" si="395"/>
        <v>0.4</v>
      </c>
      <c r="H1504" s="2">
        <f t="shared" si="396"/>
        <v>0.54794520547945202</v>
      </c>
      <c r="I1504" s="12">
        <v>0.02</v>
      </c>
      <c r="J1504" s="12">
        <v>7.0000000000000007E-2</v>
      </c>
      <c r="K1504" s="12">
        <f t="shared" si="397"/>
        <v>0.11227835616438356</v>
      </c>
      <c r="L1504" s="12">
        <f t="shared" si="398"/>
        <v>0.75022356164383563</v>
      </c>
      <c r="M1504" s="2"/>
      <c r="N1504" s="2"/>
      <c r="O1504" s="2">
        <f t="shared" si="402"/>
        <v>375.11178082191782</v>
      </c>
      <c r="P1504" s="2"/>
      <c r="Q1504" s="2">
        <f t="shared" si="400"/>
        <v>750.22356164383564</v>
      </c>
      <c r="R1504" s="28">
        <v>16.666666666666668</v>
      </c>
    </row>
    <row r="1505" spans="1:18" hidden="1" x14ac:dyDescent="0.25">
      <c r="A1505" s="16">
        <v>45839</v>
      </c>
      <c r="B1505" s="2" t="s">
        <v>205</v>
      </c>
      <c r="C1505" s="2">
        <v>800</v>
      </c>
      <c r="D1505" s="19">
        <v>0.38</v>
      </c>
      <c r="E1505" s="11">
        <v>0.2</v>
      </c>
      <c r="F1505" s="2">
        <f t="shared" si="394"/>
        <v>620</v>
      </c>
      <c r="G1505" s="2">
        <f t="shared" si="395"/>
        <v>0.8</v>
      </c>
      <c r="H1505" s="2">
        <f t="shared" si="396"/>
        <v>1.2903225806451613</v>
      </c>
      <c r="I1505" s="12">
        <v>0.02</v>
      </c>
      <c r="J1505" s="12">
        <v>7.0000000000000007E-2</v>
      </c>
      <c r="K1505" s="12">
        <f t="shared" si="397"/>
        <v>0.27606451612903227</v>
      </c>
      <c r="L1505" s="12">
        <f t="shared" si="398"/>
        <v>1.6563870967741936</v>
      </c>
      <c r="M1505" s="2">
        <f>L1505*250</f>
        <v>414.09677419354841</v>
      </c>
      <c r="N1505" s="2"/>
      <c r="O1505" s="2"/>
      <c r="P1505" s="2"/>
      <c r="Q1505" s="2">
        <f t="shared" si="400"/>
        <v>1656.3870967741937</v>
      </c>
      <c r="R1505" s="28">
        <v>16.666666666666668</v>
      </c>
    </row>
    <row r="1506" spans="1:18" hidden="1" x14ac:dyDescent="0.25">
      <c r="A1506" s="16">
        <v>45839</v>
      </c>
      <c r="B1506" s="2" t="s">
        <v>204</v>
      </c>
      <c r="C1506" s="2">
        <v>800</v>
      </c>
      <c r="D1506" s="19">
        <v>0.38</v>
      </c>
      <c r="E1506" s="11">
        <v>0.2</v>
      </c>
      <c r="F1506" s="2">
        <f t="shared" si="394"/>
        <v>620</v>
      </c>
      <c r="G1506" s="2">
        <f t="shared" si="395"/>
        <v>0.8</v>
      </c>
      <c r="H1506" s="2">
        <f t="shared" si="396"/>
        <v>1.2903225806451613</v>
      </c>
      <c r="I1506" s="12">
        <v>0.02</v>
      </c>
      <c r="J1506" s="12">
        <v>7.0000000000000007E-2</v>
      </c>
      <c r="K1506" s="12">
        <f t="shared" si="397"/>
        <v>0.27606451612903227</v>
      </c>
      <c r="L1506" s="12">
        <f t="shared" si="398"/>
        <v>1.6563870967741936</v>
      </c>
      <c r="M1506" s="2"/>
      <c r="N1506" s="2"/>
      <c r="O1506" s="2">
        <f>L1506*500</f>
        <v>828.19354838709683</v>
      </c>
      <c r="P1506" s="2"/>
      <c r="Q1506" s="2">
        <f t="shared" si="400"/>
        <v>1656.3870967741937</v>
      </c>
      <c r="R1506" s="28">
        <v>16.666666666666668</v>
      </c>
    </row>
    <row r="1507" spans="1:18" hidden="1" x14ac:dyDescent="0.25">
      <c r="A1507" s="16">
        <v>45840</v>
      </c>
      <c r="B1507" s="2" t="s">
        <v>233</v>
      </c>
      <c r="C1507" s="2">
        <v>800</v>
      </c>
      <c r="D1507" s="19">
        <v>0.36</v>
      </c>
      <c r="E1507" s="11">
        <v>0.18</v>
      </c>
      <c r="F1507" s="2">
        <f t="shared" si="394"/>
        <v>640</v>
      </c>
      <c r="G1507" s="2">
        <f t="shared" si="395"/>
        <v>0.8</v>
      </c>
      <c r="H1507" s="2">
        <f t="shared" si="396"/>
        <v>1.25</v>
      </c>
      <c r="I1507" s="12">
        <v>0.02</v>
      </c>
      <c r="J1507" s="12">
        <v>7.0000000000000007E-2</v>
      </c>
      <c r="K1507" s="12">
        <f t="shared" si="397"/>
        <v>0.2412</v>
      </c>
      <c r="L1507" s="12">
        <f t="shared" si="398"/>
        <v>1.5812000000000002</v>
      </c>
      <c r="M1507" s="2">
        <f>L1507*250</f>
        <v>395.30000000000007</v>
      </c>
      <c r="N1507" s="2"/>
      <c r="O1507" s="2"/>
      <c r="P1507" s="2"/>
      <c r="Q1507" s="2">
        <f t="shared" si="400"/>
        <v>1581.2000000000003</v>
      </c>
      <c r="R1507" s="28">
        <v>16.666666666666668</v>
      </c>
    </row>
    <row r="1508" spans="1:18" hidden="1" x14ac:dyDescent="0.25">
      <c r="A1508" s="16">
        <v>45840</v>
      </c>
      <c r="B1508" s="2" t="s">
        <v>192</v>
      </c>
      <c r="C1508" s="2">
        <v>600</v>
      </c>
      <c r="D1508" s="19">
        <v>0.13</v>
      </c>
      <c r="E1508" s="11">
        <v>0.3</v>
      </c>
      <c r="F1508" s="2">
        <f t="shared" si="394"/>
        <v>870</v>
      </c>
      <c r="G1508" s="2">
        <f t="shared" si="395"/>
        <v>0.6</v>
      </c>
      <c r="H1508" s="2">
        <f t="shared" si="396"/>
        <v>0.68965517241379315</v>
      </c>
      <c r="I1508" s="12">
        <v>0.02</v>
      </c>
      <c r="J1508" s="12">
        <v>7.0000000000000007E-2</v>
      </c>
      <c r="K1508" s="12">
        <f t="shared" si="397"/>
        <v>0.23389655172413795</v>
      </c>
      <c r="L1508" s="12">
        <f t="shared" si="398"/>
        <v>1.0135517241379313</v>
      </c>
      <c r="M1508" s="2"/>
      <c r="N1508" s="2"/>
      <c r="O1508" s="2">
        <f>L1508*500</f>
        <v>506.77586206896564</v>
      </c>
      <c r="P1508" s="2"/>
      <c r="Q1508" s="2">
        <f t="shared" si="400"/>
        <v>1013.5517241379313</v>
      </c>
      <c r="R1508" s="28">
        <v>16.666666666666668</v>
      </c>
    </row>
    <row r="1509" spans="1:18" hidden="1" x14ac:dyDescent="0.25">
      <c r="A1509" s="16">
        <v>45840</v>
      </c>
      <c r="B1509" s="2" t="s">
        <v>92</v>
      </c>
      <c r="C1509" s="2">
        <v>380</v>
      </c>
      <c r="D1509" s="19">
        <v>0</v>
      </c>
      <c r="E1509" s="11">
        <v>0.47</v>
      </c>
      <c r="F1509" s="2">
        <f t="shared" si="394"/>
        <v>1000</v>
      </c>
      <c r="G1509" s="2">
        <f t="shared" si="395"/>
        <v>0.38</v>
      </c>
      <c r="H1509" s="2">
        <f t="shared" si="396"/>
        <v>0.38</v>
      </c>
      <c r="I1509" s="12">
        <v>0.02</v>
      </c>
      <c r="J1509" s="12">
        <v>7.0000000000000007E-2</v>
      </c>
      <c r="K1509" s="12">
        <f t="shared" si="397"/>
        <v>0.22090000000000001</v>
      </c>
      <c r="L1509" s="12">
        <f t="shared" si="398"/>
        <v>0.69090000000000007</v>
      </c>
      <c r="M1509" s="2"/>
      <c r="N1509" s="2"/>
      <c r="O1509" s="2">
        <f>L1509*500</f>
        <v>345.45000000000005</v>
      </c>
      <c r="P1509" s="2"/>
      <c r="Q1509" s="2">
        <f t="shared" si="400"/>
        <v>690.90000000000009</v>
      </c>
      <c r="R1509" s="28">
        <v>16.666666666666668</v>
      </c>
    </row>
    <row r="1510" spans="1:18" hidden="1" x14ac:dyDescent="0.25">
      <c r="A1510" s="16">
        <v>45840</v>
      </c>
      <c r="B1510" s="2" t="s">
        <v>40</v>
      </c>
      <c r="C1510" s="2">
        <v>200</v>
      </c>
      <c r="D1510" s="19">
        <v>0.1</v>
      </c>
      <c r="E1510" s="11">
        <v>0.25</v>
      </c>
      <c r="F1510" s="2">
        <f t="shared" si="394"/>
        <v>900</v>
      </c>
      <c r="G1510" s="2">
        <f t="shared" si="395"/>
        <v>0.2</v>
      </c>
      <c r="H1510" s="2">
        <f t="shared" si="396"/>
        <v>0.22222222222222221</v>
      </c>
      <c r="I1510" s="12">
        <v>0.02</v>
      </c>
      <c r="J1510" s="12">
        <v>7.0000000000000007E-2</v>
      </c>
      <c r="K1510" s="12">
        <f t="shared" si="397"/>
        <v>7.8055555555555545E-2</v>
      </c>
      <c r="L1510" s="12">
        <f t="shared" si="398"/>
        <v>0.39027777777777772</v>
      </c>
      <c r="M1510" s="2"/>
      <c r="N1510" s="2"/>
      <c r="O1510" s="2">
        <f>L1510*500</f>
        <v>195.13888888888886</v>
      </c>
      <c r="P1510" s="2"/>
      <c r="Q1510" s="2">
        <f t="shared" si="400"/>
        <v>390.27777777777771</v>
      </c>
      <c r="R1510" s="28">
        <v>16.666666666666668</v>
      </c>
    </row>
    <row r="1511" spans="1:18" hidden="1" x14ac:dyDescent="0.25">
      <c r="A1511" s="16">
        <v>45841</v>
      </c>
      <c r="B1511" s="2" t="s">
        <v>205</v>
      </c>
      <c r="C1511" s="2">
        <v>730</v>
      </c>
      <c r="D1511" s="19">
        <v>0.41</v>
      </c>
      <c r="E1511" s="11">
        <v>0.28199999999999997</v>
      </c>
      <c r="F1511" s="2">
        <f t="shared" ref="F1511:F1518" si="403">1000-1000*D1511</f>
        <v>590</v>
      </c>
      <c r="G1511" s="2">
        <f t="shared" ref="G1511:G1518" si="404">C1511/1000</f>
        <v>0.73</v>
      </c>
      <c r="H1511" s="2">
        <f t="shared" ref="H1511:H1518" si="405">C1511/F1511</f>
        <v>1.2372881355932204</v>
      </c>
      <c r="I1511" s="12">
        <v>0.02</v>
      </c>
      <c r="J1511" s="12">
        <v>7.0000000000000007E-2</v>
      </c>
      <c r="K1511" s="12">
        <f t="shared" ref="K1511:K1518" si="406">SUM(H1511:J1511)*E1511</f>
        <v>0.37429525423728816</v>
      </c>
      <c r="L1511" s="12">
        <f t="shared" ref="L1511:L1518" si="407">SUM(H1511:K1511)</f>
        <v>1.7015833898305086</v>
      </c>
      <c r="M1511" s="2">
        <f>L1511*250</f>
        <v>425.39584745762716</v>
      </c>
      <c r="N1511" s="2"/>
      <c r="O1511" s="2"/>
      <c r="P1511" s="2"/>
      <c r="Q1511" s="2">
        <f t="shared" ref="Q1511:Q1518" si="408">L1511*1000</f>
        <v>1701.5833898305086</v>
      </c>
      <c r="R1511" s="28">
        <v>16.666666666666668</v>
      </c>
    </row>
    <row r="1512" spans="1:18" hidden="1" x14ac:dyDescent="0.25">
      <c r="A1512" s="16">
        <v>45841</v>
      </c>
      <c r="B1512" s="2" t="s">
        <v>204</v>
      </c>
      <c r="C1512" s="2">
        <v>730</v>
      </c>
      <c r="D1512" s="19">
        <v>0.41</v>
      </c>
      <c r="E1512" s="11">
        <v>0.24399999999999999</v>
      </c>
      <c r="F1512" s="2">
        <f t="shared" si="403"/>
        <v>590</v>
      </c>
      <c r="G1512" s="2">
        <f t="shared" si="404"/>
        <v>0.73</v>
      </c>
      <c r="H1512" s="2">
        <f t="shared" si="405"/>
        <v>1.2372881355932204</v>
      </c>
      <c r="I1512" s="12">
        <v>0.02</v>
      </c>
      <c r="J1512" s="12">
        <v>7.0000000000000007E-2</v>
      </c>
      <c r="K1512" s="12">
        <f t="shared" si="406"/>
        <v>0.32385830508474578</v>
      </c>
      <c r="L1512" s="12">
        <f t="shared" si="407"/>
        <v>1.6511464406779663</v>
      </c>
      <c r="M1512" s="2"/>
      <c r="N1512" s="2"/>
      <c r="O1512" s="2">
        <f>L1512*500</f>
        <v>825.57322033898322</v>
      </c>
      <c r="P1512" s="2"/>
      <c r="Q1512" s="2">
        <f t="shared" si="408"/>
        <v>1651.1464406779664</v>
      </c>
      <c r="R1512" s="28">
        <v>16.666666666666668</v>
      </c>
    </row>
    <row r="1513" spans="1:18" hidden="1" x14ac:dyDescent="0.25">
      <c r="A1513" s="16">
        <v>45841</v>
      </c>
      <c r="B1513" s="2" t="s">
        <v>236</v>
      </c>
      <c r="C1513" s="2">
        <v>280</v>
      </c>
      <c r="D1513" s="19">
        <v>0.24</v>
      </c>
      <c r="E1513" s="11">
        <v>0.50700000000000001</v>
      </c>
      <c r="F1513" s="2">
        <f t="shared" si="403"/>
        <v>760</v>
      </c>
      <c r="G1513" s="2">
        <f t="shared" si="404"/>
        <v>0.28000000000000003</v>
      </c>
      <c r="H1513" s="2">
        <f t="shared" si="405"/>
        <v>0.36842105263157893</v>
      </c>
      <c r="I1513" s="12">
        <v>0.02</v>
      </c>
      <c r="J1513" s="12">
        <v>7.0000000000000007E-2</v>
      </c>
      <c r="K1513" s="12">
        <f t="shared" si="406"/>
        <v>0.23241947368421054</v>
      </c>
      <c r="L1513" s="12">
        <f t="shared" si="407"/>
        <v>0.69084052631578952</v>
      </c>
      <c r="M1513" s="2"/>
      <c r="N1513" s="2"/>
      <c r="O1513" s="2">
        <f>L1513*500</f>
        <v>345.42026315789474</v>
      </c>
      <c r="P1513" s="2"/>
      <c r="Q1513" s="2">
        <f t="shared" si="408"/>
        <v>690.84052631578948</v>
      </c>
      <c r="R1513" s="28">
        <v>16.666666666666668</v>
      </c>
    </row>
    <row r="1514" spans="1:18" hidden="1" x14ac:dyDescent="0.25">
      <c r="A1514" s="16">
        <v>45842</v>
      </c>
      <c r="B1514" s="2" t="s">
        <v>236</v>
      </c>
      <c r="C1514" s="2">
        <v>330</v>
      </c>
      <c r="D1514" s="19">
        <v>0.23</v>
      </c>
      <c r="E1514" s="11">
        <v>0.33200000000000002</v>
      </c>
      <c r="F1514" s="2">
        <f t="shared" si="403"/>
        <v>770</v>
      </c>
      <c r="G1514" s="2">
        <f t="shared" si="404"/>
        <v>0.33</v>
      </c>
      <c r="H1514" s="2">
        <f t="shared" si="405"/>
        <v>0.42857142857142855</v>
      </c>
      <c r="I1514" s="12">
        <v>0.02</v>
      </c>
      <c r="J1514" s="12">
        <v>7.0000000000000007E-2</v>
      </c>
      <c r="K1514" s="12">
        <f t="shared" si="406"/>
        <v>0.17216571428571428</v>
      </c>
      <c r="L1514" s="12">
        <f t="shared" si="407"/>
        <v>0.69073714285714283</v>
      </c>
      <c r="M1514" s="2"/>
      <c r="N1514" s="2"/>
      <c r="O1514" s="2">
        <f>L1514*500</f>
        <v>345.36857142857139</v>
      </c>
      <c r="P1514" s="2"/>
      <c r="Q1514" s="2">
        <f t="shared" si="408"/>
        <v>690.73714285714277</v>
      </c>
      <c r="R1514" s="28">
        <v>16.666666666666668</v>
      </c>
    </row>
    <row r="1515" spans="1:18" hidden="1" x14ac:dyDescent="0.25">
      <c r="A1515" s="16">
        <v>45842</v>
      </c>
      <c r="B1515" s="2" t="s">
        <v>104</v>
      </c>
      <c r="C1515" s="2">
        <v>120</v>
      </c>
      <c r="D1515" s="19">
        <v>0.7</v>
      </c>
      <c r="E1515" s="11">
        <v>0.59399999999999997</v>
      </c>
      <c r="F1515" s="2">
        <f t="shared" si="403"/>
        <v>300</v>
      </c>
      <c r="G1515" s="2">
        <f t="shared" si="404"/>
        <v>0.12</v>
      </c>
      <c r="H1515" s="2">
        <f t="shared" si="405"/>
        <v>0.4</v>
      </c>
      <c r="I1515" s="12">
        <v>0.02</v>
      </c>
      <c r="J1515" s="12">
        <v>7.0000000000000007E-2</v>
      </c>
      <c r="K1515" s="12">
        <f t="shared" si="406"/>
        <v>0.29106000000000004</v>
      </c>
      <c r="L1515" s="12">
        <f t="shared" si="407"/>
        <v>0.78106000000000009</v>
      </c>
      <c r="M1515" s="2">
        <f t="shared" ref="M1515:M1516" si="409">L1515*250</f>
        <v>195.26500000000001</v>
      </c>
      <c r="N1515" s="2"/>
      <c r="O1515" s="2"/>
      <c r="P1515" s="2"/>
      <c r="Q1515" s="2">
        <f t="shared" si="408"/>
        <v>781.06000000000006</v>
      </c>
      <c r="R1515" s="28">
        <v>16.666666666666668</v>
      </c>
    </row>
    <row r="1516" spans="1:18" hidden="1" x14ac:dyDescent="0.25">
      <c r="A1516" s="16">
        <v>45842</v>
      </c>
      <c r="B1516" s="2" t="s">
        <v>105</v>
      </c>
      <c r="C1516" s="2">
        <v>120</v>
      </c>
      <c r="D1516" s="19">
        <v>0.7</v>
      </c>
      <c r="E1516" s="11">
        <v>0.435</v>
      </c>
      <c r="F1516" s="2">
        <f t="shared" si="403"/>
        <v>300</v>
      </c>
      <c r="G1516" s="2">
        <f t="shared" si="404"/>
        <v>0.12</v>
      </c>
      <c r="H1516" s="2">
        <f t="shared" si="405"/>
        <v>0.4</v>
      </c>
      <c r="I1516" s="12">
        <v>0.02</v>
      </c>
      <c r="J1516" s="12">
        <v>7.0000000000000007E-2</v>
      </c>
      <c r="K1516" s="12">
        <f t="shared" si="406"/>
        <v>0.21315000000000001</v>
      </c>
      <c r="L1516" s="12">
        <f t="shared" si="407"/>
        <v>0.70315000000000005</v>
      </c>
      <c r="M1516" s="2">
        <f t="shared" si="409"/>
        <v>175.78750000000002</v>
      </c>
      <c r="N1516" s="2"/>
      <c r="O1516" s="2"/>
      <c r="P1516" s="2"/>
      <c r="Q1516" s="2">
        <f t="shared" si="408"/>
        <v>703.15000000000009</v>
      </c>
      <c r="R1516" s="28">
        <v>16.666666666666668</v>
      </c>
    </row>
    <row r="1517" spans="1:18" hidden="1" x14ac:dyDescent="0.25">
      <c r="A1517" s="16">
        <v>45842</v>
      </c>
      <c r="B1517" s="2" t="s">
        <v>39</v>
      </c>
      <c r="C1517" s="2">
        <v>370</v>
      </c>
      <c r="D1517" s="19">
        <v>0.05</v>
      </c>
      <c r="E1517" s="11">
        <v>0.44</v>
      </c>
      <c r="F1517" s="2">
        <f t="shared" si="403"/>
        <v>950</v>
      </c>
      <c r="G1517" s="2">
        <f t="shared" si="404"/>
        <v>0.37</v>
      </c>
      <c r="H1517" s="2">
        <f t="shared" si="405"/>
        <v>0.38947368421052631</v>
      </c>
      <c r="I1517" s="12">
        <v>0.02</v>
      </c>
      <c r="J1517" s="12">
        <v>7.0000000000000007E-2</v>
      </c>
      <c r="K1517" s="12">
        <f t="shared" si="406"/>
        <v>0.21096842105263158</v>
      </c>
      <c r="L1517" s="12">
        <f t="shared" si="407"/>
        <v>0.69044210526315797</v>
      </c>
      <c r="M1517" s="2"/>
      <c r="N1517" s="2"/>
      <c r="O1517" s="2">
        <f t="shared" ref="O1517:O1518" si="410">L1517*500</f>
        <v>345.22105263157897</v>
      </c>
      <c r="P1517" s="2"/>
      <c r="Q1517" s="2">
        <f t="shared" si="408"/>
        <v>690.44210526315794</v>
      </c>
      <c r="R1517" s="28">
        <v>16.666666666666668</v>
      </c>
    </row>
    <row r="1518" spans="1:18" hidden="1" x14ac:dyDescent="0.25">
      <c r="A1518" s="16">
        <v>45842</v>
      </c>
      <c r="B1518" s="2" t="s">
        <v>92</v>
      </c>
      <c r="C1518" s="2">
        <v>370</v>
      </c>
      <c r="D1518" s="19">
        <v>0.05</v>
      </c>
      <c r="E1518" s="11">
        <v>0.44</v>
      </c>
      <c r="F1518" s="2">
        <f t="shared" si="403"/>
        <v>950</v>
      </c>
      <c r="G1518" s="2">
        <f t="shared" si="404"/>
        <v>0.37</v>
      </c>
      <c r="H1518" s="2">
        <f t="shared" si="405"/>
        <v>0.38947368421052631</v>
      </c>
      <c r="I1518" s="12">
        <v>0.02</v>
      </c>
      <c r="J1518" s="12">
        <v>7.0000000000000007E-2</v>
      </c>
      <c r="K1518" s="12">
        <f t="shared" si="406"/>
        <v>0.21096842105263158</v>
      </c>
      <c r="L1518" s="12">
        <f t="shared" si="407"/>
        <v>0.69044210526315797</v>
      </c>
      <c r="M1518" s="2"/>
      <c r="N1518" s="2"/>
      <c r="O1518" s="2">
        <f t="shared" si="410"/>
        <v>345.22105263157897</v>
      </c>
      <c r="P1518" s="2"/>
      <c r="Q1518" s="2">
        <f t="shared" si="408"/>
        <v>690.44210526315794</v>
      </c>
      <c r="R1518" s="28">
        <v>16.666666666666668</v>
      </c>
    </row>
    <row r="1519" spans="1:18" hidden="1" x14ac:dyDescent="0.25">
      <c r="A1519" s="16">
        <v>45844</v>
      </c>
      <c r="B1519" s="2" t="s">
        <v>205</v>
      </c>
      <c r="C1519" s="2">
        <v>0</v>
      </c>
      <c r="D1519" s="19">
        <v>0</v>
      </c>
      <c r="E1519" s="11">
        <v>0</v>
      </c>
      <c r="F1519" s="2">
        <f t="shared" ref="F1519:F1522" si="411">1000-1000*D1519</f>
        <v>1000</v>
      </c>
      <c r="G1519" s="2">
        <f t="shared" ref="G1519:G1522" si="412">C1519/1000</f>
        <v>0</v>
      </c>
      <c r="H1519" s="2">
        <f t="shared" ref="H1519:H1522" si="413">C1519/F1519</f>
        <v>0</v>
      </c>
      <c r="I1519" s="12">
        <v>0.02</v>
      </c>
      <c r="J1519" s="12">
        <v>7.0000000000000007E-2</v>
      </c>
      <c r="K1519" s="12">
        <f t="shared" ref="K1519:K1522" si="414">SUM(H1519:J1519)*E1519</f>
        <v>0</v>
      </c>
      <c r="L1519" s="12">
        <f t="shared" ref="L1519:L1522" si="415">SUM(H1519:K1519)</f>
        <v>9.0000000000000011E-2</v>
      </c>
      <c r="M1519" s="2">
        <f>L1519*250</f>
        <v>22.500000000000004</v>
      </c>
      <c r="N1519" s="2"/>
      <c r="O1519" s="2"/>
      <c r="P1519" s="2"/>
      <c r="Q1519" s="2">
        <f t="shared" ref="Q1519:Q1522" si="416">L1519*1000</f>
        <v>90.000000000000014</v>
      </c>
      <c r="R1519" s="28">
        <v>16.666666666666668</v>
      </c>
    </row>
    <row r="1520" spans="1:18" hidden="1" x14ac:dyDescent="0.25">
      <c r="A1520" s="16">
        <v>45844</v>
      </c>
      <c r="B1520" s="2" t="s">
        <v>204</v>
      </c>
      <c r="C1520" s="2">
        <v>0</v>
      </c>
      <c r="D1520" s="19">
        <v>0</v>
      </c>
      <c r="E1520" s="11">
        <v>0</v>
      </c>
      <c r="F1520" s="2">
        <f t="shared" si="411"/>
        <v>1000</v>
      </c>
      <c r="G1520" s="2">
        <f t="shared" si="412"/>
        <v>0</v>
      </c>
      <c r="H1520" s="2">
        <f t="shared" si="413"/>
        <v>0</v>
      </c>
      <c r="I1520" s="12">
        <v>0.02</v>
      </c>
      <c r="J1520" s="12">
        <v>7.0000000000000007E-2</v>
      </c>
      <c r="K1520" s="12">
        <f t="shared" si="414"/>
        <v>0</v>
      </c>
      <c r="L1520" s="12">
        <f t="shared" si="415"/>
        <v>9.0000000000000011E-2</v>
      </c>
      <c r="M1520" s="2"/>
      <c r="N1520" s="2"/>
      <c r="O1520" s="2">
        <f t="shared" ref="O1520:O1526" si="417">L1520*500</f>
        <v>45.000000000000007</v>
      </c>
      <c r="P1520" s="2"/>
      <c r="Q1520" s="2">
        <f t="shared" si="416"/>
        <v>90.000000000000014</v>
      </c>
      <c r="R1520" s="28">
        <v>16.666666666666668</v>
      </c>
    </row>
    <row r="1521" spans="1:18" hidden="1" x14ac:dyDescent="0.25">
      <c r="A1521" s="16">
        <v>45844</v>
      </c>
      <c r="B1521" s="2" t="s">
        <v>92</v>
      </c>
      <c r="C1521" s="2">
        <v>410</v>
      </c>
      <c r="D1521" s="19">
        <v>0</v>
      </c>
      <c r="E1521" s="11">
        <v>0.38</v>
      </c>
      <c r="F1521" s="2">
        <f t="shared" si="411"/>
        <v>1000</v>
      </c>
      <c r="G1521" s="2">
        <f t="shared" si="412"/>
        <v>0.41</v>
      </c>
      <c r="H1521" s="2">
        <f t="shared" si="413"/>
        <v>0.41</v>
      </c>
      <c r="I1521" s="12">
        <v>0.02</v>
      </c>
      <c r="J1521" s="12">
        <v>7.0000000000000007E-2</v>
      </c>
      <c r="K1521" s="12">
        <f t="shared" si="414"/>
        <v>0.19</v>
      </c>
      <c r="L1521" s="12">
        <f t="shared" si="415"/>
        <v>0.69</v>
      </c>
      <c r="M1521" s="2"/>
      <c r="N1521" s="2"/>
      <c r="O1521" s="2">
        <f t="shared" si="417"/>
        <v>345</v>
      </c>
      <c r="P1521" s="2"/>
      <c r="Q1521" s="2">
        <f t="shared" si="416"/>
        <v>690</v>
      </c>
      <c r="R1521" s="28">
        <v>16.666666666666668</v>
      </c>
    </row>
    <row r="1522" spans="1:18" hidden="1" x14ac:dyDescent="0.25">
      <c r="A1522" s="16">
        <v>45844</v>
      </c>
      <c r="B1522" s="2" t="s">
        <v>39</v>
      </c>
      <c r="C1522" s="2">
        <v>410</v>
      </c>
      <c r="D1522" s="19">
        <v>0</v>
      </c>
      <c r="E1522" s="11">
        <v>0.38</v>
      </c>
      <c r="F1522" s="2">
        <f t="shared" si="411"/>
        <v>1000</v>
      </c>
      <c r="G1522" s="2">
        <f t="shared" si="412"/>
        <v>0.41</v>
      </c>
      <c r="H1522" s="2">
        <f t="shared" si="413"/>
        <v>0.41</v>
      </c>
      <c r="I1522" s="12">
        <v>0.02</v>
      </c>
      <c r="J1522" s="12">
        <v>7.0000000000000007E-2</v>
      </c>
      <c r="K1522" s="12">
        <f t="shared" si="414"/>
        <v>0.19</v>
      </c>
      <c r="L1522" s="12">
        <f t="shared" si="415"/>
        <v>0.69</v>
      </c>
      <c r="M1522" s="2"/>
      <c r="N1522" s="2"/>
      <c r="O1522" s="2">
        <f t="shared" si="417"/>
        <v>345</v>
      </c>
      <c r="P1522" s="2"/>
      <c r="Q1522" s="2">
        <f t="shared" si="416"/>
        <v>690</v>
      </c>
      <c r="R1522" s="28">
        <v>16.666666666666668</v>
      </c>
    </row>
    <row r="1523" spans="1:18" hidden="1" x14ac:dyDescent="0.25">
      <c r="A1523" s="16">
        <v>45846</v>
      </c>
      <c r="B1523" s="2" t="s">
        <v>92</v>
      </c>
      <c r="C1523" s="2">
        <v>390</v>
      </c>
      <c r="D1523" s="19">
        <v>0.05</v>
      </c>
      <c r="E1523" s="11">
        <v>0.4</v>
      </c>
      <c r="F1523" s="2">
        <f t="shared" ref="F1523:F1528" si="418">1000-1000*D1523</f>
        <v>950</v>
      </c>
      <c r="G1523" s="2">
        <f t="shared" ref="G1523:G1528" si="419">C1523/1000</f>
        <v>0.39</v>
      </c>
      <c r="H1523" s="2">
        <f t="shared" ref="H1523:H1528" si="420">C1523/F1523</f>
        <v>0.41052631578947368</v>
      </c>
      <c r="I1523" s="12">
        <v>0.02</v>
      </c>
      <c r="J1523" s="12">
        <v>7.0000000000000007E-2</v>
      </c>
      <c r="K1523" s="12">
        <f t="shared" ref="K1523:K1528" si="421">SUM(H1523:J1523)*E1523</f>
        <v>0.20021052631578951</v>
      </c>
      <c r="L1523" s="12">
        <f t="shared" ref="L1523:L1528" si="422">SUM(H1523:K1523)</f>
        <v>0.70073684210526321</v>
      </c>
      <c r="M1523" s="2"/>
      <c r="N1523" s="2"/>
      <c r="O1523" s="2">
        <f t="shared" si="417"/>
        <v>350.36842105263162</v>
      </c>
      <c r="P1523" s="2"/>
      <c r="Q1523" s="2">
        <f t="shared" ref="Q1523:Q1528" si="423">L1523*1000</f>
        <v>700.73684210526324</v>
      </c>
      <c r="R1523" s="28">
        <v>16.666666666666668</v>
      </c>
    </row>
    <row r="1524" spans="1:18" hidden="1" x14ac:dyDescent="0.25">
      <c r="A1524" s="16">
        <v>45846</v>
      </c>
      <c r="B1524" s="2" t="s">
        <v>39</v>
      </c>
      <c r="C1524" s="2">
        <v>390</v>
      </c>
      <c r="D1524" s="19">
        <v>0.05</v>
      </c>
      <c r="E1524" s="11">
        <v>0.4</v>
      </c>
      <c r="F1524" s="2">
        <f t="shared" si="418"/>
        <v>950</v>
      </c>
      <c r="G1524" s="2">
        <f t="shared" si="419"/>
        <v>0.39</v>
      </c>
      <c r="H1524" s="2">
        <f t="shared" si="420"/>
        <v>0.41052631578947368</v>
      </c>
      <c r="I1524" s="12">
        <v>0.02</v>
      </c>
      <c r="J1524" s="12">
        <v>7.0000000000000007E-2</v>
      </c>
      <c r="K1524" s="12">
        <f t="shared" si="421"/>
        <v>0.20021052631578951</v>
      </c>
      <c r="L1524" s="12">
        <f t="shared" si="422"/>
        <v>0.70073684210526321</v>
      </c>
      <c r="M1524" s="2"/>
      <c r="N1524" s="2"/>
      <c r="O1524" s="2">
        <f t="shared" si="417"/>
        <v>350.36842105263162</v>
      </c>
      <c r="P1524" s="2"/>
      <c r="Q1524" s="2">
        <f t="shared" si="423"/>
        <v>700.73684210526324</v>
      </c>
      <c r="R1524" s="28">
        <v>16.666666666666668</v>
      </c>
    </row>
    <row r="1525" spans="1:18" hidden="1" x14ac:dyDescent="0.25">
      <c r="A1525" s="16">
        <v>45846</v>
      </c>
      <c r="B1525" s="2" t="s">
        <v>95</v>
      </c>
      <c r="C1525" s="2">
        <v>350</v>
      </c>
      <c r="D1525" s="19">
        <v>0.22</v>
      </c>
      <c r="E1525" s="11">
        <v>0.4</v>
      </c>
      <c r="F1525" s="2">
        <f t="shared" si="418"/>
        <v>780</v>
      </c>
      <c r="G1525" s="2">
        <f t="shared" si="419"/>
        <v>0.35</v>
      </c>
      <c r="H1525" s="2">
        <f t="shared" si="420"/>
        <v>0.44871794871794873</v>
      </c>
      <c r="I1525" s="12">
        <v>0.02</v>
      </c>
      <c r="J1525" s="12">
        <v>7.0000000000000007E-2</v>
      </c>
      <c r="K1525" s="12">
        <f t="shared" si="421"/>
        <v>0.21548717948717952</v>
      </c>
      <c r="L1525" s="12">
        <f t="shared" si="422"/>
        <v>0.75420512820512831</v>
      </c>
      <c r="M1525" s="2"/>
      <c r="N1525" s="2"/>
      <c r="O1525" s="2">
        <f t="shared" si="417"/>
        <v>377.10256410256414</v>
      </c>
      <c r="P1525" s="2"/>
      <c r="Q1525" s="2">
        <f t="shared" si="423"/>
        <v>754.20512820512829</v>
      </c>
      <c r="R1525" s="28">
        <v>16.666666666666668</v>
      </c>
    </row>
    <row r="1526" spans="1:18" hidden="1" x14ac:dyDescent="0.25">
      <c r="A1526" s="16">
        <v>45846</v>
      </c>
      <c r="B1526" s="2" t="s">
        <v>206</v>
      </c>
      <c r="C1526" s="2">
        <v>350</v>
      </c>
      <c r="D1526" s="19">
        <v>0.22</v>
      </c>
      <c r="E1526" s="11">
        <v>0</v>
      </c>
      <c r="F1526" s="2">
        <f t="shared" si="418"/>
        <v>780</v>
      </c>
      <c r="G1526" s="2">
        <f t="shared" si="419"/>
        <v>0.35</v>
      </c>
      <c r="H1526" s="2">
        <f t="shared" si="420"/>
        <v>0.44871794871794873</v>
      </c>
      <c r="I1526" s="12">
        <v>0.02</v>
      </c>
      <c r="J1526" s="12">
        <v>7.0000000000000007E-2</v>
      </c>
      <c r="K1526" s="12">
        <f t="shared" si="421"/>
        <v>0</v>
      </c>
      <c r="L1526" s="12">
        <f t="shared" si="422"/>
        <v>0.53871794871794876</v>
      </c>
      <c r="M1526" s="2"/>
      <c r="N1526" s="2"/>
      <c r="O1526" s="2">
        <f t="shared" si="417"/>
        <v>269.35897435897436</v>
      </c>
      <c r="P1526" s="2"/>
      <c r="Q1526" s="2">
        <f t="shared" si="423"/>
        <v>538.71794871794873</v>
      </c>
      <c r="R1526" s="28">
        <v>16.666666666666668</v>
      </c>
    </row>
    <row r="1527" spans="1:18" hidden="1" x14ac:dyDescent="0.25">
      <c r="A1527" s="16">
        <v>45846</v>
      </c>
      <c r="B1527" s="2" t="s">
        <v>205</v>
      </c>
      <c r="C1527" s="2">
        <v>930</v>
      </c>
      <c r="D1527" s="55">
        <v>0.41</v>
      </c>
      <c r="E1527" s="11">
        <v>0.31</v>
      </c>
      <c r="F1527" s="2">
        <f t="shared" si="418"/>
        <v>590</v>
      </c>
      <c r="G1527" s="2">
        <f t="shared" si="419"/>
        <v>0.93</v>
      </c>
      <c r="H1527" s="2">
        <f t="shared" si="420"/>
        <v>1.576271186440678</v>
      </c>
      <c r="I1527" s="12">
        <v>0.02</v>
      </c>
      <c r="J1527" s="12">
        <v>7.0000000000000007E-2</v>
      </c>
      <c r="K1527" s="12">
        <f t="shared" si="421"/>
        <v>0.51654406779661022</v>
      </c>
      <c r="L1527" s="12">
        <f t="shared" si="422"/>
        <v>2.1828152542372883</v>
      </c>
      <c r="M1527" s="2">
        <f>L1527*250</f>
        <v>545.70381355932204</v>
      </c>
      <c r="N1527" s="2"/>
      <c r="O1527" s="2"/>
      <c r="P1527" s="2"/>
      <c r="Q1527" s="2">
        <f t="shared" si="423"/>
        <v>2182.8152542372882</v>
      </c>
      <c r="R1527" s="28">
        <v>16.666666666666668</v>
      </c>
    </row>
    <row r="1528" spans="1:18" hidden="1" x14ac:dyDescent="0.25">
      <c r="A1528" s="16">
        <v>45846</v>
      </c>
      <c r="B1528" s="2" t="s">
        <v>237</v>
      </c>
      <c r="C1528" s="2">
        <v>450</v>
      </c>
      <c r="D1528" s="19">
        <v>0.26</v>
      </c>
      <c r="E1528" s="11">
        <v>7.4999999999999997E-2</v>
      </c>
      <c r="F1528" s="2">
        <f t="shared" si="418"/>
        <v>740</v>
      </c>
      <c r="G1528" s="2">
        <f t="shared" si="419"/>
        <v>0.45</v>
      </c>
      <c r="H1528" s="2">
        <f t="shared" si="420"/>
        <v>0.60810810810810811</v>
      </c>
      <c r="I1528" s="12">
        <v>0.02</v>
      </c>
      <c r="J1528" s="12">
        <v>7.0000000000000007E-2</v>
      </c>
      <c r="K1528" s="12">
        <f t="shared" si="421"/>
        <v>5.2358108108108113E-2</v>
      </c>
      <c r="L1528" s="12">
        <f t="shared" si="422"/>
        <v>0.75046621621621634</v>
      </c>
      <c r="M1528" s="2"/>
      <c r="N1528" s="2"/>
      <c r="O1528" s="2">
        <f t="shared" ref="O1528" si="424">L1528*500</f>
        <v>375.23310810810818</v>
      </c>
      <c r="P1528" s="2"/>
      <c r="Q1528" s="2">
        <f t="shared" si="423"/>
        <v>750.46621621621637</v>
      </c>
      <c r="R1528" s="28">
        <v>16.666666666666668</v>
      </c>
    </row>
    <row r="1529" spans="1:18" hidden="1" x14ac:dyDescent="0.25">
      <c r="A1529" s="16">
        <v>45846</v>
      </c>
      <c r="B1529" s="2" t="s">
        <v>91</v>
      </c>
      <c r="C1529" s="2">
        <v>450</v>
      </c>
      <c r="D1529" s="19">
        <v>0.26</v>
      </c>
      <c r="E1529" s="11">
        <v>7.4999999999999997E-2</v>
      </c>
      <c r="F1529" s="2">
        <f t="shared" ref="F1529:F1542" si="425">1000-1000*D1529</f>
        <v>740</v>
      </c>
      <c r="G1529" s="2">
        <f t="shared" ref="G1529:G1542" si="426">C1529/1000</f>
        <v>0.45</v>
      </c>
      <c r="H1529" s="2">
        <f t="shared" ref="H1529:H1542" si="427">C1529/F1529</f>
        <v>0.60810810810810811</v>
      </c>
      <c r="I1529" s="12">
        <v>0.02</v>
      </c>
      <c r="J1529" s="12">
        <v>7.0000000000000007E-2</v>
      </c>
      <c r="K1529" s="12">
        <f t="shared" ref="K1529:K1542" si="428">SUM(H1529:J1529)*E1529</f>
        <v>5.2358108108108113E-2</v>
      </c>
      <c r="L1529" s="12">
        <f t="shared" ref="L1529:L1542" si="429">SUM(H1529:K1529)</f>
        <v>0.75046621621621634</v>
      </c>
      <c r="M1529" s="2"/>
      <c r="N1529" s="2"/>
      <c r="O1529" s="2">
        <f t="shared" ref="O1529:O1535" si="430">L1529*500</f>
        <v>375.23310810810818</v>
      </c>
      <c r="P1529" s="2"/>
      <c r="Q1529" s="2">
        <f t="shared" ref="Q1529:Q1542" si="431">L1529*1000</f>
        <v>750.46621621621637</v>
      </c>
      <c r="R1529" s="28">
        <v>16.666666666666668</v>
      </c>
    </row>
    <row r="1530" spans="1:18" hidden="1" x14ac:dyDescent="0.25">
      <c r="A1530" s="16">
        <v>45846</v>
      </c>
      <c r="B1530" s="2" t="s">
        <v>238</v>
      </c>
      <c r="C1530" s="2">
        <v>450</v>
      </c>
      <c r="D1530" s="19">
        <v>0.26</v>
      </c>
      <c r="E1530" s="11">
        <v>0.22</v>
      </c>
      <c r="F1530" s="2">
        <f t="shared" si="425"/>
        <v>740</v>
      </c>
      <c r="G1530" s="2">
        <f t="shared" si="426"/>
        <v>0.45</v>
      </c>
      <c r="H1530" s="2">
        <f t="shared" si="427"/>
        <v>0.60810810810810811</v>
      </c>
      <c r="I1530" s="12">
        <v>0.02</v>
      </c>
      <c r="J1530" s="12">
        <v>7.0000000000000007E-2</v>
      </c>
      <c r="K1530" s="12">
        <f t="shared" si="428"/>
        <v>0.15358378378378382</v>
      </c>
      <c r="L1530" s="12">
        <f t="shared" si="429"/>
        <v>0.85169189189189198</v>
      </c>
      <c r="M1530" s="2"/>
      <c r="N1530" s="2"/>
      <c r="O1530" s="2">
        <f t="shared" si="430"/>
        <v>425.84594594594597</v>
      </c>
      <c r="P1530" s="2"/>
      <c r="Q1530" s="2">
        <f t="shared" si="431"/>
        <v>851.69189189189194</v>
      </c>
      <c r="R1530" s="28">
        <v>16.666666666666668</v>
      </c>
    </row>
    <row r="1531" spans="1:18" hidden="1" x14ac:dyDescent="0.25">
      <c r="A1531" s="16">
        <v>45846</v>
      </c>
      <c r="B1531" s="2" t="s">
        <v>196</v>
      </c>
      <c r="C1531" s="2">
        <v>450</v>
      </c>
      <c r="D1531" s="19">
        <v>0.26</v>
      </c>
      <c r="E1531" s="11">
        <v>7.4999999999999997E-2</v>
      </c>
      <c r="F1531" s="2">
        <f t="shared" si="425"/>
        <v>740</v>
      </c>
      <c r="G1531" s="2">
        <f t="shared" si="426"/>
        <v>0.45</v>
      </c>
      <c r="H1531" s="2">
        <f t="shared" si="427"/>
        <v>0.60810810810810811</v>
      </c>
      <c r="I1531" s="12">
        <v>0.02</v>
      </c>
      <c r="J1531" s="12">
        <v>7.0000000000000007E-2</v>
      </c>
      <c r="K1531" s="12">
        <f t="shared" si="428"/>
        <v>5.2358108108108113E-2</v>
      </c>
      <c r="L1531" s="12">
        <f t="shared" si="429"/>
        <v>0.75046621621621634</v>
      </c>
      <c r="M1531" s="2"/>
      <c r="N1531" s="2"/>
      <c r="O1531" s="2">
        <f t="shared" si="430"/>
        <v>375.23310810810818</v>
      </c>
      <c r="P1531" s="2"/>
      <c r="Q1531" s="2">
        <f t="shared" si="431"/>
        <v>750.46621621621637</v>
      </c>
      <c r="R1531" s="28">
        <v>16.666666666666668</v>
      </c>
    </row>
    <row r="1532" spans="1:18" hidden="1" x14ac:dyDescent="0.25">
      <c r="A1532" s="16">
        <v>45848</v>
      </c>
      <c r="B1532" s="2" t="s">
        <v>192</v>
      </c>
      <c r="C1532" s="2">
        <v>550</v>
      </c>
      <c r="D1532" s="19">
        <v>0.08</v>
      </c>
      <c r="E1532" s="11">
        <v>0.15</v>
      </c>
      <c r="F1532" s="2">
        <f t="shared" si="425"/>
        <v>920</v>
      </c>
      <c r="G1532" s="2">
        <f t="shared" si="426"/>
        <v>0.55000000000000004</v>
      </c>
      <c r="H1532" s="2">
        <f t="shared" si="427"/>
        <v>0.59782608695652173</v>
      </c>
      <c r="I1532" s="12">
        <v>0.02</v>
      </c>
      <c r="J1532" s="12">
        <v>7.0000000000000007E-2</v>
      </c>
      <c r="K1532" s="12">
        <f t="shared" si="428"/>
        <v>0.10317391304347827</v>
      </c>
      <c r="L1532" s="12">
        <f t="shared" si="429"/>
        <v>0.79100000000000004</v>
      </c>
      <c r="M1532" s="2"/>
      <c r="N1532" s="2"/>
      <c r="O1532" s="2">
        <f t="shared" si="430"/>
        <v>395.5</v>
      </c>
      <c r="P1532" s="2"/>
      <c r="Q1532" s="2">
        <f t="shared" si="431"/>
        <v>791</v>
      </c>
      <c r="R1532" s="28">
        <v>16.666666666666668</v>
      </c>
    </row>
    <row r="1533" spans="1:18" hidden="1" x14ac:dyDescent="0.25">
      <c r="A1533" s="16">
        <v>45848</v>
      </c>
      <c r="B1533" s="2" t="s">
        <v>93</v>
      </c>
      <c r="C1533" s="2">
        <v>550</v>
      </c>
      <c r="D1533" s="19">
        <v>0.08</v>
      </c>
      <c r="E1533" s="11">
        <v>0.29499999999999998</v>
      </c>
      <c r="F1533" s="2">
        <f t="shared" si="425"/>
        <v>920</v>
      </c>
      <c r="G1533" s="2">
        <f t="shared" si="426"/>
        <v>0.55000000000000004</v>
      </c>
      <c r="H1533" s="2">
        <f t="shared" si="427"/>
        <v>0.59782608695652173</v>
      </c>
      <c r="I1533" s="12">
        <v>0.02</v>
      </c>
      <c r="J1533" s="12">
        <v>7.0000000000000007E-2</v>
      </c>
      <c r="K1533" s="12">
        <f t="shared" si="428"/>
        <v>0.20290869565217393</v>
      </c>
      <c r="L1533" s="12">
        <f t="shared" si="429"/>
        <v>0.89073478260869576</v>
      </c>
      <c r="M1533" s="2"/>
      <c r="N1533" s="2"/>
      <c r="O1533" s="2">
        <f t="shared" si="430"/>
        <v>445.3673913043479</v>
      </c>
      <c r="P1533" s="2"/>
      <c r="Q1533" s="2">
        <f t="shared" si="431"/>
        <v>890.73478260869581</v>
      </c>
      <c r="R1533" s="28">
        <v>16.666666666666668</v>
      </c>
    </row>
    <row r="1534" spans="1:18" hidden="1" x14ac:dyDescent="0.25">
      <c r="A1534" s="16">
        <v>45848</v>
      </c>
      <c r="B1534" s="2" t="s">
        <v>233</v>
      </c>
      <c r="C1534" s="2">
        <v>770</v>
      </c>
      <c r="D1534" s="19">
        <v>0.43</v>
      </c>
      <c r="E1534" s="11">
        <v>0.23</v>
      </c>
      <c r="F1534" s="2">
        <f t="shared" si="425"/>
        <v>570</v>
      </c>
      <c r="G1534" s="2">
        <f t="shared" si="426"/>
        <v>0.77</v>
      </c>
      <c r="H1534" s="2">
        <f t="shared" si="427"/>
        <v>1.3508771929824561</v>
      </c>
      <c r="I1534" s="12">
        <v>0.02</v>
      </c>
      <c r="J1534" s="12">
        <v>7.0000000000000007E-2</v>
      </c>
      <c r="K1534" s="12">
        <f t="shared" si="428"/>
        <v>0.33140175438596492</v>
      </c>
      <c r="L1534" s="12">
        <f t="shared" si="429"/>
        <v>1.7722789473684211</v>
      </c>
      <c r="M1534" s="2">
        <f>L1534*250</f>
        <v>443.06973684210527</v>
      </c>
      <c r="N1534" s="2"/>
      <c r="O1534" s="2"/>
      <c r="P1534" s="2"/>
      <c r="Q1534" s="2">
        <f t="shared" si="431"/>
        <v>1772.2789473684211</v>
      </c>
      <c r="R1534" s="28">
        <v>16.666666666666668</v>
      </c>
    </row>
    <row r="1535" spans="1:18" hidden="1" x14ac:dyDescent="0.25">
      <c r="A1535" s="16">
        <v>45848</v>
      </c>
      <c r="B1535" s="2" t="s">
        <v>92</v>
      </c>
      <c r="C1535" s="2">
        <v>400</v>
      </c>
      <c r="D1535" s="19">
        <v>0.1</v>
      </c>
      <c r="E1535" s="11">
        <v>0.29399999999999998</v>
      </c>
      <c r="F1535" s="2">
        <f t="shared" si="425"/>
        <v>900</v>
      </c>
      <c r="G1535" s="2">
        <f t="shared" si="426"/>
        <v>0.4</v>
      </c>
      <c r="H1535" s="2">
        <f t="shared" si="427"/>
        <v>0.44444444444444442</v>
      </c>
      <c r="I1535" s="12">
        <v>0.02</v>
      </c>
      <c r="J1535" s="12">
        <v>7.0000000000000007E-2</v>
      </c>
      <c r="K1535" s="12">
        <f t="shared" si="428"/>
        <v>0.15712666666666666</v>
      </c>
      <c r="L1535" s="12">
        <f t="shared" si="429"/>
        <v>0.69157111111111114</v>
      </c>
      <c r="M1535" s="2"/>
      <c r="N1535" s="2"/>
      <c r="O1535" s="2">
        <f t="shared" si="430"/>
        <v>345.78555555555556</v>
      </c>
      <c r="P1535" s="2"/>
      <c r="Q1535" s="2">
        <f t="shared" si="431"/>
        <v>691.57111111111112</v>
      </c>
      <c r="R1535" s="28">
        <v>16.666666666666668</v>
      </c>
    </row>
    <row r="1536" spans="1:18" hidden="1" x14ac:dyDescent="0.25">
      <c r="A1536" s="16">
        <v>45849</v>
      </c>
      <c r="B1536" s="2" t="s">
        <v>204</v>
      </c>
      <c r="C1536" s="2">
        <v>1000</v>
      </c>
      <c r="D1536" s="19">
        <v>0.28999999999999998</v>
      </c>
      <c r="E1536" s="11">
        <v>0.32900000000000001</v>
      </c>
      <c r="F1536" s="2">
        <f t="shared" si="425"/>
        <v>710</v>
      </c>
      <c r="G1536" s="2">
        <f t="shared" si="426"/>
        <v>1</v>
      </c>
      <c r="H1536" s="2">
        <f t="shared" si="427"/>
        <v>1.408450704225352</v>
      </c>
      <c r="I1536" s="12">
        <v>0.02</v>
      </c>
      <c r="J1536" s="12">
        <v>7.0000000000000007E-2</v>
      </c>
      <c r="K1536" s="12">
        <f t="shared" si="428"/>
        <v>0.49299028169014086</v>
      </c>
      <c r="L1536" s="12">
        <f t="shared" si="429"/>
        <v>1.9914409859154929</v>
      </c>
      <c r="M1536" s="2"/>
      <c r="N1536" s="2"/>
      <c r="O1536" s="2">
        <f>L1536*500</f>
        <v>995.7204929577465</v>
      </c>
      <c r="P1536" s="2"/>
      <c r="Q1536" s="2">
        <f t="shared" si="431"/>
        <v>1991.440985915493</v>
      </c>
      <c r="R1536" s="28">
        <v>16.666666666666668</v>
      </c>
    </row>
    <row r="1537" spans="1:18" hidden="1" x14ac:dyDescent="0.25">
      <c r="A1537" s="16">
        <v>45849</v>
      </c>
      <c r="B1537" s="2" t="s">
        <v>205</v>
      </c>
      <c r="C1537" s="2">
        <v>1000</v>
      </c>
      <c r="D1537" s="19">
        <v>0.28999999999999998</v>
      </c>
      <c r="E1537" s="11">
        <v>0.32200000000000001</v>
      </c>
      <c r="F1537" s="2">
        <f t="shared" si="425"/>
        <v>710</v>
      </c>
      <c r="G1537" s="2">
        <f t="shared" si="426"/>
        <v>1</v>
      </c>
      <c r="H1537" s="2">
        <f t="shared" si="427"/>
        <v>1.408450704225352</v>
      </c>
      <c r="I1537" s="12">
        <v>0.02</v>
      </c>
      <c r="J1537" s="12">
        <v>7.0000000000000007E-2</v>
      </c>
      <c r="K1537" s="12">
        <f t="shared" si="428"/>
        <v>0.48250112676056339</v>
      </c>
      <c r="L1537" s="12">
        <f t="shared" si="429"/>
        <v>1.9809518309859155</v>
      </c>
      <c r="M1537" s="2">
        <f>L1537*250</f>
        <v>495.23795774647891</v>
      </c>
      <c r="N1537" s="2"/>
      <c r="O1537" s="2"/>
      <c r="P1537" s="2"/>
      <c r="Q1537" s="2">
        <f t="shared" si="431"/>
        <v>1980.9518309859156</v>
      </c>
      <c r="R1537" s="28">
        <v>16.666666666666668</v>
      </c>
    </row>
    <row r="1538" spans="1:18" hidden="1" x14ac:dyDescent="0.25">
      <c r="A1538" s="16">
        <v>45849</v>
      </c>
      <c r="B1538" s="2" t="s">
        <v>233</v>
      </c>
      <c r="C1538" s="2">
        <v>800</v>
      </c>
      <c r="D1538" s="19">
        <v>0.32</v>
      </c>
      <c r="E1538" s="11">
        <v>0.40600000000000003</v>
      </c>
      <c r="F1538" s="2">
        <f t="shared" si="425"/>
        <v>680</v>
      </c>
      <c r="G1538" s="2">
        <f t="shared" si="426"/>
        <v>0.8</v>
      </c>
      <c r="H1538" s="2">
        <f t="shared" si="427"/>
        <v>1.1764705882352942</v>
      </c>
      <c r="I1538" s="12">
        <v>0.02</v>
      </c>
      <c r="J1538" s="12">
        <v>7.0000000000000007E-2</v>
      </c>
      <c r="K1538" s="12">
        <f t="shared" si="428"/>
        <v>0.51418705882352944</v>
      </c>
      <c r="L1538" s="12">
        <f t="shared" si="429"/>
        <v>1.7806576470588236</v>
      </c>
      <c r="M1538" s="2">
        <f>L1538*250</f>
        <v>445.1644117647059</v>
      </c>
      <c r="N1538" s="2"/>
      <c r="O1538" s="2"/>
      <c r="P1538" s="2"/>
      <c r="Q1538" s="2">
        <f t="shared" si="431"/>
        <v>1780.6576470588236</v>
      </c>
      <c r="R1538" s="28">
        <v>16.666666666666668</v>
      </c>
    </row>
    <row r="1539" spans="1:18" hidden="1" x14ac:dyDescent="0.25">
      <c r="A1539" s="16">
        <v>45849</v>
      </c>
      <c r="B1539" s="2" t="s">
        <v>240</v>
      </c>
      <c r="C1539" s="2">
        <v>400</v>
      </c>
      <c r="D1539" s="19">
        <v>0.18</v>
      </c>
      <c r="E1539" s="11">
        <v>0.3</v>
      </c>
      <c r="F1539" s="2">
        <f t="shared" si="425"/>
        <v>820</v>
      </c>
      <c r="G1539" s="2">
        <f t="shared" si="426"/>
        <v>0.4</v>
      </c>
      <c r="H1539" s="2">
        <f t="shared" si="427"/>
        <v>0.48780487804878048</v>
      </c>
      <c r="I1539" s="12">
        <v>0.02</v>
      </c>
      <c r="J1539" s="12">
        <v>7.0000000000000007E-2</v>
      </c>
      <c r="K1539" s="12">
        <f t="shared" si="428"/>
        <v>0.17334146341463416</v>
      </c>
      <c r="L1539" s="12">
        <f t="shared" si="429"/>
        <v>0.75114634146341475</v>
      </c>
      <c r="M1539" s="2"/>
      <c r="N1539" s="2"/>
      <c r="O1539" s="2">
        <f>L1539*500</f>
        <v>375.57317073170736</v>
      </c>
      <c r="P1539" s="2"/>
      <c r="Q1539" s="2">
        <f t="shared" si="431"/>
        <v>751.14634146341473</v>
      </c>
      <c r="R1539" s="28">
        <v>16.666666666666668</v>
      </c>
    </row>
    <row r="1540" spans="1:18" hidden="1" x14ac:dyDescent="0.25">
      <c r="A1540" s="16">
        <v>45849</v>
      </c>
      <c r="B1540" s="2" t="s">
        <v>196</v>
      </c>
      <c r="C1540" s="2">
        <v>400</v>
      </c>
      <c r="D1540" s="19">
        <v>0.18</v>
      </c>
      <c r="E1540" s="11">
        <v>0.3</v>
      </c>
      <c r="F1540" s="2">
        <f t="shared" si="425"/>
        <v>820</v>
      </c>
      <c r="G1540" s="2">
        <f t="shared" si="426"/>
        <v>0.4</v>
      </c>
      <c r="H1540" s="2">
        <f t="shared" si="427"/>
        <v>0.48780487804878048</v>
      </c>
      <c r="I1540" s="12">
        <v>0.02</v>
      </c>
      <c r="J1540" s="12">
        <v>7.0000000000000007E-2</v>
      </c>
      <c r="K1540" s="12">
        <f t="shared" si="428"/>
        <v>0.17334146341463416</v>
      </c>
      <c r="L1540" s="12">
        <f t="shared" si="429"/>
        <v>0.75114634146341475</v>
      </c>
      <c r="M1540" s="2"/>
      <c r="N1540" s="2"/>
      <c r="O1540" s="2">
        <f>L1540*500</f>
        <v>375.57317073170736</v>
      </c>
      <c r="P1540" s="2"/>
      <c r="Q1540" s="2">
        <f t="shared" si="431"/>
        <v>751.14634146341473</v>
      </c>
      <c r="R1540" s="28">
        <v>16.666666666666668</v>
      </c>
    </row>
    <row r="1541" spans="1:18" hidden="1" x14ac:dyDescent="0.25">
      <c r="A1541" s="16">
        <v>45849</v>
      </c>
      <c r="B1541" s="2" t="s">
        <v>206</v>
      </c>
      <c r="C1541" s="2">
        <v>480</v>
      </c>
      <c r="D1541" s="19">
        <v>0.16</v>
      </c>
      <c r="E1541" s="11">
        <v>0.13600000000000001</v>
      </c>
      <c r="F1541" s="2">
        <f t="shared" si="425"/>
        <v>840</v>
      </c>
      <c r="G1541" s="2">
        <f t="shared" si="426"/>
        <v>0.48</v>
      </c>
      <c r="H1541" s="2">
        <f t="shared" si="427"/>
        <v>0.5714285714285714</v>
      </c>
      <c r="I1541" s="12">
        <v>0.02</v>
      </c>
      <c r="J1541" s="12">
        <v>7.0000000000000007E-2</v>
      </c>
      <c r="K1541" s="12">
        <f t="shared" si="428"/>
        <v>8.9954285714285723E-2</v>
      </c>
      <c r="L1541" s="12">
        <f t="shared" si="429"/>
        <v>0.75138285714285724</v>
      </c>
      <c r="M1541" s="2"/>
      <c r="N1541" s="2"/>
      <c r="O1541" s="2">
        <f>L1541*500</f>
        <v>375.69142857142862</v>
      </c>
      <c r="P1541" s="2"/>
      <c r="Q1541" s="2">
        <f t="shared" si="431"/>
        <v>751.38285714285723</v>
      </c>
      <c r="R1541" s="28">
        <v>16.666666666666668</v>
      </c>
    </row>
    <row r="1542" spans="1:18" hidden="1" x14ac:dyDescent="0.25">
      <c r="A1542" s="16">
        <v>45850</v>
      </c>
      <c r="B1542" s="2" t="s">
        <v>95</v>
      </c>
      <c r="C1542" s="2">
        <v>450</v>
      </c>
      <c r="D1542" s="19">
        <v>0.1</v>
      </c>
      <c r="E1542" s="11">
        <v>0.20100000000000001</v>
      </c>
      <c r="F1542" s="2">
        <f t="shared" si="425"/>
        <v>900</v>
      </c>
      <c r="G1542" s="2">
        <f t="shared" si="426"/>
        <v>0.45</v>
      </c>
      <c r="H1542" s="2">
        <f t="shared" si="427"/>
        <v>0.5</v>
      </c>
      <c r="I1542" s="12">
        <v>0.02</v>
      </c>
      <c r="J1542" s="12">
        <v>7.0000000000000007E-2</v>
      </c>
      <c r="K1542" s="12">
        <f t="shared" si="428"/>
        <v>0.11859000000000003</v>
      </c>
      <c r="L1542" s="12">
        <f t="shared" si="429"/>
        <v>0.70859000000000005</v>
      </c>
      <c r="M1542" s="2"/>
      <c r="N1542" s="2"/>
      <c r="O1542" s="2">
        <f>L1542*500</f>
        <v>354.29500000000002</v>
      </c>
      <c r="P1542" s="2"/>
      <c r="Q1542" s="2">
        <f t="shared" si="431"/>
        <v>708.59</v>
      </c>
      <c r="R1542" s="28">
        <v>16.666666666666668</v>
      </c>
    </row>
    <row r="1543" spans="1:18" hidden="1" x14ac:dyDescent="0.25">
      <c r="A1543" s="16">
        <v>45850</v>
      </c>
      <c r="B1543" s="2" t="s">
        <v>241</v>
      </c>
      <c r="C1543" s="2">
        <v>440</v>
      </c>
      <c r="D1543" s="19">
        <v>0.2</v>
      </c>
      <c r="E1543" s="11">
        <v>0.17199999999999999</v>
      </c>
      <c r="F1543" s="2">
        <f t="shared" ref="F1543:F1548" si="432">1000-1000*D1543</f>
        <v>800</v>
      </c>
      <c r="G1543" s="2">
        <f t="shared" ref="G1543:G1548" si="433">C1543/1000</f>
        <v>0.44</v>
      </c>
      <c r="H1543" s="2">
        <f t="shared" ref="H1543:H1548" si="434">C1543/F1543</f>
        <v>0.55000000000000004</v>
      </c>
      <c r="I1543" s="12">
        <v>0.02</v>
      </c>
      <c r="J1543" s="12">
        <v>7.0000000000000007E-2</v>
      </c>
      <c r="K1543" s="12">
        <f t="shared" ref="K1543:K1548" si="435">SUM(H1543:J1543)*E1543</f>
        <v>0.11008000000000001</v>
      </c>
      <c r="L1543" s="12">
        <f t="shared" ref="L1543:L1548" si="436">SUM(H1543:K1543)</f>
        <v>0.75008000000000008</v>
      </c>
      <c r="M1543" s="2"/>
      <c r="N1543" s="2"/>
      <c r="O1543" s="2">
        <f>L1543*500</f>
        <v>375.04</v>
      </c>
      <c r="P1543" s="2"/>
      <c r="Q1543" s="2">
        <f t="shared" ref="Q1543:Q1548" si="437">L1543*1000</f>
        <v>750.08</v>
      </c>
      <c r="R1543" s="28">
        <v>16.666666666666668</v>
      </c>
    </row>
    <row r="1544" spans="1:18" hidden="1" x14ac:dyDescent="0.25">
      <c r="A1544" s="16">
        <v>45853</v>
      </c>
      <c r="B1544" s="2" t="s">
        <v>192</v>
      </c>
      <c r="C1544" s="2">
        <v>600</v>
      </c>
      <c r="D1544" s="19">
        <v>0.13</v>
      </c>
      <c r="E1544" s="11">
        <v>0.14199999999999999</v>
      </c>
      <c r="F1544" s="2">
        <f t="shared" si="432"/>
        <v>870</v>
      </c>
      <c r="G1544" s="2">
        <f t="shared" si="433"/>
        <v>0.6</v>
      </c>
      <c r="H1544" s="2">
        <f t="shared" si="434"/>
        <v>0.68965517241379315</v>
      </c>
      <c r="I1544" s="12">
        <v>0.02</v>
      </c>
      <c r="J1544" s="12">
        <v>7.0000000000000007E-2</v>
      </c>
      <c r="K1544" s="12">
        <f t="shared" si="435"/>
        <v>0.11071103448275862</v>
      </c>
      <c r="L1544" s="12">
        <f t="shared" si="436"/>
        <v>0.89036620689655188</v>
      </c>
      <c r="M1544" s="2"/>
      <c r="N1544" s="2"/>
      <c r="O1544" s="2">
        <f t="shared" ref="O1544:O1549" si="438">L1544*500</f>
        <v>445.18310344827592</v>
      </c>
      <c r="P1544" s="2"/>
      <c r="Q1544" s="2">
        <f t="shared" si="437"/>
        <v>890.36620689655183</v>
      </c>
      <c r="R1544" s="28">
        <v>16.666666666666668</v>
      </c>
    </row>
    <row r="1545" spans="1:18" hidden="1" x14ac:dyDescent="0.25">
      <c r="A1545" s="16">
        <v>45853</v>
      </c>
      <c r="B1545" s="2" t="s">
        <v>93</v>
      </c>
      <c r="C1545" s="2">
        <v>600</v>
      </c>
      <c r="D1545" s="19">
        <v>0.13</v>
      </c>
      <c r="E1545" s="11">
        <v>0.27</v>
      </c>
      <c r="F1545" s="2">
        <f t="shared" si="432"/>
        <v>870</v>
      </c>
      <c r="G1545" s="2">
        <f t="shared" si="433"/>
        <v>0.6</v>
      </c>
      <c r="H1545" s="2">
        <f t="shared" si="434"/>
        <v>0.68965517241379315</v>
      </c>
      <c r="I1545" s="12">
        <v>0.02</v>
      </c>
      <c r="J1545" s="12">
        <v>7.0000000000000007E-2</v>
      </c>
      <c r="K1545" s="12">
        <f t="shared" si="435"/>
        <v>0.21050689655172419</v>
      </c>
      <c r="L1545" s="12">
        <f t="shared" si="436"/>
        <v>0.99016206896551739</v>
      </c>
      <c r="M1545" s="2"/>
      <c r="N1545" s="2"/>
      <c r="O1545" s="2">
        <f t="shared" si="438"/>
        <v>495.0810344827587</v>
      </c>
      <c r="P1545" s="2"/>
      <c r="Q1545" s="2">
        <f t="shared" si="437"/>
        <v>990.16206896551739</v>
      </c>
      <c r="R1545" s="28">
        <v>16.666666666666668</v>
      </c>
    </row>
    <row r="1546" spans="1:18" hidden="1" x14ac:dyDescent="0.25">
      <c r="A1546" s="16">
        <v>45853</v>
      </c>
      <c r="B1546" s="2" t="s">
        <v>236</v>
      </c>
      <c r="C1546" s="2">
        <v>320</v>
      </c>
      <c r="D1546" s="19">
        <v>0.19</v>
      </c>
      <c r="E1546" s="11">
        <v>0.55000000000000004</v>
      </c>
      <c r="F1546" s="2">
        <f t="shared" si="432"/>
        <v>810</v>
      </c>
      <c r="G1546" s="2">
        <f t="shared" si="433"/>
        <v>0.32</v>
      </c>
      <c r="H1546" s="2">
        <f t="shared" si="434"/>
        <v>0.39506172839506171</v>
      </c>
      <c r="I1546" s="12">
        <v>0.02</v>
      </c>
      <c r="J1546" s="12">
        <v>7.0000000000000007E-2</v>
      </c>
      <c r="K1546" s="12">
        <f t="shared" si="435"/>
        <v>0.26678395061728399</v>
      </c>
      <c r="L1546" s="12">
        <f t="shared" si="436"/>
        <v>0.75184567901234578</v>
      </c>
      <c r="M1546" s="2"/>
      <c r="N1546" s="2"/>
      <c r="O1546" s="2">
        <f t="shared" si="438"/>
        <v>375.92283950617286</v>
      </c>
      <c r="P1546" s="2"/>
      <c r="Q1546" s="2">
        <f t="shared" si="437"/>
        <v>751.84567901234573</v>
      </c>
      <c r="R1546" s="28">
        <v>16.666666666666668</v>
      </c>
    </row>
    <row r="1547" spans="1:18" hidden="1" x14ac:dyDescent="0.25">
      <c r="A1547" s="16">
        <v>45854</v>
      </c>
      <c r="B1547" s="2" t="s">
        <v>106</v>
      </c>
      <c r="C1547" s="2">
        <v>300</v>
      </c>
      <c r="D1547" s="19">
        <v>0</v>
      </c>
      <c r="E1547" s="11">
        <v>0.51300000000000001</v>
      </c>
      <c r="F1547" s="2">
        <f t="shared" si="432"/>
        <v>1000</v>
      </c>
      <c r="G1547" s="2">
        <f t="shared" si="433"/>
        <v>0.3</v>
      </c>
      <c r="H1547" s="2">
        <f t="shared" si="434"/>
        <v>0.3</v>
      </c>
      <c r="I1547" s="12">
        <v>0.02</v>
      </c>
      <c r="J1547" s="12">
        <v>7.0000000000000007E-2</v>
      </c>
      <c r="K1547" s="12">
        <f t="shared" si="435"/>
        <v>0.20007</v>
      </c>
      <c r="L1547" s="12">
        <f t="shared" si="436"/>
        <v>0.59006999999999998</v>
      </c>
      <c r="M1547" s="2"/>
      <c r="N1547" s="2"/>
      <c r="O1547" s="2">
        <f t="shared" si="438"/>
        <v>295.03499999999997</v>
      </c>
      <c r="P1547" s="2"/>
      <c r="Q1547" s="2">
        <f t="shared" si="437"/>
        <v>590.06999999999994</v>
      </c>
      <c r="R1547" s="28">
        <v>16.666666666666668</v>
      </c>
    </row>
    <row r="1548" spans="1:18" hidden="1" x14ac:dyDescent="0.25">
      <c r="A1548" s="16">
        <v>45854</v>
      </c>
      <c r="B1548" s="2" t="s">
        <v>152</v>
      </c>
      <c r="C1548" s="2">
        <v>300</v>
      </c>
      <c r="D1548" s="19">
        <v>0</v>
      </c>
      <c r="E1548" s="11">
        <v>0.41499999999999998</v>
      </c>
      <c r="F1548" s="2">
        <f t="shared" si="432"/>
        <v>1000</v>
      </c>
      <c r="G1548" s="2">
        <f t="shared" si="433"/>
        <v>0.3</v>
      </c>
      <c r="H1548" s="2">
        <f t="shared" si="434"/>
        <v>0.3</v>
      </c>
      <c r="I1548" s="12">
        <v>0.02</v>
      </c>
      <c r="J1548" s="12">
        <v>7.0000000000000007E-2</v>
      </c>
      <c r="K1548" s="12">
        <f t="shared" si="435"/>
        <v>0.16184999999999999</v>
      </c>
      <c r="L1548" s="12">
        <f t="shared" si="436"/>
        <v>0.55184999999999995</v>
      </c>
      <c r="M1548" s="2"/>
      <c r="N1548" s="2"/>
      <c r="O1548" s="2">
        <f t="shared" si="438"/>
        <v>275.92499999999995</v>
      </c>
      <c r="P1548" s="2"/>
      <c r="Q1548" s="2">
        <f t="shared" si="437"/>
        <v>551.84999999999991</v>
      </c>
      <c r="R1548" s="28">
        <v>16.666666666666668</v>
      </c>
    </row>
    <row r="1549" spans="1:18" hidden="1" x14ac:dyDescent="0.25">
      <c r="A1549" s="16">
        <v>45854</v>
      </c>
      <c r="B1549" s="2" t="s">
        <v>205</v>
      </c>
      <c r="C1549" s="2">
        <v>950</v>
      </c>
      <c r="D1549" s="19">
        <v>0.47</v>
      </c>
      <c r="E1549" s="11">
        <v>0.22</v>
      </c>
      <c r="F1549" s="2">
        <f t="shared" ref="F1549:F1561" si="439">1000-1000*D1549</f>
        <v>530</v>
      </c>
      <c r="G1549" s="2">
        <f t="shared" ref="G1549:G1561" si="440">C1549/1000</f>
        <v>0.95</v>
      </c>
      <c r="H1549" s="2">
        <f t="shared" ref="H1549:H1561" si="441">C1549/F1549</f>
        <v>1.7924528301886793</v>
      </c>
      <c r="I1549" s="12">
        <v>0.02</v>
      </c>
      <c r="J1549" s="12">
        <v>7.0000000000000007E-2</v>
      </c>
      <c r="K1549" s="12">
        <f t="shared" ref="K1549:K1561" si="442">SUM(H1549:J1549)*E1549</f>
        <v>0.41413962264150944</v>
      </c>
      <c r="L1549" s="12">
        <f t="shared" ref="L1549:L1561" si="443">SUM(H1549:K1549)</f>
        <v>2.2965924528301889</v>
      </c>
      <c r="M1549" s="2">
        <f>L1549*250</f>
        <v>574.14811320754723</v>
      </c>
      <c r="N1549" s="2"/>
      <c r="O1549" s="2">
        <f t="shared" si="438"/>
        <v>1148.2962264150945</v>
      </c>
      <c r="P1549" s="2"/>
      <c r="Q1549" s="2">
        <f t="shared" ref="Q1549:Q1561" si="444">L1549*1000</f>
        <v>2296.5924528301889</v>
      </c>
      <c r="R1549" s="28">
        <v>16.666666666666668</v>
      </c>
    </row>
    <row r="1550" spans="1:18" hidden="1" x14ac:dyDescent="0.25">
      <c r="A1550" s="16">
        <v>45854</v>
      </c>
      <c r="B1550" s="2" t="s">
        <v>90</v>
      </c>
      <c r="C1550" s="2">
        <v>350</v>
      </c>
      <c r="D1550" s="19">
        <v>0.18</v>
      </c>
      <c r="E1550" s="11">
        <v>0.53</v>
      </c>
      <c r="F1550" s="2">
        <f t="shared" si="439"/>
        <v>820</v>
      </c>
      <c r="G1550" s="2">
        <f t="shared" si="440"/>
        <v>0.35</v>
      </c>
      <c r="H1550" s="2">
        <f t="shared" si="441"/>
        <v>0.42682926829268292</v>
      </c>
      <c r="I1550" s="12">
        <v>0.02</v>
      </c>
      <c r="J1550" s="12">
        <v>7.0000000000000007E-2</v>
      </c>
      <c r="K1550" s="12">
        <f t="shared" si="442"/>
        <v>0.27391951219512195</v>
      </c>
      <c r="L1550" s="12">
        <f t="shared" si="443"/>
        <v>0.79074878048780484</v>
      </c>
      <c r="M1550" s="2"/>
      <c r="N1550" s="2"/>
      <c r="O1550" s="2">
        <f t="shared" ref="O1550:O1557" si="445">L1550*500</f>
        <v>395.37439024390244</v>
      </c>
      <c r="P1550" s="2"/>
      <c r="Q1550" s="2">
        <f t="shared" si="444"/>
        <v>790.74878048780488</v>
      </c>
      <c r="R1550" s="28">
        <v>16.666666666666668</v>
      </c>
    </row>
    <row r="1551" spans="1:18" hidden="1" x14ac:dyDescent="0.25">
      <c r="A1551" s="16">
        <v>45854</v>
      </c>
      <c r="B1551" s="2" t="s">
        <v>196</v>
      </c>
      <c r="C1551" s="2">
        <v>350</v>
      </c>
      <c r="D1551" s="19">
        <v>0.18</v>
      </c>
      <c r="E1551" s="11">
        <v>0.53</v>
      </c>
      <c r="F1551" s="2">
        <f t="shared" si="439"/>
        <v>820</v>
      </c>
      <c r="G1551" s="2">
        <f t="shared" si="440"/>
        <v>0.35</v>
      </c>
      <c r="H1551" s="2">
        <f t="shared" si="441"/>
        <v>0.42682926829268292</v>
      </c>
      <c r="I1551" s="12">
        <v>0.02</v>
      </c>
      <c r="J1551" s="12">
        <v>7.0000000000000007E-2</v>
      </c>
      <c r="K1551" s="12">
        <f t="shared" si="442"/>
        <v>0.27391951219512195</v>
      </c>
      <c r="L1551" s="12">
        <f t="shared" si="443"/>
        <v>0.79074878048780484</v>
      </c>
      <c r="M1551" s="2"/>
      <c r="N1551" s="2"/>
      <c r="O1551" s="2">
        <f t="shared" si="445"/>
        <v>395.37439024390244</v>
      </c>
      <c r="P1551" s="2"/>
      <c r="Q1551" s="2">
        <f t="shared" si="444"/>
        <v>790.74878048780488</v>
      </c>
      <c r="R1551" s="28">
        <v>16.666666666666668</v>
      </c>
    </row>
    <row r="1552" spans="1:18" hidden="1" x14ac:dyDescent="0.25">
      <c r="A1552" s="16">
        <v>45854</v>
      </c>
      <c r="B1552" s="2" t="s">
        <v>192</v>
      </c>
      <c r="C1552" s="2">
        <v>350</v>
      </c>
      <c r="D1552" s="19">
        <v>0.18</v>
      </c>
      <c r="E1552" s="11">
        <v>0.33600000000000002</v>
      </c>
      <c r="F1552" s="2">
        <f t="shared" si="439"/>
        <v>820</v>
      </c>
      <c r="G1552" s="2">
        <f t="shared" si="440"/>
        <v>0.35</v>
      </c>
      <c r="H1552" s="2">
        <f t="shared" si="441"/>
        <v>0.42682926829268292</v>
      </c>
      <c r="I1552" s="12">
        <v>0.02</v>
      </c>
      <c r="J1552" s="12">
        <v>7.0000000000000007E-2</v>
      </c>
      <c r="K1552" s="12">
        <f t="shared" si="442"/>
        <v>0.17365463414634147</v>
      </c>
      <c r="L1552" s="12">
        <f t="shared" si="443"/>
        <v>0.69048390243902436</v>
      </c>
      <c r="M1552" s="2"/>
      <c r="N1552" s="2"/>
      <c r="O1552" s="2">
        <f t="shared" si="445"/>
        <v>345.2419512195122</v>
      </c>
      <c r="P1552" s="2"/>
      <c r="Q1552" s="2">
        <f t="shared" si="444"/>
        <v>690.4839024390244</v>
      </c>
      <c r="R1552" s="28">
        <v>16.666666666666668</v>
      </c>
    </row>
    <row r="1553" spans="1:18" hidden="1" x14ac:dyDescent="0.25">
      <c r="A1553" s="16">
        <v>45854</v>
      </c>
      <c r="B1553" s="2" t="s">
        <v>92</v>
      </c>
      <c r="C1553" s="2">
        <v>420</v>
      </c>
      <c r="D1553" s="19">
        <v>0.05</v>
      </c>
      <c r="E1553" s="11">
        <v>0.3</v>
      </c>
      <c r="F1553" s="2">
        <f t="shared" si="439"/>
        <v>950</v>
      </c>
      <c r="G1553" s="2">
        <f t="shared" si="440"/>
        <v>0.42</v>
      </c>
      <c r="H1553" s="2">
        <f t="shared" si="441"/>
        <v>0.44210526315789472</v>
      </c>
      <c r="I1553" s="12">
        <v>0.02</v>
      </c>
      <c r="J1553" s="12">
        <v>7.0000000000000007E-2</v>
      </c>
      <c r="K1553" s="12">
        <f t="shared" si="442"/>
        <v>0.15963157894736843</v>
      </c>
      <c r="L1553" s="12">
        <f t="shared" si="443"/>
        <v>0.69173684210526321</v>
      </c>
      <c r="M1553" s="2"/>
      <c r="N1553" s="2"/>
      <c r="O1553" s="2">
        <f t="shared" si="445"/>
        <v>345.86842105263162</v>
      </c>
      <c r="P1553" s="2"/>
      <c r="Q1553" s="2">
        <f t="shared" si="444"/>
        <v>691.73684210526324</v>
      </c>
      <c r="R1553" s="28">
        <v>16.666666666666668</v>
      </c>
    </row>
    <row r="1554" spans="1:18" hidden="1" x14ac:dyDescent="0.25">
      <c r="A1554" s="16">
        <v>45855</v>
      </c>
      <c r="B1554" s="2" t="s">
        <v>192</v>
      </c>
      <c r="C1554" s="2">
        <v>520</v>
      </c>
      <c r="D1554" s="19">
        <v>0.14000000000000001</v>
      </c>
      <c r="E1554" s="11">
        <v>0.28199999999999997</v>
      </c>
      <c r="F1554" s="2">
        <f t="shared" si="439"/>
        <v>860</v>
      </c>
      <c r="G1554" s="2">
        <f t="shared" si="440"/>
        <v>0.52</v>
      </c>
      <c r="H1554" s="2">
        <f t="shared" si="441"/>
        <v>0.60465116279069764</v>
      </c>
      <c r="I1554" s="12">
        <v>0.02</v>
      </c>
      <c r="J1554" s="12">
        <v>7.0000000000000007E-2</v>
      </c>
      <c r="K1554" s="12">
        <f t="shared" si="442"/>
        <v>0.19589162790697673</v>
      </c>
      <c r="L1554" s="12">
        <f t="shared" si="443"/>
        <v>0.89054279069767439</v>
      </c>
      <c r="M1554" s="2"/>
      <c r="N1554" s="2"/>
      <c r="O1554" s="2">
        <f t="shared" si="445"/>
        <v>445.27139534883719</v>
      </c>
      <c r="P1554" s="2"/>
      <c r="Q1554" s="2">
        <f t="shared" si="444"/>
        <v>890.54279069767438</v>
      </c>
      <c r="R1554" s="28">
        <v>16.666666666666668</v>
      </c>
    </row>
    <row r="1555" spans="1:18" hidden="1" x14ac:dyDescent="0.25">
      <c r="A1555" s="16">
        <v>45855</v>
      </c>
      <c r="B1555" s="2" t="s">
        <v>93</v>
      </c>
      <c r="C1555" s="2">
        <v>520</v>
      </c>
      <c r="D1555" s="19">
        <v>0.14000000000000001</v>
      </c>
      <c r="E1555" s="11">
        <v>0.42599999999999999</v>
      </c>
      <c r="F1555" s="2">
        <f t="shared" si="439"/>
        <v>860</v>
      </c>
      <c r="G1555" s="2">
        <f t="shared" si="440"/>
        <v>0.52</v>
      </c>
      <c r="H1555" s="2">
        <f t="shared" si="441"/>
        <v>0.60465116279069764</v>
      </c>
      <c r="I1555" s="12">
        <v>0.02</v>
      </c>
      <c r="J1555" s="12">
        <v>7.0000000000000007E-2</v>
      </c>
      <c r="K1555" s="12">
        <f t="shared" si="442"/>
        <v>0.29592139534883721</v>
      </c>
      <c r="L1555" s="12">
        <f t="shared" si="443"/>
        <v>0.99057255813953493</v>
      </c>
      <c r="M1555" s="2"/>
      <c r="N1555" s="2"/>
      <c r="O1555" s="2">
        <f t="shared" si="445"/>
        <v>495.28627906976749</v>
      </c>
      <c r="P1555" s="2"/>
      <c r="Q1555" s="2">
        <f t="shared" si="444"/>
        <v>990.57255813953498</v>
      </c>
      <c r="R1555" s="28">
        <v>16.666666666666668</v>
      </c>
    </row>
    <row r="1556" spans="1:18" hidden="1" x14ac:dyDescent="0.25">
      <c r="A1556" s="16">
        <v>45855</v>
      </c>
      <c r="B1556" s="2" t="s">
        <v>94</v>
      </c>
      <c r="C1556" s="2">
        <v>350</v>
      </c>
      <c r="D1556" s="19">
        <v>0.21</v>
      </c>
      <c r="E1556" s="11">
        <v>0.41</v>
      </c>
      <c r="F1556" s="2">
        <f t="shared" si="439"/>
        <v>790</v>
      </c>
      <c r="G1556" s="2">
        <f t="shared" si="440"/>
        <v>0.35</v>
      </c>
      <c r="H1556" s="2">
        <f t="shared" si="441"/>
        <v>0.44303797468354428</v>
      </c>
      <c r="I1556" s="12">
        <v>0.02</v>
      </c>
      <c r="J1556" s="12">
        <v>7.0000000000000007E-2</v>
      </c>
      <c r="K1556" s="12">
        <f t="shared" si="442"/>
        <v>0.21854556962025315</v>
      </c>
      <c r="L1556" s="12">
        <f t="shared" si="443"/>
        <v>0.75158354430379748</v>
      </c>
      <c r="M1556" s="2"/>
      <c r="N1556" s="2"/>
      <c r="O1556" s="2">
        <f t="shared" si="445"/>
        <v>375.79177215189873</v>
      </c>
      <c r="P1556" s="2"/>
      <c r="Q1556" s="2">
        <f t="shared" si="444"/>
        <v>751.58354430379745</v>
      </c>
      <c r="R1556" s="28">
        <v>16.666666666666668</v>
      </c>
    </row>
    <row r="1557" spans="1:18" hidden="1" x14ac:dyDescent="0.25">
      <c r="A1557" s="16">
        <v>45855</v>
      </c>
      <c r="B1557" s="2" t="s">
        <v>154</v>
      </c>
      <c r="C1557" s="2">
        <v>350</v>
      </c>
      <c r="D1557" s="19">
        <v>0.21</v>
      </c>
      <c r="E1557" s="11">
        <v>0.41</v>
      </c>
      <c r="F1557" s="2">
        <f t="shared" si="439"/>
        <v>790</v>
      </c>
      <c r="G1557" s="2">
        <f t="shared" si="440"/>
        <v>0.35</v>
      </c>
      <c r="H1557" s="2">
        <f t="shared" si="441"/>
        <v>0.44303797468354428</v>
      </c>
      <c r="I1557" s="12">
        <v>0.02</v>
      </c>
      <c r="J1557" s="12">
        <v>7.0000000000000007E-2</v>
      </c>
      <c r="K1557" s="12">
        <f t="shared" si="442"/>
        <v>0.21854556962025315</v>
      </c>
      <c r="L1557" s="12">
        <f t="shared" si="443"/>
        <v>0.75158354430379748</v>
      </c>
      <c r="M1557" s="2"/>
      <c r="N1557" s="2"/>
      <c r="O1557" s="2">
        <f t="shared" si="445"/>
        <v>375.79177215189873</v>
      </c>
      <c r="P1557" s="2"/>
      <c r="Q1557" s="2">
        <f t="shared" si="444"/>
        <v>751.58354430379745</v>
      </c>
      <c r="R1557" s="28">
        <v>16.666666666666668</v>
      </c>
    </row>
    <row r="1558" spans="1:18" hidden="1" x14ac:dyDescent="0.25">
      <c r="A1558" s="16">
        <v>45856</v>
      </c>
      <c r="B1558" s="2" t="s">
        <v>111</v>
      </c>
      <c r="C1558" s="2">
        <v>1150</v>
      </c>
      <c r="D1558" s="19">
        <v>0.35</v>
      </c>
      <c r="E1558" s="11">
        <v>0.23799999999999999</v>
      </c>
      <c r="F1558" s="2">
        <f t="shared" si="439"/>
        <v>650</v>
      </c>
      <c r="G1558" s="2">
        <f t="shared" si="440"/>
        <v>1.1499999999999999</v>
      </c>
      <c r="H1558" s="2">
        <f t="shared" si="441"/>
        <v>1.7692307692307692</v>
      </c>
      <c r="I1558" s="12">
        <v>0.02</v>
      </c>
      <c r="J1558" s="12">
        <v>7.0000000000000007E-2</v>
      </c>
      <c r="K1558" s="12">
        <f t="shared" si="442"/>
        <v>0.44249692307692307</v>
      </c>
      <c r="L1558" s="12">
        <f t="shared" si="443"/>
        <v>2.3017276923076921</v>
      </c>
      <c r="M1558" s="2">
        <f>L1558*250</f>
        <v>575.431923076923</v>
      </c>
      <c r="N1558" s="2"/>
      <c r="O1558" s="2"/>
      <c r="P1558" s="2"/>
      <c r="Q1558" s="2">
        <f t="shared" si="444"/>
        <v>2301.727692307692</v>
      </c>
      <c r="R1558" s="28">
        <v>16.666666666666668</v>
      </c>
    </row>
    <row r="1559" spans="1:18" hidden="1" x14ac:dyDescent="0.25">
      <c r="A1559" s="16">
        <v>45856</v>
      </c>
      <c r="B1559" s="2" t="s">
        <v>110</v>
      </c>
      <c r="C1559" s="2">
        <v>220</v>
      </c>
      <c r="D1559" s="19">
        <v>0</v>
      </c>
      <c r="E1559" s="11">
        <v>0.58199999999999996</v>
      </c>
      <c r="F1559" s="2">
        <f t="shared" si="439"/>
        <v>1000</v>
      </c>
      <c r="G1559" s="2">
        <f t="shared" si="440"/>
        <v>0.22</v>
      </c>
      <c r="H1559" s="2">
        <f t="shared" si="441"/>
        <v>0.22</v>
      </c>
      <c r="I1559" s="12">
        <v>0.02</v>
      </c>
      <c r="J1559" s="12">
        <v>7.0000000000000007E-2</v>
      </c>
      <c r="K1559" s="12">
        <f t="shared" si="442"/>
        <v>0.18042</v>
      </c>
      <c r="L1559" s="12">
        <f t="shared" si="443"/>
        <v>0.49041999999999997</v>
      </c>
      <c r="M1559" s="2"/>
      <c r="N1559" s="2"/>
      <c r="O1559" s="2">
        <f>L1559*500</f>
        <v>245.20999999999998</v>
      </c>
      <c r="P1559" s="2"/>
      <c r="Q1559" s="2">
        <f t="shared" si="444"/>
        <v>490.41999999999996</v>
      </c>
      <c r="R1559" s="28">
        <v>16.666666666666668</v>
      </c>
    </row>
    <row r="1560" spans="1:18" hidden="1" x14ac:dyDescent="0.25">
      <c r="A1560" s="16">
        <v>45857</v>
      </c>
      <c r="B1560" s="2" t="s">
        <v>106</v>
      </c>
      <c r="C1560" s="2">
        <v>300</v>
      </c>
      <c r="D1560" s="19">
        <v>0.05</v>
      </c>
      <c r="E1560" s="11">
        <v>0.45500000000000002</v>
      </c>
      <c r="F1560" s="2">
        <f t="shared" si="439"/>
        <v>950</v>
      </c>
      <c r="G1560" s="2">
        <f t="shared" si="440"/>
        <v>0.3</v>
      </c>
      <c r="H1560" s="2">
        <f t="shared" si="441"/>
        <v>0.31578947368421051</v>
      </c>
      <c r="I1560" s="12">
        <v>0.02</v>
      </c>
      <c r="J1560" s="12">
        <v>7.0000000000000007E-2</v>
      </c>
      <c r="K1560" s="12">
        <f t="shared" si="442"/>
        <v>0.18463421052631579</v>
      </c>
      <c r="L1560" s="12">
        <f t="shared" si="443"/>
        <v>0.59042368421052638</v>
      </c>
      <c r="M1560" s="2"/>
      <c r="N1560" s="2"/>
      <c r="O1560" s="2">
        <f t="shared" ref="O1560:O1563" si="446">L1560*500</f>
        <v>295.2118421052632</v>
      </c>
      <c r="P1560" s="2"/>
      <c r="Q1560" s="2">
        <f t="shared" si="444"/>
        <v>590.4236842105264</v>
      </c>
      <c r="R1560" s="28">
        <v>16.666666666666668</v>
      </c>
    </row>
    <row r="1561" spans="1:18" hidden="1" x14ac:dyDescent="0.25">
      <c r="A1561" s="16">
        <v>45857</v>
      </c>
      <c r="B1561" s="2" t="s">
        <v>152</v>
      </c>
      <c r="C1561" s="2">
        <v>300</v>
      </c>
      <c r="D1561" s="19">
        <v>0.05</v>
      </c>
      <c r="E1561" s="11">
        <v>0.36</v>
      </c>
      <c r="F1561" s="2">
        <f t="shared" si="439"/>
        <v>950</v>
      </c>
      <c r="G1561" s="2">
        <f t="shared" si="440"/>
        <v>0.3</v>
      </c>
      <c r="H1561" s="2">
        <f t="shared" si="441"/>
        <v>0.31578947368421051</v>
      </c>
      <c r="I1561" s="12">
        <v>0.02</v>
      </c>
      <c r="J1561" s="12">
        <v>7.0000000000000007E-2</v>
      </c>
      <c r="K1561" s="12">
        <f t="shared" si="442"/>
        <v>0.14608421052631579</v>
      </c>
      <c r="L1561" s="12">
        <f t="shared" si="443"/>
        <v>0.55187368421052629</v>
      </c>
      <c r="M1561" s="2"/>
      <c r="N1561" s="2"/>
      <c r="O1561" s="2">
        <f t="shared" si="446"/>
        <v>275.93684210526317</v>
      </c>
      <c r="P1561" s="2"/>
      <c r="Q1561" s="2">
        <f t="shared" si="444"/>
        <v>551.87368421052633</v>
      </c>
      <c r="R1561" s="28">
        <v>16.666666666666668</v>
      </c>
    </row>
    <row r="1562" spans="1:18" hidden="1" x14ac:dyDescent="0.25">
      <c r="A1562" s="16">
        <v>45858</v>
      </c>
      <c r="B1562" s="2" t="s">
        <v>192</v>
      </c>
      <c r="C1562" s="2">
        <v>550</v>
      </c>
      <c r="D1562" s="19">
        <v>0.14000000000000001</v>
      </c>
      <c r="E1562" s="11">
        <v>0.22</v>
      </c>
      <c r="F1562" s="2">
        <f t="shared" ref="F1562:F1565" si="447">1000-1000*D1562</f>
        <v>860</v>
      </c>
      <c r="G1562" s="2">
        <f t="shared" ref="G1562:G1571" si="448">C1562/1000</f>
        <v>0.55000000000000004</v>
      </c>
      <c r="H1562" s="2">
        <f t="shared" ref="H1562:H1565" si="449">C1562/F1562</f>
        <v>0.63953488372093026</v>
      </c>
      <c r="I1562" s="12">
        <v>0.02</v>
      </c>
      <c r="J1562" s="12">
        <v>7.0000000000000007E-2</v>
      </c>
      <c r="K1562" s="12">
        <f t="shared" ref="K1562:K1565" si="450">SUM(H1562:J1562)*E1562</f>
        <v>0.16049767441860469</v>
      </c>
      <c r="L1562" s="12">
        <f t="shared" ref="L1562:L1565" si="451">SUM(H1562:K1562)</f>
        <v>0.89003255813953497</v>
      </c>
      <c r="M1562" s="2"/>
      <c r="N1562" s="2"/>
      <c r="O1562" s="2">
        <f t="shared" si="446"/>
        <v>445.01627906976751</v>
      </c>
      <c r="P1562" s="2"/>
      <c r="Q1562" s="2">
        <f t="shared" ref="Q1562:Q1565" si="452">L1562*1000</f>
        <v>890.03255813953501</v>
      </c>
      <c r="R1562" s="28">
        <v>16.666666666666668</v>
      </c>
    </row>
    <row r="1563" spans="1:18" hidden="1" x14ac:dyDescent="0.25">
      <c r="A1563" s="16">
        <v>45858</v>
      </c>
      <c r="B1563" s="2" t="s">
        <v>93</v>
      </c>
      <c r="C1563" s="2">
        <v>550</v>
      </c>
      <c r="D1563" s="19">
        <v>0.14000000000000001</v>
      </c>
      <c r="E1563" s="11">
        <v>0.35799999999999998</v>
      </c>
      <c r="F1563" s="2">
        <f t="shared" si="447"/>
        <v>860</v>
      </c>
      <c r="G1563" s="2">
        <f t="shared" si="448"/>
        <v>0.55000000000000004</v>
      </c>
      <c r="H1563" s="2">
        <f t="shared" si="449"/>
        <v>0.63953488372093026</v>
      </c>
      <c r="I1563" s="12">
        <v>0.02</v>
      </c>
      <c r="J1563" s="12">
        <v>7.0000000000000007E-2</v>
      </c>
      <c r="K1563" s="12">
        <f t="shared" si="450"/>
        <v>0.26117348837209303</v>
      </c>
      <c r="L1563" s="12">
        <f t="shared" si="451"/>
        <v>0.99070837209302343</v>
      </c>
      <c r="M1563" s="2"/>
      <c r="N1563" s="2"/>
      <c r="O1563" s="2">
        <f t="shared" si="446"/>
        <v>495.3541860465117</v>
      </c>
      <c r="P1563" s="2"/>
      <c r="Q1563" s="2">
        <f t="shared" si="452"/>
        <v>990.7083720930234</v>
      </c>
      <c r="R1563" s="28">
        <v>16.666666666666668</v>
      </c>
    </row>
    <row r="1564" spans="1:18" hidden="1" x14ac:dyDescent="0.25">
      <c r="A1564" s="16">
        <v>45860</v>
      </c>
      <c r="B1564" s="2" t="s">
        <v>111</v>
      </c>
      <c r="C1564" s="2">
        <v>1380</v>
      </c>
      <c r="D1564" s="19">
        <v>0.32</v>
      </c>
      <c r="E1564" s="11">
        <v>0.218</v>
      </c>
      <c r="F1564" s="2">
        <f t="shared" si="447"/>
        <v>680</v>
      </c>
      <c r="G1564" s="2">
        <f t="shared" si="448"/>
        <v>1.38</v>
      </c>
      <c r="H1564" s="2">
        <f t="shared" si="449"/>
        <v>2.0294117647058822</v>
      </c>
      <c r="I1564" s="12">
        <v>0.02</v>
      </c>
      <c r="J1564" s="12">
        <v>7.0000000000000007E-2</v>
      </c>
      <c r="K1564" s="12">
        <f t="shared" si="450"/>
        <v>0.46203176470588231</v>
      </c>
      <c r="L1564" s="12">
        <f t="shared" si="451"/>
        <v>2.5814435294117644</v>
      </c>
      <c r="M1564" s="2">
        <f>L1564*250</f>
        <v>645.36088235294108</v>
      </c>
      <c r="N1564" s="2"/>
      <c r="O1564" s="2"/>
      <c r="P1564" s="2"/>
      <c r="Q1564" s="2">
        <f t="shared" si="452"/>
        <v>2581.4435294117643</v>
      </c>
      <c r="R1564" s="28">
        <v>16.666666666666668</v>
      </c>
    </row>
    <row r="1565" spans="1:18" hidden="1" x14ac:dyDescent="0.25">
      <c r="A1565" s="16">
        <v>45860</v>
      </c>
      <c r="B1565" s="2" t="s">
        <v>214</v>
      </c>
      <c r="C1565" s="2">
        <v>350</v>
      </c>
      <c r="D1565" s="19">
        <v>0.1</v>
      </c>
      <c r="E1565" s="11">
        <v>0.56999999999999995</v>
      </c>
      <c r="F1565" s="2">
        <f t="shared" si="447"/>
        <v>900</v>
      </c>
      <c r="G1565" s="2">
        <f t="shared" si="448"/>
        <v>0.35</v>
      </c>
      <c r="H1565" s="2">
        <f t="shared" si="449"/>
        <v>0.3888888888888889</v>
      </c>
      <c r="I1565" s="12">
        <v>0.02</v>
      </c>
      <c r="J1565" s="12">
        <v>7.0000000000000007E-2</v>
      </c>
      <c r="K1565" s="12">
        <f t="shared" si="450"/>
        <v>0.27296666666666664</v>
      </c>
      <c r="L1565" s="12">
        <f t="shared" si="451"/>
        <v>0.7518555555555555</v>
      </c>
      <c r="M1565" s="2"/>
      <c r="N1565" s="2"/>
      <c r="O1565" s="2">
        <f>L1565*500</f>
        <v>375.92777777777775</v>
      </c>
      <c r="P1565" s="2"/>
      <c r="Q1565" s="2">
        <f t="shared" si="452"/>
        <v>751.8555555555555</v>
      </c>
      <c r="R1565" s="28">
        <v>16.666666666666668</v>
      </c>
    </row>
    <row r="1566" spans="1:18" hidden="1" x14ac:dyDescent="0.25">
      <c r="A1566" s="16">
        <v>45860</v>
      </c>
      <c r="B1566" s="2" t="s">
        <v>92</v>
      </c>
      <c r="C1566" s="2">
        <v>420</v>
      </c>
      <c r="D1566" s="19">
        <v>0.05</v>
      </c>
      <c r="E1566" s="11">
        <v>0.3</v>
      </c>
      <c r="F1566" s="2">
        <f t="shared" ref="F1566:F1571" si="453">1000-1000*D1566</f>
        <v>950</v>
      </c>
      <c r="G1566" s="2">
        <f t="shared" si="448"/>
        <v>0.42</v>
      </c>
      <c r="H1566" s="2">
        <f t="shared" ref="H1566:H1571" si="454">C1566/F1566</f>
        <v>0.44210526315789472</v>
      </c>
      <c r="I1566" s="12">
        <v>0.02</v>
      </c>
      <c r="J1566" s="12">
        <v>7.0000000000000007E-2</v>
      </c>
      <c r="K1566" s="12">
        <f t="shared" ref="K1566:K1571" si="455">SUM(H1566:J1566)*E1566</f>
        <v>0.15963157894736843</v>
      </c>
      <c r="L1566" s="12">
        <f t="shared" ref="L1566:L1571" si="456">SUM(H1566:K1566)</f>
        <v>0.69173684210526321</v>
      </c>
      <c r="M1566" s="2"/>
      <c r="N1566" s="2"/>
      <c r="O1566" s="2">
        <f t="shared" ref="O1566:O1567" si="457">L1566*500</f>
        <v>345.86842105263162</v>
      </c>
      <c r="P1566" s="2"/>
      <c r="Q1566" s="2">
        <f t="shared" ref="Q1566:Q1571" si="458">L1566*1000</f>
        <v>691.73684210526324</v>
      </c>
      <c r="R1566" s="28">
        <v>16.666666666666668</v>
      </c>
    </row>
    <row r="1567" spans="1:18" hidden="1" x14ac:dyDescent="0.25">
      <c r="A1567" s="16">
        <v>45860</v>
      </c>
      <c r="B1567" s="2" t="s">
        <v>90</v>
      </c>
      <c r="C1567" s="2">
        <v>330</v>
      </c>
      <c r="D1567" s="19">
        <v>0.22500000000000001</v>
      </c>
      <c r="E1567" s="11">
        <v>0.53500000000000003</v>
      </c>
      <c r="F1567" s="2">
        <f t="shared" si="453"/>
        <v>775</v>
      </c>
      <c r="G1567" s="2">
        <f t="shared" si="448"/>
        <v>0.33</v>
      </c>
      <c r="H1567" s="2">
        <f t="shared" si="454"/>
        <v>0.4258064516129032</v>
      </c>
      <c r="I1567" s="12">
        <v>0.02</v>
      </c>
      <c r="J1567" s="12">
        <v>7.0000000000000007E-2</v>
      </c>
      <c r="K1567" s="12">
        <f t="shared" si="455"/>
        <v>0.27595645161290328</v>
      </c>
      <c r="L1567" s="12">
        <f t="shared" si="456"/>
        <v>0.79176290322580656</v>
      </c>
      <c r="M1567" s="2"/>
      <c r="N1567" s="2"/>
      <c r="O1567" s="2">
        <f t="shared" si="457"/>
        <v>395.88145161290328</v>
      </c>
      <c r="P1567" s="2"/>
      <c r="Q1567" s="2">
        <f t="shared" si="458"/>
        <v>791.76290322580655</v>
      </c>
      <c r="R1567" s="28">
        <v>16.666666666666668</v>
      </c>
    </row>
    <row r="1568" spans="1:18" hidden="1" x14ac:dyDescent="0.25">
      <c r="A1568" s="16">
        <v>45861</v>
      </c>
      <c r="B1568" s="2" t="s">
        <v>104</v>
      </c>
      <c r="C1568" s="2">
        <v>110</v>
      </c>
      <c r="D1568" s="19">
        <v>0.74</v>
      </c>
      <c r="E1568" s="11">
        <v>0.52500000000000002</v>
      </c>
      <c r="F1568" s="2">
        <f t="shared" si="453"/>
        <v>260</v>
      </c>
      <c r="G1568" s="2">
        <f t="shared" si="448"/>
        <v>0.11</v>
      </c>
      <c r="H1568" s="2">
        <f t="shared" si="454"/>
        <v>0.42307692307692307</v>
      </c>
      <c r="I1568" s="12">
        <v>0.02</v>
      </c>
      <c r="J1568" s="12">
        <v>7.0000000000000007E-2</v>
      </c>
      <c r="K1568" s="12">
        <f t="shared" si="455"/>
        <v>0.26936538461538462</v>
      </c>
      <c r="L1568" s="12">
        <f t="shared" si="456"/>
        <v>0.78244230769230771</v>
      </c>
      <c r="M1568" s="2">
        <f t="shared" ref="M1568:M1569" si="459">L1568*250</f>
        <v>195.61057692307693</v>
      </c>
      <c r="N1568" s="2"/>
      <c r="O1568" s="2"/>
      <c r="P1568" s="2"/>
      <c r="Q1568" s="2">
        <f t="shared" si="458"/>
        <v>782.44230769230774</v>
      </c>
      <c r="R1568" s="28">
        <v>16.666666666666668</v>
      </c>
    </row>
    <row r="1569" spans="1:18" hidden="1" x14ac:dyDescent="0.25">
      <c r="A1569" s="16">
        <v>45861</v>
      </c>
      <c r="B1569" s="2" t="s">
        <v>105</v>
      </c>
      <c r="C1569" s="2">
        <v>110</v>
      </c>
      <c r="D1569" s="19">
        <v>0.74</v>
      </c>
      <c r="E1569" s="11">
        <v>0.37</v>
      </c>
      <c r="F1569" s="2">
        <f t="shared" si="453"/>
        <v>260</v>
      </c>
      <c r="G1569" s="2">
        <f t="shared" si="448"/>
        <v>0.11</v>
      </c>
      <c r="H1569" s="2">
        <f t="shared" si="454"/>
        <v>0.42307692307692307</v>
      </c>
      <c r="I1569" s="12">
        <v>0.02</v>
      </c>
      <c r="J1569" s="12">
        <v>7.0000000000000007E-2</v>
      </c>
      <c r="K1569" s="12">
        <f t="shared" si="455"/>
        <v>0.18983846153846154</v>
      </c>
      <c r="L1569" s="12">
        <f t="shared" si="456"/>
        <v>0.70291538461538461</v>
      </c>
      <c r="M1569" s="2">
        <f t="shared" si="459"/>
        <v>175.72884615384615</v>
      </c>
      <c r="N1569" s="2"/>
      <c r="O1569" s="2"/>
      <c r="P1569" s="2"/>
      <c r="Q1569" s="2">
        <f t="shared" si="458"/>
        <v>702.9153846153846</v>
      </c>
      <c r="R1569" s="28">
        <v>16.666666666666668</v>
      </c>
    </row>
    <row r="1570" spans="1:18" hidden="1" x14ac:dyDescent="0.25">
      <c r="A1570" s="16">
        <v>45861</v>
      </c>
      <c r="B1570" s="2" t="s">
        <v>90</v>
      </c>
      <c r="C1570" s="2">
        <v>320</v>
      </c>
      <c r="D1570" s="19">
        <v>0.31</v>
      </c>
      <c r="E1570" s="11">
        <v>0.43</v>
      </c>
      <c r="F1570" s="2">
        <f t="shared" si="453"/>
        <v>690</v>
      </c>
      <c r="G1570" s="2">
        <f t="shared" si="448"/>
        <v>0.32</v>
      </c>
      <c r="H1570" s="2">
        <f t="shared" si="454"/>
        <v>0.46376811594202899</v>
      </c>
      <c r="I1570" s="12">
        <v>0.02</v>
      </c>
      <c r="J1570" s="12">
        <v>7.0000000000000007E-2</v>
      </c>
      <c r="K1570" s="12">
        <f t="shared" si="455"/>
        <v>0.23812028985507247</v>
      </c>
      <c r="L1570" s="12">
        <f t="shared" si="456"/>
        <v>0.79188840579710151</v>
      </c>
      <c r="M1570" s="2"/>
      <c r="N1570" s="2"/>
      <c r="O1570" s="2">
        <f>L1570*500</f>
        <v>395.94420289855077</v>
      </c>
      <c r="P1570" s="2"/>
      <c r="Q1570" s="2">
        <f t="shared" si="458"/>
        <v>791.88840579710154</v>
      </c>
      <c r="R1570" s="28">
        <v>16.666666666666668</v>
      </c>
    </row>
    <row r="1571" spans="1:18" hidden="1" x14ac:dyDescent="0.25">
      <c r="A1571" s="16">
        <v>45863</v>
      </c>
      <c r="B1571" s="2" t="s">
        <v>90</v>
      </c>
      <c r="C1571" s="2">
        <v>300</v>
      </c>
      <c r="D1571" s="19">
        <v>0</v>
      </c>
      <c r="E1571" s="11">
        <v>0</v>
      </c>
      <c r="F1571" s="2">
        <f t="shared" si="453"/>
        <v>1000</v>
      </c>
      <c r="G1571" s="2">
        <f t="shared" si="448"/>
        <v>0.3</v>
      </c>
      <c r="H1571" s="2">
        <f t="shared" si="454"/>
        <v>0.3</v>
      </c>
      <c r="I1571" s="12">
        <v>0.02</v>
      </c>
      <c r="J1571" s="12">
        <v>7.0000000000000007E-2</v>
      </c>
      <c r="K1571" s="12">
        <f t="shared" si="455"/>
        <v>0</v>
      </c>
      <c r="L1571" s="12">
        <f t="shared" si="456"/>
        <v>0.39</v>
      </c>
      <c r="M1571" s="2"/>
      <c r="N1571" s="2"/>
      <c r="O1571" s="2">
        <f>L1571*500</f>
        <v>195</v>
      </c>
      <c r="P1571" s="2"/>
      <c r="Q1571" s="2">
        <f t="shared" si="458"/>
        <v>390</v>
      </c>
      <c r="R1571" s="28">
        <v>16.666666666666668</v>
      </c>
    </row>
    <row r="1572" spans="1:18" hidden="1" x14ac:dyDescent="0.25">
      <c r="A1572" s="16">
        <v>45863</v>
      </c>
      <c r="B1572" s="2" t="s">
        <v>92</v>
      </c>
      <c r="C1572" s="2">
        <v>0</v>
      </c>
      <c r="D1572" s="19">
        <v>0</v>
      </c>
      <c r="E1572" s="11">
        <v>0</v>
      </c>
      <c r="F1572" s="2">
        <f t="shared" ref="F1572:F1580" si="460">1000-1000*D1572</f>
        <v>1000</v>
      </c>
      <c r="G1572" s="2">
        <f t="shared" ref="G1572:G1580" si="461">C1572/1000</f>
        <v>0</v>
      </c>
      <c r="H1572" s="2">
        <f t="shared" ref="H1572:H1580" si="462">C1572/F1572</f>
        <v>0</v>
      </c>
      <c r="I1572" s="12">
        <v>0.02</v>
      </c>
      <c r="J1572" s="12">
        <v>7.0000000000000007E-2</v>
      </c>
      <c r="K1572" s="12">
        <f t="shared" ref="K1572:K1580" si="463">SUM(H1572:J1572)*E1572</f>
        <v>0</v>
      </c>
      <c r="L1572" s="12">
        <f t="shared" ref="L1572:L1580" si="464">SUM(H1572:K1572)</f>
        <v>9.0000000000000011E-2</v>
      </c>
      <c r="M1572" s="2"/>
      <c r="N1572" s="2"/>
      <c r="O1572" s="2">
        <f t="shared" ref="O1572:O1575" si="465">L1572*500</f>
        <v>45.000000000000007</v>
      </c>
      <c r="P1572" s="2"/>
      <c r="Q1572" s="2">
        <f t="shared" ref="Q1572:Q1580" si="466">L1572*1000</f>
        <v>90.000000000000014</v>
      </c>
      <c r="R1572" s="28">
        <v>16.666666666666668</v>
      </c>
    </row>
    <row r="1573" spans="1:18" hidden="1" x14ac:dyDescent="0.25">
      <c r="A1573" s="16">
        <v>45863</v>
      </c>
      <c r="B1573" s="2" t="s">
        <v>192</v>
      </c>
      <c r="C1573" s="2">
        <v>550</v>
      </c>
      <c r="D1573" s="19">
        <v>0</v>
      </c>
      <c r="E1573" s="11">
        <v>0</v>
      </c>
      <c r="F1573" s="2">
        <f t="shared" si="460"/>
        <v>1000</v>
      </c>
      <c r="G1573" s="2">
        <f t="shared" si="461"/>
        <v>0.55000000000000004</v>
      </c>
      <c r="H1573" s="2">
        <f t="shared" si="462"/>
        <v>0.55000000000000004</v>
      </c>
      <c r="I1573" s="12">
        <v>0.02</v>
      </c>
      <c r="J1573" s="12">
        <v>7.0000000000000007E-2</v>
      </c>
      <c r="K1573" s="12">
        <f t="shared" si="463"/>
        <v>0</v>
      </c>
      <c r="L1573" s="12">
        <f t="shared" si="464"/>
        <v>0.64000000000000012</v>
      </c>
      <c r="M1573" s="2"/>
      <c r="N1573" s="2"/>
      <c r="O1573" s="2">
        <f t="shared" si="465"/>
        <v>320.00000000000006</v>
      </c>
      <c r="P1573" s="2"/>
      <c r="Q1573" s="2">
        <f t="shared" si="466"/>
        <v>640.00000000000011</v>
      </c>
      <c r="R1573" s="28">
        <v>16.666666666666668</v>
      </c>
    </row>
    <row r="1574" spans="1:18" hidden="1" x14ac:dyDescent="0.25">
      <c r="A1574" s="16">
        <v>45863</v>
      </c>
      <c r="B1574" s="2" t="s">
        <v>93</v>
      </c>
      <c r="C1574" s="2">
        <v>550</v>
      </c>
      <c r="D1574" s="19">
        <v>0.21</v>
      </c>
      <c r="E1574" s="11">
        <v>0.26</v>
      </c>
      <c r="F1574" s="2">
        <f t="shared" si="460"/>
        <v>790</v>
      </c>
      <c r="G1574" s="2">
        <f t="shared" si="461"/>
        <v>0.55000000000000004</v>
      </c>
      <c r="H1574" s="2">
        <f t="shared" si="462"/>
        <v>0.69620253164556967</v>
      </c>
      <c r="I1574" s="12">
        <v>0.02</v>
      </c>
      <c r="J1574" s="12">
        <v>7.0000000000000007E-2</v>
      </c>
      <c r="K1574" s="12">
        <f t="shared" si="463"/>
        <v>0.2044126582278481</v>
      </c>
      <c r="L1574" s="12">
        <f t="shared" si="464"/>
        <v>0.99061518987341768</v>
      </c>
      <c r="M1574" s="2"/>
      <c r="N1574" s="2"/>
      <c r="O1574" s="2">
        <f t="shared" si="465"/>
        <v>495.30759493670882</v>
      </c>
      <c r="P1574" s="2"/>
      <c r="Q1574" s="2">
        <f t="shared" si="466"/>
        <v>990.61518987341765</v>
      </c>
      <c r="R1574" s="28">
        <v>16.666666666666668</v>
      </c>
    </row>
    <row r="1575" spans="1:18" hidden="1" x14ac:dyDescent="0.25">
      <c r="A1575" s="16">
        <v>45863</v>
      </c>
      <c r="B1575" s="2" t="s">
        <v>116</v>
      </c>
      <c r="C1575" s="2">
        <v>400</v>
      </c>
      <c r="D1575" s="19">
        <v>0.23</v>
      </c>
      <c r="E1575" s="11">
        <v>0.61</v>
      </c>
      <c r="F1575" s="2">
        <f t="shared" si="460"/>
        <v>770</v>
      </c>
      <c r="G1575" s="2">
        <f t="shared" si="461"/>
        <v>0.4</v>
      </c>
      <c r="H1575" s="2">
        <f t="shared" si="462"/>
        <v>0.51948051948051943</v>
      </c>
      <c r="I1575" s="12">
        <v>0.02</v>
      </c>
      <c r="J1575" s="12">
        <v>7.0000000000000007E-2</v>
      </c>
      <c r="K1575" s="12">
        <f t="shared" si="463"/>
        <v>0.37178311688311688</v>
      </c>
      <c r="L1575" s="12">
        <f t="shared" si="464"/>
        <v>0.98126363636363645</v>
      </c>
      <c r="M1575" s="2">
        <f>L1575*250</f>
        <v>245.31590909090912</v>
      </c>
      <c r="N1575" s="2"/>
      <c r="O1575" s="2">
        <f t="shared" si="465"/>
        <v>490.63181818181823</v>
      </c>
      <c r="P1575" s="2"/>
      <c r="Q1575" s="2">
        <f t="shared" si="466"/>
        <v>981.26363636363646</v>
      </c>
      <c r="R1575" s="28">
        <v>16.666666666666668</v>
      </c>
    </row>
    <row r="1576" spans="1:18" hidden="1" x14ac:dyDescent="0.25">
      <c r="A1576" s="16">
        <v>45863</v>
      </c>
      <c r="B1576" s="2" t="s">
        <v>111</v>
      </c>
      <c r="C1576" s="2">
        <v>1150</v>
      </c>
      <c r="D1576" s="19">
        <v>0.31</v>
      </c>
      <c r="E1576" s="11">
        <v>0.35</v>
      </c>
      <c r="F1576" s="2">
        <f t="shared" si="460"/>
        <v>690</v>
      </c>
      <c r="G1576" s="2">
        <f t="shared" si="461"/>
        <v>1.1499999999999999</v>
      </c>
      <c r="H1576" s="2">
        <f t="shared" si="462"/>
        <v>1.6666666666666667</v>
      </c>
      <c r="I1576" s="12">
        <v>0.02</v>
      </c>
      <c r="J1576" s="12">
        <v>7.0000000000000007E-2</v>
      </c>
      <c r="K1576" s="12">
        <f t="shared" si="463"/>
        <v>0.61483333333333334</v>
      </c>
      <c r="L1576" s="12">
        <f t="shared" si="464"/>
        <v>2.3715000000000002</v>
      </c>
      <c r="M1576" s="2">
        <f>L1576*250</f>
        <v>592.875</v>
      </c>
      <c r="N1576" s="2"/>
      <c r="O1576" s="2"/>
      <c r="P1576" s="2"/>
      <c r="Q1576" s="2">
        <f t="shared" si="466"/>
        <v>2371.5</v>
      </c>
      <c r="R1576" s="28">
        <v>16.666666666666668</v>
      </c>
    </row>
    <row r="1577" spans="1:18" hidden="1" x14ac:dyDescent="0.25">
      <c r="A1577" s="16">
        <v>45863</v>
      </c>
      <c r="B1577" s="2" t="s">
        <v>90</v>
      </c>
      <c r="C1577" s="2">
        <v>300</v>
      </c>
      <c r="D1577" s="19">
        <v>0.23</v>
      </c>
      <c r="E1577" s="11">
        <v>0.65</v>
      </c>
      <c r="F1577" s="2">
        <f t="shared" si="460"/>
        <v>770</v>
      </c>
      <c r="G1577" s="2">
        <f t="shared" si="461"/>
        <v>0.3</v>
      </c>
      <c r="H1577" s="2">
        <f t="shared" si="462"/>
        <v>0.38961038961038963</v>
      </c>
      <c r="I1577" s="12">
        <v>0.02</v>
      </c>
      <c r="J1577" s="12">
        <v>7.0000000000000007E-2</v>
      </c>
      <c r="K1577" s="12">
        <f t="shared" si="463"/>
        <v>0.31174675324675327</v>
      </c>
      <c r="L1577" s="12">
        <f t="shared" si="464"/>
        <v>0.79135714285714287</v>
      </c>
      <c r="M1577" s="2"/>
      <c r="N1577" s="2"/>
      <c r="O1577" s="2">
        <f>L1577*500</f>
        <v>395.67857142857144</v>
      </c>
      <c r="P1577" s="2"/>
      <c r="Q1577" s="2">
        <f t="shared" si="466"/>
        <v>791.35714285714289</v>
      </c>
      <c r="R1577" s="28">
        <v>16.666666666666668</v>
      </c>
    </row>
    <row r="1578" spans="1:18" hidden="1" x14ac:dyDescent="0.25">
      <c r="A1578" s="16">
        <v>45864</v>
      </c>
      <c r="B1578" s="2" t="s">
        <v>103</v>
      </c>
      <c r="C1578" s="2">
        <v>80</v>
      </c>
      <c r="D1578" s="19">
        <v>0</v>
      </c>
      <c r="E1578" s="11">
        <v>0.71</v>
      </c>
      <c r="F1578" s="2">
        <f t="shared" si="460"/>
        <v>1000</v>
      </c>
      <c r="G1578" s="2">
        <f t="shared" si="461"/>
        <v>0.08</v>
      </c>
      <c r="H1578" s="2">
        <f t="shared" si="462"/>
        <v>0.08</v>
      </c>
      <c r="I1578" s="12">
        <v>0.02</v>
      </c>
      <c r="J1578" s="12">
        <v>7.0000000000000007E-2</v>
      </c>
      <c r="K1578" s="12">
        <f t="shared" si="463"/>
        <v>0.1207</v>
      </c>
      <c r="L1578" s="12">
        <f t="shared" si="464"/>
        <v>0.29070000000000001</v>
      </c>
      <c r="M1578" s="2"/>
      <c r="N1578" s="2"/>
      <c r="O1578" s="2">
        <f>L1578*500</f>
        <v>145.35</v>
      </c>
      <c r="P1578" s="2"/>
      <c r="Q1578" s="2">
        <f t="shared" si="466"/>
        <v>290.7</v>
      </c>
      <c r="R1578" s="28">
        <v>16.666666666666668</v>
      </c>
    </row>
    <row r="1579" spans="1:18" hidden="1" x14ac:dyDescent="0.25">
      <c r="A1579" s="16">
        <v>45865</v>
      </c>
      <c r="B1579" s="2" t="s">
        <v>205</v>
      </c>
      <c r="C1579" s="2">
        <v>820</v>
      </c>
      <c r="D1579" s="19">
        <v>0.47</v>
      </c>
      <c r="E1579" s="11">
        <v>0.40500000000000003</v>
      </c>
      <c r="F1579" s="2">
        <f t="shared" si="460"/>
        <v>530</v>
      </c>
      <c r="G1579" s="2">
        <f t="shared" si="461"/>
        <v>0.82</v>
      </c>
      <c r="H1579" s="2">
        <f t="shared" si="462"/>
        <v>1.5471698113207548</v>
      </c>
      <c r="I1579" s="12">
        <v>0.02</v>
      </c>
      <c r="J1579" s="12">
        <v>7.0000000000000007E-2</v>
      </c>
      <c r="K1579" s="12">
        <f t="shared" si="463"/>
        <v>0.6630537735849058</v>
      </c>
      <c r="L1579" s="12">
        <f t="shared" si="464"/>
        <v>2.3002235849056607</v>
      </c>
      <c r="M1579" s="2">
        <f>L1579*250</f>
        <v>575.05589622641514</v>
      </c>
      <c r="N1579" s="2"/>
      <c r="O1579" s="2">
        <f t="shared" ref="O1579:O1586" si="467">L1579*500</f>
        <v>1150.1117924528303</v>
      </c>
      <c r="P1579" s="2"/>
      <c r="Q1579" s="2">
        <f t="shared" si="466"/>
        <v>2300.2235849056606</v>
      </c>
      <c r="R1579" s="28">
        <v>16.666666666666668</v>
      </c>
    </row>
    <row r="1580" spans="1:18" hidden="1" x14ac:dyDescent="0.25">
      <c r="A1580" s="16">
        <v>45865</v>
      </c>
      <c r="B1580" s="2" t="s">
        <v>92</v>
      </c>
      <c r="C1580" s="2">
        <v>420</v>
      </c>
      <c r="D1580" s="19">
        <v>0.1</v>
      </c>
      <c r="E1580" s="11">
        <v>0.24</v>
      </c>
      <c r="F1580" s="2">
        <f t="shared" si="460"/>
        <v>900</v>
      </c>
      <c r="G1580" s="2">
        <f t="shared" si="461"/>
        <v>0.42</v>
      </c>
      <c r="H1580" s="2">
        <f t="shared" si="462"/>
        <v>0.46666666666666667</v>
      </c>
      <c r="I1580" s="12">
        <v>0.02</v>
      </c>
      <c r="J1580" s="12">
        <v>7.0000000000000007E-2</v>
      </c>
      <c r="K1580" s="12">
        <f t="shared" si="463"/>
        <v>0.1336</v>
      </c>
      <c r="L1580" s="12">
        <f t="shared" si="464"/>
        <v>0.69026666666666658</v>
      </c>
      <c r="M1580" s="2"/>
      <c r="N1580" s="2"/>
      <c r="O1580" s="2">
        <f t="shared" si="467"/>
        <v>345.13333333333327</v>
      </c>
      <c r="P1580" s="2"/>
      <c r="Q1580" s="2">
        <f t="shared" si="466"/>
        <v>690.26666666666654</v>
      </c>
      <c r="R1580" s="28">
        <v>16.666666666666668</v>
      </c>
    </row>
    <row r="1581" spans="1:18" hidden="1" x14ac:dyDescent="0.25">
      <c r="A1581" s="16">
        <v>45865</v>
      </c>
      <c r="B1581" s="2" t="s">
        <v>116</v>
      </c>
      <c r="C1581" s="2">
        <v>400</v>
      </c>
      <c r="D1581" s="19">
        <v>0.25</v>
      </c>
      <c r="E1581" s="11">
        <v>0.57499999999999996</v>
      </c>
      <c r="F1581" s="2">
        <f t="shared" ref="F1581:F1586" si="468">1000-1000*D1581</f>
        <v>750</v>
      </c>
      <c r="G1581" s="2">
        <f t="shared" ref="G1581:G1586" si="469">C1581/1000</f>
        <v>0.4</v>
      </c>
      <c r="H1581" s="2">
        <f t="shared" ref="H1581:H1586" si="470">C1581/F1581</f>
        <v>0.53333333333333333</v>
      </c>
      <c r="I1581" s="12">
        <v>0.02</v>
      </c>
      <c r="J1581" s="12">
        <v>7.0000000000000007E-2</v>
      </c>
      <c r="K1581" s="12">
        <f t="shared" ref="K1581:K1586" si="471">SUM(H1581:J1581)*E1581</f>
        <v>0.35841666666666661</v>
      </c>
      <c r="L1581" s="12">
        <f t="shared" ref="L1581:L1586" si="472">SUM(H1581:K1581)</f>
        <v>0.9817499999999999</v>
      </c>
      <c r="M1581" s="2">
        <f>L1581*250</f>
        <v>245.43749999999997</v>
      </c>
      <c r="N1581" s="2"/>
      <c r="O1581" s="2">
        <f t="shared" si="467"/>
        <v>490.87499999999994</v>
      </c>
      <c r="P1581" s="2"/>
      <c r="Q1581" s="2">
        <f t="shared" ref="Q1581:Q1586" si="473">L1581*1000</f>
        <v>981.74999999999989</v>
      </c>
      <c r="R1581" s="28">
        <v>16.666666666666668</v>
      </c>
    </row>
    <row r="1582" spans="1:18" hidden="1" x14ac:dyDescent="0.25">
      <c r="A1582" s="16">
        <v>45865</v>
      </c>
      <c r="B1582" s="2" t="s">
        <v>94</v>
      </c>
      <c r="C1582" s="2">
        <v>350</v>
      </c>
      <c r="D1582" s="19">
        <v>0.2</v>
      </c>
      <c r="E1582" s="11">
        <v>0.42199999999999999</v>
      </c>
      <c r="F1582" s="2">
        <f t="shared" si="468"/>
        <v>800</v>
      </c>
      <c r="G1582" s="2">
        <f t="shared" si="469"/>
        <v>0.35</v>
      </c>
      <c r="H1582" s="2">
        <f t="shared" si="470"/>
        <v>0.4375</v>
      </c>
      <c r="I1582" s="12">
        <v>0.02</v>
      </c>
      <c r="J1582" s="12">
        <v>7.0000000000000007E-2</v>
      </c>
      <c r="K1582" s="12">
        <f t="shared" si="471"/>
        <v>0.22260500000000003</v>
      </c>
      <c r="L1582" s="12">
        <f t="shared" si="472"/>
        <v>0.75010500000000013</v>
      </c>
      <c r="M1582" s="2"/>
      <c r="N1582" s="2"/>
      <c r="O1582" s="2">
        <f t="shared" si="467"/>
        <v>375.05250000000007</v>
      </c>
      <c r="P1582" s="2"/>
      <c r="Q1582" s="2">
        <f t="shared" si="473"/>
        <v>750.10500000000013</v>
      </c>
      <c r="R1582" s="28">
        <v>16.666666666666668</v>
      </c>
    </row>
    <row r="1583" spans="1:18" hidden="1" x14ac:dyDescent="0.25">
      <c r="A1583" s="16">
        <v>45865</v>
      </c>
      <c r="B1583" s="2" t="s">
        <v>154</v>
      </c>
      <c r="C1583" s="2">
        <v>350</v>
      </c>
      <c r="D1583" s="19">
        <v>0.2</v>
      </c>
      <c r="E1583" s="11">
        <v>0.42199999999999999</v>
      </c>
      <c r="F1583" s="2">
        <f t="shared" si="468"/>
        <v>800</v>
      </c>
      <c r="G1583" s="2">
        <f t="shared" si="469"/>
        <v>0.35</v>
      </c>
      <c r="H1583" s="2">
        <f t="shared" si="470"/>
        <v>0.4375</v>
      </c>
      <c r="I1583" s="12">
        <v>0.02</v>
      </c>
      <c r="J1583" s="12">
        <v>7.0000000000000007E-2</v>
      </c>
      <c r="K1583" s="12">
        <f t="shared" si="471"/>
        <v>0.22260500000000003</v>
      </c>
      <c r="L1583" s="12">
        <f t="shared" si="472"/>
        <v>0.75010500000000013</v>
      </c>
      <c r="M1583" s="2"/>
      <c r="N1583" s="2"/>
      <c r="O1583" s="2">
        <f t="shared" si="467"/>
        <v>375.05250000000007</v>
      </c>
      <c r="P1583" s="2"/>
      <c r="Q1583" s="2">
        <f t="shared" si="473"/>
        <v>750.10500000000013</v>
      </c>
      <c r="R1583" s="28">
        <v>16.666666666666668</v>
      </c>
    </row>
    <row r="1584" spans="1:18" hidden="1" x14ac:dyDescent="0.25">
      <c r="A1584" s="16">
        <v>45867</v>
      </c>
      <c r="B1584" s="2" t="s">
        <v>93</v>
      </c>
      <c r="C1584" s="2">
        <v>600</v>
      </c>
      <c r="D1584" s="19">
        <v>0.17</v>
      </c>
      <c r="E1584" s="11">
        <v>0.22</v>
      </c>
      <c r="F1584" s="2">
        <f t="shared" si="468"/>
        <v>830</v>
      </c>
      <c r="G1584" s="2">
        <f t="shared" si="469"/>
        <v>0.6</v>
      </c>
      <c r="H1584" s="2">
        <f t="shared" si="470"/>
        <v>0.72289156626506024</v>
      </c>
      <c r="I1584" s="12">
        <v>0.02</v>
      </c>
      <c r="J1584" s="12">
        <v>7.0000000000000007E-2</v>
      </c>
      <c r="K1584" s="12">
        <f t="shared" si="471"/>
        <v>0.17883614457831323</v>
      </c>
      <c r="L1584" s="12">
        <f t="shared" si="472"/>
        <v>0.99172771084337341</v>
      </c>
      <c r="M1584" s="2"/>
      <c r="N1584" s="2"/>
      <c r="O1584" s="2">
        <f t="shared" si="467"/>
        <v>495.86385542168671</v>
      </c>
      <c r="P1584" s="2"/>
      <c r="Q1584" s="2">
        <f t="shared" si="473"/>
        <v>991.72771084337342</v>
      </c>
      <c r="R1584" s="28">
        <v>16.666666666666668</v>
      </c>
    </row>
    <row r="1585" spans="1:18" hidden="1" x14ac:dyDescent="0.25">
      <c r="A1585" s="16">
        <v>45867</v>
      </c>
      <c r="B1585" s="2" t="s">
        <v>192</v>
      </c>
      <c r="C1585" s="2">
        <v>600</v>
      </c>
      <c r="D1585" s="19">
        <v>0.17</v>
      </c>
      <c r="E1585" s="11">
        <v>9.5000000000000001E-2</v>
      </c>
      <c r="F1585" s="2">
        <f t="shared" si="468"/>
        <v>830</v>
      </c>
      <c r="G1585" s="2">
        <f t="shared" si="469"/>
        <v>0.6</v>
      </c>
      <c r="H1585" s="2">
        <f t="shared" si="470"/>
        <v>0.72289156626506024</v>
      </c>
      <c r="I1585" s="12">
        <v>0.02</v>
      </c>
      <c r="J1585" s="12">
        <v>7.0000000000000007E-2</v>
      </c>
      <c r="K1585" s="12">
        <f t="shared" si="471"/>
        <v>7.7224698795180721E-2</v>
      </c>
      <c r="L1585" s="12">
        <f t="shared" si="472"/>
        <v>0.89011626506024089</v>
      </c>
      <c r="M1585" s="2"/>
      <c r="N1585" s="2"/>
      <c r="O1585" s="2">
        <f t="shared" si="467"/>
        <v>445.05813253012042</v>
      </c>
      <c r="P1585" s="2"/>
      <c r="Q1585" s="2">
        <f t="shared" si="473"/>
        <v>890.11626506024083</v>
      </c>
      <c r="R1585" s="28">
        <v>16.666666666666668</v>
      </c>
    </row>
    <row r="1586" spans="1:18" hidden="1" x14ac:dyDescent="0.25">
      <c r="A1586" s="16">
        <v>45867</v>
      </c>
      <c r="B1586" s="2" t="s">
        <v>92</v>
      </c>
      <c r="C1586" s="2">
        <v>400</v>
      </c>
      <c r="D1586" s="19">
        <v>0.1</v>
      </c>
      <c r="E1586" s="11">
        <v>0.29199999999999998</v>
      </c>
      <c r="F1586" s="2">
        <f t="shared" si="468"/>
        <v>900</v>
      </c>
      <c r="G1586" s="2">
        <f t="shared" si="469"/>
        <v>0.4</v>
      </c>
      <c r="H1586" s="2">
        <f t="shared" si="470"/>
        <v>0.44444444444444442</v>
      </c>
      <c r="I1586" s="12">
        <v>0.02</v>
      </c>
      <c r="J1586" s="12">
        <v>7.0000000000000007E-2</v>
      </c>
      <c r="K1586" s="12">
        <f t="shared" si="471"/>
        <v>0.1560577777777778</v>
      </c>
      <c r="L1586" s="12">
        <f t="shared" si="472"/>
        <v>0.69050222222222235</v>
      </c>
      <c r="M1586" s="2"/>
      <c r="N1586" s="2"/>
      <c r="O1586" s="2">
        <f t="shared" si="467"/>
        <v>345.25111111111119</v>
      </c>
      <c r="P1586" s="2"/>
      <c r="Q1586" s="2">
        <f t="shared" si="473"/>
        <v>690.50222222222237</v>
      </c>
      <c r="R1586" s="28">
        <v>16.666666666666668</v>
      </c>
    </row>
    <row r="1587" spans="1:18" hidden="1" x14ac:dyDescent="0.25">
      <c r="A1587" s="16">
        <v>45867</v>
      </c>
      <c r="B1587" s="2" t="s">
        <v>94</v>
      </c>
      <c r="C1587" s="2">
        <v>370</v>
      </c>
      <c r="D1587" s="19">
        <v>0.2</v>
      </c>
      <c r="E1587" s="11">
        <v>0.3</v>
      </c>
      <c r="F1587" s="2">
        <f t="shared" ref="F1587:F1602" si="474">1000-1000*D1587</f>
        <v>800</v>
      </c>
      <c r="G1587" s="2">
        <f t="shared" ref="G1587:G1602" si="475">C1587/1000</f>
        <v>0.37</v>
      </c>
      <c r="H1587" s="2">
        <f t="shared" ref="H1587:H1602" si="476">C1587/F1587</f>
        <v>0.46250000000000002</v>
      </c>
      <c r="I1587" s="12">
        <v>0.02</v>
      </c>
      <c r="J1587" s="12">
        <v>7.0000000000000007E-2</v>
      </c>
      <c r="K1587" s="12">
        <f t="shared" ref="K1587:K1602" si="477">SUM(H1587:J1587)*E1587</f>
        <v>0.16574999999999998</v>
      </c>
      <c r="L1587" s="12">
        <f t="shared" ref="L1587:L1602" si="478">SUM(H1587:K1587)</f>
        <v>0.71824999999999994</v>
      </c>
      <c r="M1587" s="2"/>
      <c r="N1587" s="2"/>
      <c r="O1587" s="2">
        <f t="shared" ref="O1587:O1588" si="479">L1587*500</f>
        <v>359.125</v>
      </c>
      <c r="P1587" s="2"/>
      <c r="Q1587" s="2">
        <f t="shared" ref="Q1587:Q1602" si="480">L1587*1000</f>
        <v>718.25</v>
      </c>
      <c r="R1587" s="28">
        <v>16.666666666666668</v>
      </c>
    </row>
    <row r="1588" spans="1:18" hidden="1" x14ac:dyDescent="0.25">
      <c r="A1588" s="16">
        <v>45867</v>
      </c>
      <c r="B1588" s="2" t="s">
        <v>154</v>
      </c>
      <c r="C1588" s="2">
        <v>370</v>
      </c>
      <c r="D1588" s="19">
        <v>0.2</v>
      </c>
      <c r="E1588" s="11">
        <v>0.3</v>
      </c>
      <c r="F1588" s="2">
        <f t="shared" si="474"/>
        <v>800</v>
      </c>
      <c r="G1588" s="2">
        <f t="shared" si="475"/>
        <v>0.37</v>
      </c>
      <c r="H1588" s="2">
        <f t="shared" si="476"/>
        <v>0.46250000000000002</v>
      </c>
      <c r="I1588" s="12">
        <v>0.02</v>
      </c>
      <c r="J1588" s="12">
        <v>7.0000000000000007E-2</v>
      </c>
      <c r="K1588" s="12">
        <f t="shared" si="477"/>
        <v>0.16574999999999998</v>
      </c>
      <c r="L1588" s="12">
        <f t="shared" si="478"/>
        <v>0.71824999999999994</v>
      </c>
      <c r="M1588" s="2"/>
      <c r="N1588" s="2"/>
      <c r="O1588" s="2">
        <f t="shared" si="479"/>
        <v>359.125</v>
      </c>
      <c r="P1588" s="2"/>
      <c r="Q1588" s="2">
        <f t="shared" si="480"/>
        <v>718.25</v>
      </c>
      <c r="R1588" s="28">
        <v>16.666666666666668</v>
      </c>
    </row>
    <row r="1589" spans="1:18" hidden="1" x14ac:dyDescent="0.25">
      <c r="A1589" s="16">
        <v>45867</v>
      </c>
      <c r="B1589" s="2" t="s">
        <v>204</v>
      </c>
      <c r="C1589" s="2">
        <v>770</v>
      </c>
      <c r="D1589" s="19">
        <v>0.39</v>
      </c>
      <c r="E1589" s="11">
        <v>0.33</v>
      </c>
      <c r="F1589" s="2">
        <f t="shared" si="474"/>
        <v>610</v>
      </c>
      <c r="G1589" s="2">
        <f t="shared" si="475"/>
        <v>0.77</v>
      </c>
      <c r="H1589" s="2">
        <f t="shared" si="476"/>
        <v>1.2622950819672132</v>
      </c>
      <c r="I1589" s="12">
        <v>0.02</v>
      </c>
      <c r="J1589" s="12">
        <v>7.0000000000000007E-2</v>
      </c>
      <c r="K1589" s="12">
        <f t="shared" si="477"/>
        <v>0.44625737704918039</v>
      </c>
      <c r="L1589" s="12">
        <f t="shared" si="478"/>
        <v>1.7985524590163937</v>
      </c>
      <c r="M1589" s="2"/>
      <c r="N1589" s="2"/>
      <c r="O1589" s="2">
        <f>L1589*500</f>
        <v>899.27622950819682</v>
      </c>
      <c r="P1589" s="2"/>
      <c r="Q1589" s="2">
        <f t="shared" si="480"/>
        <v>1798.5524590163936</v>
      </c>
      <c r="R1589" s="28">
        <v>16.666666666666668</v>
      </c>
    </row>
    <row r="1590" spans="1:18" hidden="1" x14ac:dyDescent="0.25">
      <c r="A1590" s="16">
        <v>45867</v>
      </c>
      <c r="B1590" s="2" t="s">
        <v>205</v>
      </c>
      <c r="C1590" s="2">
        <v>770</v>
      </c>
      <c r="D1590" s="19">
        <v>0.39</v>
      </c>
      <c r="E1590" s="11">
        <v>0.33</v>
      </c>
      <c r="F1590" s="2">
        <f t="shared" si="474"/>
        <v>610</v>
      </c>
      <c r="G1590" s="2">
        <f t="shared" si="475"/>
        <v>0.77</v>
      </c>
      <c r="H1590" s="2">
        <f t="shared" si="476"/>
        <v>1.2622950819672132</v>
      </c>
      <c r="I1590" s="12">
        <v>0.02</v>
      </c>
      <c r="J1590" s="12">
        <v>7.0000000000000007E-2</v>
      </c>
      <c r="K1590" s="12">
        <f t="shared" si="477"/>
        <v>0.44625737704918039</v>
      </c>
      <c r="L1590" s="12">
        <f t="shared" si="478"/>
        <v>1.7985524590163937</v>
      </c>
      <c r="M1590" s="2">
        <f>L1590*250</f>
        <v>449.63811475409841</v>
      </c>
      <c r="N1590" s="2"/>
      <c r="O1590" s="2"/>
      <c r="P1590" s="2"/>
      <c r="Q1590" s="2">
        <f t="shared" si="480"/>
        <v>1798.5524590163936</v>
      </c>
      <c r="R1590" s="28">
        <v>16.666666666666668</v>
      </c>
    </row>
    <row r="1591" spans="1:18" hidden="1" x14ac:dyDescent="0.25">
      <c r="A1591" s="16">
        <v>45868</v>
      </c>
      <c r="B1591" s="2" t="s">
        <v>90</v>
      </c>
      <c r="C1591" s="2">
        <v>370</v>
      </c>
      <c r="D1591" s="19">
        <v>0.2</v>
      </c>
      <c r="E1591" s="11">
        <v>0.27</v>
      </c>
      <c r="F1591" s="2">
        <f t="shared" si="474"/>
        <v>800</v>
      </c>
      <c r="G1591" s="2">
        <f t="shared" si="475"/>
        <v>0.37</v>
      </c>
      <c r="H1591" s="2">
        <f t="shared" si="476"/>
        <v>0.46250000000000002</v>
      </c>
      <c r="I1591" s="12">
        <v>0.02</v>
      </c>
      <c r="J1591" s="12">
        <v>7.0000000000000007E-2</v>
      </c>
      <c r="K1591" s="12">
        <f t="shared" si="477"/>
        <v>0.149175</v>
      </c>
      <c r="L1591" s="12">
        <f t="shared" si="478"/>
        <v>0.70167500000000005</v>
      </c>
      <c r="M1591" s="2"/>
      <c r="N1591" s="2"/>
      <c r="O1591" s="2">
        <f t="shared" ref="O1591:O1602" si="481">L1591*500</f>
        <v>350.83750000000003</v>
      </c>
      <c r="P1591" s="2"/>
      <c r="Q1591" s="2">
        <f t="shared" si="480"/>
        <v>701.67500000000007</v>
      </c>
      <c r="R1591" s="28">
        <v>16.666666666666668</v>
      </c>
    </row>
    <row r="1592" spans="1:18" hidden="1" x14ac:dyDescent="0.25">
      <c r="A1592" s="16">
        <v>45868</v>
      </c>
      <c r="B1592" s="2" t="s">
        <v>91</v>
      </c>
      <c r="C1592" s="2">
        <v>370</v>
      </c>
      <c r="D1592" s="19">
        <v>0.2</v>
      </c>
      <c r="E1592" s="11">
        <v>0.27</v>
      </c>
      <c r="F1592" s="2">
        <f t="shared" si="474"/>
        <v>800</v>
      </c>
      <c r="G1592" s="2">
        <f t="shared" si="475"/>
        <v>0.37</v>
      </c>
      <c r="H1592" s="2">
        <f t="shared" si="476"/>
        <v>0.46250000000000002</v>
      </c>
      <c r="I1592" s="12">
        <v>0.02</v>
      </c>
      <c r="J1592" s="12">
        <v>7.0000000000000007E-2</v>
      </c>
      <c r="K1592" s="12">
        <f t="shared" si="477"/>
        <v>0.149175</v>
      </c>
      <c r="L1592" s="12">
        <f t="shared" si="478"/>
        <v>0.70167500000000005</v>
      </c>
      <c r="M1592" s="2"/>
      <c r="N1592" s="2"/>
      <c r="O1592" s="2">
        <f t="shared" si="481"/>
        <v>350.83750000000003</v>
      </c>
      <c r="P1592" s="2"/>
      <c r="Q1592" s="2">
        <f t="shared" si="480"/>
        <v>701.67500000000007</v>
      </c>
      <c r="R1592" s="28">
        <v>16.666666666666668</v>
      </c>
    </row>
    <row r="1593" spans="1:18" hidden="1" x14ac:dyDescent="0.25">
      <c r="A1593" s="16">
        <v>45868</v>
      </c>
      <c r="B1593" s="2" t="s">
        <v>106</v>
      </c>
      <c r="C1593" s="2">
        <v>280</v>
      </c>
      <c r="D1593" s="19">
        <v>0.16</v>
      </c>
      <c r="E1593" s="11">
        <v>0.3</v>
      </c>
      <c r="F1593" s="2">
        <f t="shared" si="474"/>
        <v>840</v>
      </c>
      <c r="G1593" s="2">
        <f t="shared" si="475"/>
        <v>0.28000000000000003</v>
      </c>
      <c r="H1593" s="2">
        <f t="shared" si="476"/>
        <v>0.33333333333333331</v>
      </c>
      <c r="I1593" s="12">
        <v>0.02</v>
      </c>
      <c r="J1593" s="12">
        <v>7.0000000000000007E-2</v>
      </c>
      <c r="K1593" s="12">
        <f t="shared" si="477"/>
        <v>0.127</v>
      </c>
      <c r="L1593" s="12">
        <f t="shared" si="478"/>
        <v>0.55033333333333334</v>
      </c>
      <c r="M1593" s="2"/>
      <c r="N1593" s="2"/>
      <c r="O1593" s="2">
        <f t="shared" si="481"/>
        <v>275.16666666666669</v>
      </c>
      <c r="P1593" s="2"/>
      <c r="Q1593" s="2">
        <f t="shared" si="480"/>
        <v>550.33333333333337</v>
      </c>
      <c r="R1593" s="28">
        <v>16.666666666666668</v>
      </c>
    </row>
    <row r="1594" spans="1:18" hidden="1" x14ac:dyDescent="0.25">
      <c r="A1594" s="16">
        <v>45870</v>
      </c>
      <c r="B1594" s="2" t="s">
        <v>90</v>
      </c>
      <c r="C1594" s="2">
        <v>400</v>
      </c>
      <c r="D1594" s="19">
        <v>0.21</v>
      </c>
      <c r="E1594" s="11">
        <v>0.26</v>
      </c>
      <c r="F1594" s="2">
        <f t="shared" si="474"/>
        <v>790</v>
      </c>
      <c r="G1594" s="2">
        <f t="shared" si="475"/>
        <v>0.4</v>
      </c>
      <c r="H1594" s="2">
        <f t="shared" si="476"/>
        <v>0.50632911392405067</v>
      </c>
      <c r="I1594" s="12">
        <v>0.02</v>
      </c>
      <c r="J1594" s="12">
        <v>7.0000000000000007E-2</v>
      </c>
      <c r="K1594" s="12">
        <f t="shared" si="477"/>
        <v>0.1550455696202532</v>
      </c>
      <c r="L1594" s="12">
        <f t="shared" si="478"/>
        <v>0.75137468354430392</v>
      </c>
      <c r="M1594" s="2"/>
      <c r="N1594" s="2"/>
      <c r="O1594" s="2">
        <f t="shared" si="481"/>
        <v>375.68734177215197</v>
      </c>
      <c r="P1594" s="2"/>
      <c r="Q1594" s="2">
        <f t="shared" si="480"/>
        <v>751.37468354430393</v>
      </c>
      <c r="R1594" s="28">
        <v>16.666666666666668</v>
      </c>
    </row>
    <row r="1595" spans="1:18" hidden="1" x14ac:dyDescent="0.25">
      <c r="A1595" s="16">
        <v>45870</v>
      </c>
      <c r="B1595" s="2" t="s">
        <v>91</v>
      </c>
      <c r="C1595" s="2">
        <v>400</v>
      </c>
      <c r="D1595" s="19">
        <v>0.21</v>
      </c>
      <c r="E1595" s="11">
        <v>0.16</v>
      </c>
      <c r="F1595" s="2">
        <f t="shared" si="474"/>
        <v>790</v>
      </c>
      <c r="G1595" s="2">
        <f t="shared" si="475"/>
        <v>0.4</v>
      </c>
      <c r="H1595" s="2">
        <f t="shared" si="476"/>
        <v>0.50632911392405067</v>
      </c>
      <c r="I1595" s="12">
        <v>0.02</v>
      </c>
      <c r="J1595" s="12">
        <v>7.0000000000000007E-2</v>
      </c>
      <c r="K1595" s="12">
        <f t="shared" si="477"/>
        <v>9.5412658227848127E-2</v>
      </c>
      <c r="L1595" s="12">
        <f t="shared" si="478"/>
        <v>0.69174177215189891</v>
      </c>
      <c r="M1595" s="2"/>
      <c r="N1595" s="2"/>
      <c r="O1595" s="2">
        <f t="shared" si="481"/>
        <v>345.87088607594944</v>
      </c>
      <c r="P1595" s="2"/>
      <c r="Q1595" s="2">
        <f t="shared" si="480"/>
        <v>691.74177215189889</v>
      </c>
      <c r="R1595" s="28">
        <v>16.666666666666668</v>
      </c>
    </row>
    <row r="1596" spans="1:18" hidden="1" x14ac:dyDescent="0.25">
      <c r="A1596" s="16">
        <v>45870</v>
      </c>
      <c r="B1596" s="2" t="s">
        <v>95</v>
      </c>
      <c r="C1596" s="2">
        <v>370</v>
      </c>
      <c r="D1596" s="19">
        <v>0.1</v>
      </c>
      <c r="E1596" s="11">
        <v>0.5</v>
      </c>
      <c r="F1596" s="2">
        <f t="shared" si="474"/>
        <v>900</v>
      </c>
      <c r="G1596" s="2">
        <f t="shared" si="475"/>
        <v>0.37</v>
      </c>
      <c r="H1596" s="2">
        <f t="shared" si="476"/>
        <v>0.41111111111111109</v>
      </c>
      <c r="I1596" s="12">
        <v>0.02</v>
      </c>
      <c r="J1596" s="12">
        <v>7.0000000000000007E-2</v>
      </c>
      <c r="K1596" s="12">
        <f t="shared" si="477"/>
        <v>0.25055555555555553</v>
      </c>
      <c r="L1596" s="12">
        <f t="shared" si="478"/>
        <v>0.75166666666666659</v>
      </c>
      <c r="M1596" s="2"/>
      <c r="N1596" s="2"/>
      <c r="O1596" s="2">
        <f t="shared" si="481"/>
        <v>375.83333333333331</v>
      </c>
      <c r="P1596" s="2"/>
      <c r="Q1596" s="2">
        <f t="shared" si="480"/>
        <v>751.66666666666663</v>
      </c>
      <c r="R1596" s="28">
        <v>16.666666666666668</v>
      </c>
    </row>
    <row r="1597" spans="1:18" hidden="1" x14ac:dyDescent="0.25">
      <c r="A1597" s="16">
        <v>45870</v>
      </c>
      <c r="B1597" s="2" t="s">
        <v>206</v>
      </c>
      <c r="C1597" s="2">
        <v>370</v>
      </c>
      <c r="D1597" s="19">
        <v>0.1</v>
      </c>
      <c r="E1597" s="11">
        <v>0.5</v>
      </c>
      <c r="F1597" s="2">
        <f t="shared" si="474"/>
        <v>900</v>
      </c>
      <c r="G1597" s="2">
        <f t="shared" si="475"/>
        <v>0.37</v>
      </c>
      <c r="H1597" s="2">
        <f t="shared" si="476"/>
        <v>0.41111111111111109</v>
      </c>
      <c r="I1597" s="12">
        <v>0.02</v>
      </c>
      <c r="J1597" s="12">
        <v>7.0000000000000007E-2</v>
      </c>
      <c r="K1597" s="12">
        <f t="shared" si="477"/>
        <v>0.25055555555555553</v>
      </c>
      <c r="L1597" s="12">
        <f t="shared" si="478"/>
        <v>0.75166666666666659</v>
      </c>
      <c r="M1597" s="2"/>
      <c r="N1597" s="2"/>
      <c r="O1597" s="2">
        <f t="shared" si="481"/>
        <v>375.83333333333331</v>
      </c>
      <c r="P1597" s="2"/>
      <c r="Q1597" s="2">
        <f t="shared" si="480"/>
        <v>751.66666666666663</v>
      </c>
      <c r="R1597" s="28">
        <v>16.666666666666668</v>
      </c>
    </row>
    <row r="1598" spans="1:18" hidden="1" x14ac:dyDescent="0.25">
      <c r="A1598" s="16">
        <v>45870</v>
      </c>
      <c r="B1598" s="2" t="s">
        <v>192</v>
      </c>
      <c r="C1598" s="2">
        <v>550</v>
      </c>
      <c r="D1598" s="19">
        <v>0.22</v>
      </c>
      <c r="E1598" s="11">
        <v>0.12</v>
      </c>
      <c r="F1598" s="2">
        <f t="shared" si="474"/>
        <v>780</v>
      </c>
      <c r="G1598" s="2">
        <f t="shared" si="475"/>
        <v>0.55000000000000004</v>
      </c>
      <c r="H1598" s="2">
        <f t="shared" si="476"/>
        <v>0.70512820512820518</v>
      </c>
      <c r="I1598" s="12">
        <v>0.02</v>
      </c>
      <c r="J1598" s="12">
        <v>7.0000000000000007E-2</v>
      </c>
      <c r="K1598" s="12">
        <f t="shared" si="477"/>
        <v>9.541538461538461E-2</v>
      </c>
      <c r="L1598" s="12">
        <f t="shared" si="478"/>
        <v>0.89054358974358971</v>
      </c>
      <c r="M1598" s="2"/>
      <c r="N1598" s="2"/>
      <c r="O1598" s="2">
        <f t="shared" si="481"/>
        <v>445.27179487179484</v>
      </c>
      <c r="P1598" s="2"/>
      <c r="Q1598" s="2">
        <f t="shared" si="480"/>
        <v>890.54358974358968</v>
      </c>
      <c r="R1598" s="28">
        <v>16.666666666666668</v>
      </c>
    </row>
    <row r="1599" spans="1:18" hidden="1" x14ac:dyDescent="0.25">
      <c r="A1599" s="16">
        <v>45870</v>
      </c>
      <c r="B1599" s="2" t="s">
        <v>93</v>
      </c>
      <c r="C1599" s="2">
        <v>550</v>
      </c>
      <c r="D1599" s="19">
        <v>0.22</v>
      </c>
      <c r="E1599" s="11">
        <v>0.246</v>
      </c>
      <c r="F1599" s="2">
        <f t="shared" si="474"/>
        <v>780</v>
      </c>
      <c r="G1599" s="2">
        <f t="shared" si="475"/>
        <v>0.55000000000000004</v>
      </c>
      <c r="H1599" s="2">
        <f t="shared" si="476"/>
        <v>0.70512820512820518</v>
      </c>
      <c r="I1599" s="12">
        <v>0.02</v>
      </c>
      <c r="J1599" s="12">
        <v>7.0000000000000007E-2</v>
      </c>
      <c r="K1599" s="12">
        <f t="shared" si="477"/>
        <v>0.19560153846153847</v>
      </c>
      <c r="L1599" s="12">
        <f t="shared" si="478"/>
        <v>0.99072974358974364</v>
      </c>
      <c r="M1599" s="2"/>
      <c r="N1599" s="2"/>
      <c r="O1599" s="2">
        <f t="shared" si="481"/>
        <v>495.36487179487182</v>
      </c>
      <c r="P1599" s="2"/>
      <c r="Q1599" s="2">
        <f t="shared" si="480"/>
        <v>990.72974358974363</v>
      </c>
      <c r="R1599" s="28">
        <v>16.666666666666668</v>
      </c>
    </row>
    <row r="1600" spans="1:18" hidden="1" x14ac:dyDescent="0.25">
      <c r="A1600" s="16">
        <v>45871</v>
      </c>
      <c r="B1600" s="2" t="s">
        <v>159</v>
      </c>
      <c r="C1600" s="2">
        <v>330</v>
      </c>
      <c r="D1600" s="19">
        <v>0</v>
      </c>
      <c r="E1600" s="11">
        <v>0.40600000000000003</v>
      </c>
      <c r="F1600" s="2">
        <f t="shared" si="474"/>
        <v>1000</v>
      </c>
      <c r="G1600" s="2">
        <f t="shared" si="475"/>
        <v>0.33</v>
      </c>
      <c r="H1600" s="2">
        <f t="shared" si="476"/>
        <v>0.33</v>
      </c>
      <c r="I1600" s="12">
        <v>0.02</v>
      </c>
      <c r="J1600" s="12">
        <v>7.0000000000000007E-2</v>
      </c>
      <c r="K1600" s="12">
        <f t="shared" si="477"/>
        <v>0.17052000000000003</v>
      </c>
      <c r="L1600" s="12">
        <f t="shared" si="478"/>
        <v>0.59052000000000004</v>
      </c>
      <c r="M1600" s="2"/>
      <c r="N1600" s="2"/>
      <c r="O1600" s="2">
        <f t="shared" si="481"/>
        <v>295.26000000000005</v>
      </c>
      <c r="P1600" s="2"/>
      <c r="Q1600" s="2">
        <f t="shared" si="480"/>
        <v>590.5200000000001</v>
      </c>
      <c r="R1600" s="28">
        <v>16.666666666666668</v>
      </c>
    </row>
    <row r="1601" spans="1:18" hidden="1" x14ac:dyDescent="0.25">
      <c r="A1601" s="16">
        <v>45871</v>
      </c>
      <c r="B1601" s="2" t="s">
        <v>206</v>
      </c>
      <c r="C1601" s="2">
        <v>330</v>
      </c>
      <c r="D1601" s="19">
        <v>0.25</v>
      </c>
      <c r="E1601" s="11">
        <v>0.30499999999999999</v>
      </c>
      <c r="F1601" s="2">
        <f t="shared" si="474"/>
        <v>750</v>
      </c>
      <c r="G1601" s="2">
        <f t="shared" si="475"/>
        <v>0.33</v>
      </c>
      <c r="H1601" s="2">
        <f t="shared" si="476"/>
        <v>0.44</v>
      </c>
      <c r="I1601" s="12">
        <v>0.02</v>
      </c>
      <c r="J1601" s="12">
        <v>7.0000000000000007E-2</v>
      </c>
      <c r="K1601" s="12">
        <f t="shared" si="477"/>
        <v>0.16165000000000002</v>
      </c>
      <c r="L1601" s="12">
        <f t="shared" si="478"/>
        <v>0.6916500000000001</v>
      </c>
      <c r="M1601" s="2"/>
      <c r="N1601" s="2"/>
      <c r="O1601" s="2">
        <f t="shared" si="481"/>
        <v>345.82500000000005</v>
      </c>
      <c r="P1601" s="2"/>
      <c r="Q1601" s="2">
        <f t="shared" si="480"/>
        <v>691.65000000000009</v>
      </c>
      <c r="R1601" s="28">
        <v>16.666666666666668</v>
      </c>
    </row>
    <row r="1602" spans="1:18" hidden="1" x14ac:dyDescent="0.25">
      <c r="A1602" s="16">
        <v>45871</v>
      </c>
      <c r="B1602" s="2" t="s">
        <v>95</v>
      </c>
      <c r="C1602" s="2">
        <v>330</v>
      </c>
      <c r="D1602" s="19">
        <v>0.25</v>
      </c>
      <c r="E1602" s="11">
        <v>0.30499999999999999</v>
      </c>
      <c r="F1602" s="2">
        <f t="shared" si="474"/>
        <v>750</v>
      </c>
      <c r="G1602" s="2">
        <f t="shared" si="475"/>
        <v>0.33</v>
      </c>
      <c r="H1602" s="2">
        <f t="shared" si="476"/>
        <v>0.44</v>
      </c>
      <c r="I1602" s="12">
        <v>0.02</v>
      </c>
      <c r="J1602" s="12">
        <v>7.0000000000000007E-2</v>
      </c>
      <c r="K1602" s="12">
        <f t="shared" si="477"/>
        <v>0.16165000000000002</v>
      </c>
      <c r="L1602" s="12">
        <f t="shared" si="478"/>
        <v>0.6916500000000001</v>
      </c>
      <c r="M1602" s="2"/>
      <c r="N1602" s="2"/>
      <c r="O1602" s="2">
        <f t="shared" si="481"/>
        <v>345.82500000000005</v>
      </c>
      <c r="P1602" s="2"/>
      <c r="Q1602" s="2">
        <f t="shared" si="480"/>
        <v>691.65000000000009</v>
      </c>
      <c r="R1602" s="28">
        <v>16.666666666666668</v>
      </c>
    </row>
    <row r="1603" spans="1:18" hidden="1" x14ac:dyDescent="0.25">
      <c r="A1603" s="16">
        <v>45871</v>
      </c>
      <c r="B1603" s="2" t="s">
        <v>205</v>
      </c>
      <c r="C1603" s="2">
        <v>720</v>
      </c>
      <c r="D1603" s="19">
        <v>0.44</v>
      </c>
      <c r="E1603" s="11">
        <v>0.29599999999999999</v>
      </c>
      <c r="F1603" s="2">
        <f t="shared" ref="F1603:F1619" si="482">1000-1000*D1603</f>
        <v>560</v>
      </c>
      <c r="G1603" s="2">
        <f t="shared" ref="G1603:G1619" si="483">C1603/1000</f>
        <v>0.72</v>
      </c>
      <c r="H1603" s="2">
        <f t="shared" ref="H1603:H1619" si="484">C1603/F1603</f>
        <v>1.2857142857142858</v>
      </c>
      <c r="I1603" s="12">
        <v>0.02</v>
      </c>
      <c r="J1603" s="12">
        <v>7.0000000000000007E-2</v>
      </c>
      <c r="K1603" s="12">
        <f t="shared" ref="K1603:K1619" si="485">SUM(H1603:J1603)*E1603</f>
        <v>0.40721142857142861</v>
      </c>
      <c r="L1603" s="12">
        <f t="shared" ref="L1603:L1619" si="486">SUM(H1603:K1603)</f>
        <v>1.7829257142857144</v>
      </c>
      <c r="M1603" s="2">
        <f>L1603*250</f>
        <v>445.73142857142864</v>
      </c>
      <c r="N1603" s="2"/>
      <c r="O1603" s="2">
        <f>L1603*500</f>
        <v>891.46285714285727</v>
      </c>
      <c r="P1603" s="2"/>
      <c r="Q1603" s="2">
        <f t="shared" ref="Q1603:Q1618" si="487">L1603*1000</f>
        <v>1782.9257142857145</v>
      </c>
      <c r="R1603" s="28">
        <v>16.666666666666668</v>
      </c>
    </row>
    <row r="1604" spans="1:18" hidden="1" x14ac:dyDescent="0.25">
      <c r="A1604" s="16">
        <v>45872</v>
      </c>
      <c r="B1604" s="2" t="s">
        <v>104</v>
      </c>
      <c r="C1604" s="2">
        <v>120</v>
      </c>
      <c r="D1604" s="19">
        <v>0.71</v>
      </c>
      <c r="E1604" s="11">
        <v>0.55000000000000004</v>
      </c>
      <c r="F1604" s="2">
        <f t="shared" si="482"/>
        <v>290</v>
      </c>
      <c r="G1604" s="2">
        <f t="shared" si="483"/>
        <v>0.12</v>
      </c>
      <c r="H1604" s="2">
        <f t="shared" si="484"/>
        <v>0.41379310344827586</v>
      </c>
      <c r="I1604" s="12">
        <v>0.02</v>
      </c>
      <c r="J1604" s="12">
        <v>7.0000000000000007E-2</v>
      </c>
      <c r="K1604" s="12">
        <f t="shared" si="485"/>
        <v>0.27708620689655178</v>
      </c>
      <c r="L1604" s="12">
        <f t="shared" si="486"/>
        <v>0.78087931034482772</v>
      </c>
      <c r="M1604" s="2">
        <f t="shared" ref="M1604:M1606" si="488">L1604*250</f>
        <v>195.21982758620692</v>
      </c>
      <c r="N1604" s="2"/>
      <c r="O1604" s="2"/>
      <c r="P1604" s="2"/>
      <c r="Q1604" s="2">
        <f t="shared" si="487"/>
        <v>780.87931034482767</v>
      </c>
      <c r="R1604" s="28">
        <v>16.666666666666668</v>
      </c>
    </row>
    <row r="1605" spans="1:18" hidden="1" x14ac:dyDescent="0.25">
      <c r="A1605" s="16">
        <v>45872</v>
      </c>
      <c r="B1605" s="2" t="s">
        <v>105</v>
      </c>
      <c r="C1605" s="2">
        <v>120</v>
      </c>
      <c r="D1605" s="19">
        <v>0.71</v>
      </c>
      <c r="E1605" s="11">
        <v>0.39</v>
      </c>
      <c r="F1605" s="2">
        <f t="shared" si="482"/>
        <v>290</v>
      </c>
      <c r="G1605" s="2">
        <f t="shared" si="483"/>
        <v>0.12</v>
      </c>
      <c r="H1605" s="2">
        <f t="shared" si="484"/>
        <v>0.41379310344827586</v>
      </c>
      <c r="I1605" s="12">
        <v>0.02</v>
      </c>
      <c r="J1605" s="12">
        <v>7.0000000000000007E-2</v>
      </c>
      <c r="K1605" s="12">
        <f t="shared" si="485"/>
        <v>0.1964793103448276</v>
      </c>
      <c r="L1605" s="12">
        <f t="shared" si="486"/>
        <v>0.70027241379310345</v>
      </c>
      <c r="M1605" s="2">
        <f t="shared" si="488"/>
        <v>175.06810344827588</v>
      </c>
      <c r="N1605" s="2"/>
      <c r="O1605" s="2"/>
      <c r="P1605" s="2"/>
      <c r="Q1605" s="2">
        <f t="shared" si="487"/>
        <v>700.27241379310351</v>
      </c>
      <c r="R1605" s="28">
        <v>16.666666666666668</v>
      </c>
    </row>
    <row r="1606" spans="1:18" hidden="1" x14ac:dyDescent="0.25">
      <c r="A1606" s="16">
        <v>45872</v>
      </c>
      <c r="B1606" s="2" t="s">
        <v>111</v>
      </c>
      <c r="C1606" s="2">
        <v>1100</v>
      </c>
      <c r="D1606" s="19">
        <v>0.28999999999999998</v>
      </c>
      <c r="E1606" s="11">
        <v>0.21</v>
      </c>
      <c r="F1606" s="2">
        <f t="shared" si="482"/>
        <v>710</v>
      </c>
      <c r="G1606" s="2">
        <f t="shared" si="483"/>
        <v>1.1000000000000001</v>
      </c>
      <c r="H1606" s="2">
        <f t="shared" si="484"/>
        <v>1.5492957746478873</v>
      </c>
      <c r="I1606" s="12">
        <v>0.02</v>
      </c>
      <c r="J1606" s="12">
        <v>7.0000000000000007E-2</v>
      </c>
      <c r="K1606" s="12">
        <f t="shared" si="485"/>
        <v>0.34425211267605632</v>
      </c>
      <c r="L1606" s="12">
        <f t="shared" si="486"/>
        <v>1.9835478873239436</v>
      </c>
      <c r="M1606" s="2">
        <f t="shared" si="488"/>
        <v>495.88697183098589</v>
      </c>
      <c r="N1606" s="2"/>
      <c r="O1606" s="2"/>
      <c r="P1606" s="2"/>
      <c r="Q1606" s="2">
        <f t="shared" si="487"/>
        <v>1983.5478873239435</v>
      </c>
      <c r="R1606" s="28">
        <v>16.666666666666668</v>
      </c>
    </row>
    <row r="1607" spans="1:18" hidden="1" x14ac:dyDescent="0.25">
      <c r="A1607" s="16">
        <v>45872</v>
      </c>
      <c r="B1607" s="2" t="s">
        <v>160</v>
      </c>
      <c r="C1607" s="2">
        <v>1100</v>
      </c>
      <c r="D1607" s="19">
        <v>0.28999999999999998</v>
      </c>
      <c r="E1607" s="11">
        <v>0.215</v>
      </c>
      <c r="F1607" s="2">
        <f t="shared" si="482"/>
        <v>710</v>
      </c>
      <c r="G1607" s="2">
        <f t="shared" si="483"/>
        <v>1.1000000000000001</v>
      </c>
      <c r="H1607" s="2">
        <f t="shared" si="484"/>
        <v>1.5492957746478873</v>
      </c>
      <c r="I1607" s="12">
        <v>0.02</v>
      </c>
      <c r="J1607" s="12">
        <v>7.0000000000000007E-2</v>
      </c>
      <c r="K1607" s="12">
        <f t="shared" si="485"/>
        <v>0.35244859154929575</v>
      </c>
      <c r="L1607" s="12">
        <f t="shared" si="486"/>
        <v>1.991744366197183</v>
      </c>
      <c r="M1607" s="2"/>
      <c r="N1607" s="2"/>
      <c r="O1607" s="2">
        <f>L1607*500</f>
        <v>995.87218309859145</v>
      </c>
      <c r="P1607" s="2"/>
      <c r="Q1607" s="2">
        <f t="shared" si="487"/>
        <v>1991.7443661971829</v>
      </c>
      <c r="R1607" s="28">
        <v>16.666666666666668</v>
      </c>
    </row>
    <row r="1608" spans="1:18" hidden="1" x14ac:dyDescent="0.25">
      <c r="A1608" s="16">
        <v>45872</v>
      </c>
      <c r="B1608" s="2" t="s">
        <v>205</v>
      </c>
      <c r="C1608" s="2">
        <v>750</v>
      </c>
      <c r="D1608" s="19">
        <v>0.36</v>
      </c>
      <c r="E1608" s="11">
        <v>0.41299999999999998</v>
      </c>
      <c r="F1608" s="2">
        <f t="shared" si="482"/>
        <v>640</v>
      </c>
      <c r="G1608" s="2">
        <f t="shared" si="483"/>
        <v>0.75</v>
      </c>
      <c r="H1608" s="2">
        <f t="shared" si="484"/>
        <v>1.171875</v>
      </c>
      <c r="I1608" s="12">
        <v>0.02</v>
      </c>
      <c r="J1608" s="12">
        <v>7.0000000000000007E-2</v>
      </c>
      <c r="K1608" s="12">
        <f t="shared" si="485"/>
        <v>0.52115437500000006</v>
      </c>
      <c r="L1608" s="12">
        <f t="shared" si="486"/>
        <v>1.7830293750000001</v>
      </c>
      <c r="M1608" s="2">
        <f>L1608*250</f>
        <v>445.75734375000002</v>
      </c>
      <c r="N1608" s="2"/>
      <c r="O1608" s="2"/>
      <c r="P1608" s="2"/>
      <c r="Q1608" s="2">
        <f t="shared" si="487"/>
        <v>1783.0293750000001</v>
      </c>
      <c r="R1608" s="28">
        <v>16.666666666666668</v>
      </c>
    </row>
    <row r="1609" spans="1:18" hidden="1" x14ac:dyDescent="0.25">
      <c r="A1609" s="16">
        <v>45872</v>
      </c>
      <c r="B1609" s="2" t="s">
        <v>204</v>
      </c>
      <c r="C1609" s="2">
        <v>750</v>
      </c>
      <c r="D1609" s="19">
        <v>0.36</v>
      </c>
      <c r="E1609" s="11">
        <v>0.42</v>
      </c>
      <c r="F1609" s="2">
        <f t="shared" si="482"/>
        <v>640</v>
      </c>
      <c r="G1609" s="2">
        <f t="shared" si="483"/>
        <v>0.75</v>
      </c>
      <c r="H1609" s="2">
        <f t="shared" si="484"/>
        <v>1.171875</v>
      </c>
      <c r="I1609" s="12">
        <v>0.02</v>
      </c>
      <c r="J1609" s="12">
        <v>7.0000000000000007E-2</v>
      </c>
      <c r="K1609" s="12">
        <f t="shared" si="485"/>
        <v>0.52998750000000006</v>
      </c>
      <c r="L1609" s="12">
        <f t="shared" si="486"/>
        <v>1.7918625000000001</v>
      </c>
      <c r="M1609" s="2"/>
      <c r="N1609" s="2"/>
      <c r="O1609" s="2">
        <f>L1609*500</f>
        <v>895.93125000000009</v>
      </c>
      <c r="P1609" s="2"/>
      <c r="Q1609" s="2">
        <f t="shared" si="487"/>
        <v>1791.8625000000002</v>
      </c>
      <c r="R1609" s="28">
        <v>16.666666666666668</v>
      </c>
    </row>
    <row r="1610" spans="1:18" hidden="1" x14ac:dyDescent="0.25">
      <c r="A1610" s="16">
        <v>45872</v>
      </c>
      <c r="B1610" s="2" t="s">
        <v>90</v>
      </c>
      <c r="C1610" s="2">
        <v>330</v>
      </c>
      <c r="D1610" s="19">
        <v>0.23</v>
      </c>
      <c r="E1610" s="11">
        <v>0.45</v>
      </c>
      <c r="F1610" s="2">
        <f t="shared" si="482"/>
        <v>770</v>
      </c>
      <c r="G1610" s="2">
        <f t="shared" si="483"/>
        <v>0.33</v>
      </c>
      <c r="H1610" s="2">
        <f t="shared" si="484"/>
        <v>0.42857142857142855</v>
      </c>
      <c r="I1610" s="12">
        <v>0.02</v>
      </c>
      <c r="J1610" s="12">
        <v>7.0000000000000007E-2</v>
      </c>
      <c r="K1610" s="12">
        <f t="shared" si="485"/>
        <v>0.23335714285714287</v>
      </c>
      <c r="L1610" s="12">
        <f t="shared" si="486"/>
        <v>0.7519285714285715</v>
      </c>
      <c r="M1610" s="2"/>
      <c r="N1610" s="2"/>
      <c r="O1610" s="2">
        <f>L1610*500</f>
        <v>375.96428571428578</v>
      </c>
      <c r="P1610" s="2"/>
      <c r="Q1610" s="2">
        <f t="shared" si="487"/>
        <v>751.92857142857156</v>
      </c>
      <c r="R1610" s="28">
        <v>16.666666666666668</v>
      </c>
    </row>
    <row r="1611" spans="1:18" hidden="1" x14ac:dyDescent="0.25">
      <c r="A1611" s="16">
        <v>45872</v>
      </c>
      <c r="B1611" s="2" t="s">
        <v>92</v>
      </c>
      <c r="C1611" s="2">
        <v>420</v>
      </c>
      <c r="D1611" s="19">
        <v>0.09</v>
      </c>
      <c r="E1611" s="11">
        <v>0.254</v>
      </c>
      <c r="F1611" s="2">
        <f t="shared" si="482"/>
        <v>910</v>
      </c>
      <c r="G1611" s="2">
        <f t="shared" si="483"/>
        <v>0.42</v>
      </c>
      <c r="H1611" s="2">
        <f t="shared" si="484"/>
        <v>0.46153846153846156</v>
      </c>
      <c r="I1611" s="12">
        <v>0.02</v>
      </c>
      <c r="J1611" s="12">
        <v>7.0000000000000007E-2</v>
      </c>
      <c r="K1611" s="12">
        <f t="shared" si="485"/>
        <v>0.14009076923076924</v>
      </c>
      <c r="L1611" s="12">
        <f t="shared" si="486"/>
        <v>0.69162923076923077</v>
      </c>
      <c r="M1611" s="2"/>
      <c r="N1611" s="2"/>
      <c r="O1611" s="2">
        <f>L1611*500</f>
        <v>345.81461538461537</v>
      </c>
      <c r="P1611" s="2"/>
      <c r="Q1611" s="2">
        <f t="shared" si="487"/>
        <v>691.62923076923073</v>
      </c>
      <c r="R1611" s="28">
        <v>16.666666666666668</v>
      </c>
    </row>
    <row r="1612" spans="1:18" hidden="1" x14ac:dyDescent="0.25">
      <c r="A1612" s="16">
        <v>45872</v>
      </c>
      <c r="B1612" s="2" t="s">
        <v>206</v>
      </c>
      <c r="C1612" s="2">
        <v>330</v>
      </c>
      <c r="D1612" s="19">
        <v>0.25</v>
      </c>
      <c r="E1612" s="11">
        <v>0.30499999999999999</v>
      </c>
      <c r="F1612" s="2">
        <f t="shared" si="482"/>
        <v>750</v>
      </c>
      <c r="G1612" s="2">
        <f t="shared" si="483"/>
        <v>0.33</v>
      </c>
      <c r="H1612" s="2">
        <f t="shared" si="484"/>
        <v>0.44</v>
      </c>
      <c r="I1612" s="12">
        <v>0.02</v>
      </c>
      <c r="J1612" s="12">
        <v>7.0000000000000007E-2</v>
      </c>
      <c r="K1612" s="12">
        <f t="shared" si="485"/>
        <v>0.16165000000000002</v>
      </c>
      <c r="L1612" s="12">
        <f t="shared" si="486"/>
        <v>0.6916500000000001</v>
      </c>
      <c r="M1612" s="2"/>
      <c r="N1612" s="2"/>
      <c r="O1612" s="2">
        <f t="shared" ref="O1612:O1614" si="489">L1612*500</f>
        <v>345.82500000000005</v>
      </c>
      <c r="P1612" s="2"/>
      <c r="Q1612" s="2">
        <f t="shared" si="487"/>
        <v>691.65000000000009</v>
      </c>
      <c r="R1612" s="28">
        <v>16.666666666666668</v>
      </c>
    </row>
    <row r="1613" spans="1:18" hidden="1" x14ac:dyDescent="0.25">
      <c r="A1613" s="16">
        <v>45872</v>
      </c>
      <c r="B1613" s="2" t="s">
        <v>95</v>
      </c>
      <c r="C1613" s="2">
        <v>330</v>
      </c>
      <c r="D1613" s="19">
        <v>0.25</v>
      </c>
      <c r="E1613" s="11">
        <v>0.30499999999999999</v>
      </c>
      <c r="F1613" s="2">
        <f t="shared" si="482"/>
        <v>750</v>
      </c>
      <c r="G1613" s="2">
        <f t="shared" si="483"/>
        <v>0.33</v>
      </c>
      <c r="H1613" s="2">
        <f t="shared" si="484"/>
        <v>0.44</v>
      </c>
      <c r="I1613" s="12">
        <v>0.02</v>
      </c>
      <c r="J1613" s="12">
        <v>7.0000000000000007E-2</v>
      </c>
      <c r="K1613" s="12">
        <f t="shared" si="485"/>
        <v>0.16165000000000002</v>
      </c>
      <c r="L1613" s="12">
        <f t="shared" si="486"/>
        <v>0.6916500000000001</v>
      </c>
      <c r="M1613" s="2"/>
      <c r="N1613" s="2"/>
      <c r="O1613" s="2">
        <f t="shared" si="489"/>
        <v>345.82500000000005</v>
      </c>
      <c r="P1613" s="2"/>
      <c r="Q1613" s="2">
        <f t="shared" si="487"/>
        <v>691.65000000000009</v>
      </c>
      <c r="R1613" s="28">
        <v>16.666666666666668</v>
      </c>
    </row>
    <row r="1614" spans="1:18" hidden="1" x14ac:dyDescent="0.25">
      <c r="A1614" s="16">
        <v>45874</v>
      </c>
      <c r="B1614" s="2" t="s">
        <v>106</v>
      </c>
      <c r="C1614" s="2">
        <v>230</v>
      </c>
      <c r="D1614" s="19">
        <v>0.02</v>
      </c>
      <c r="E1614" s="11">
        <v>0.5</v>
      </c>
      <c r="F1614" s="2">
        <f t="shared" si="482"/>
        <v>980</v>
      </c>
      <c r="G1614" s="2">
        <f t="shared" si="483"/>
        <v>0.23</v>
      </c>
      <c r="H1614" s="2">
        <f t="shared" si="484"/>
        <v>0.23469387755102042</v>
      </c>
      <c r="I1614" s="12">
        <v>0.02</v>
      </c>
      <c r="J1614" s="12">
        <v>7.0000000000000007E-2</v>
      </c>
      <c r="K1614" s="12">
        <f t="shared" si="485"/>
        <v>0.16234693877551021</v>
      </c>
      <c r="L1614" s="12">
        <f t="shared" si="486"/>
        <v>0.48704081632653062</v>
      </c>
      <c r="M1614" s="2"/>
      <c r="N1614" s="2"/>
      <c r="O1614" s="2">
        <f t="shared" si="489"/>
        <v>243.5204081632653</v>
      </c>
      <c r="P1614" s="2"/>
      <c r="Q1614" s="2">
        <f t="shared" si="487"/>
        <v>487.0408163265306</v>
      </c>
      <c r="R1614" s="28">
        <v>16.666666666666668</v>
      </c>
    </row>
    <row r="1615" spans="1:18" hidden="1" x14ac:dyDescent="0.25">
      <c r="A1615" s="16">
        <v>45874</v>
      </c>
      <c r="B1615" s="2" t="s">
        <v>152</v>
      </c>
      <c r="C1615" s="2">
        <v>230</v>
      </c>
      <c r="D1615" s="19">
        <v>0.02</v>
      </c>
      <c r="E1615" s="11">
        <v>0.54</v>
      </c>
      <c r="F1615" s="2">
        <f t="shared" si="482"/>
        <v>980</v>
      </c>
      <c r="G1615" s="2">
        <f t="shared" si="483"/>
        <v>0.23</v>
      </c>
      <c r="H1615" s="2">
        <f t="shared" si="484"/>
        <v>0.23469387755102042</v>
      </c>
      <c r="I1615" s="12">
        <v>0.02</v>
      </c>
      <c r="J1615" s="12">
        <v>7.0000000000000007E-2</v>
      </c>
      <c r="K1615" s="12">
        <f t="shared" si="485"/>
        <v>0.17533469387755105</v>
      </c>
      <c r="L1615" s="12">
        <f t="shared" si="486"/>
        <v>0.50002857142857149</v>
      </c>
      <c r="M1615" s="2"/>
      <c r="N1615" s="2"/>
      <c r="O1615" s="2">
        <f>L1615*450</f>
        <v>225.01285714285717</v>
      </c>
      <c r="P1615" s="2"/>
      <c r="Q1615" s="2">
        <f t="shared" si="487"/>
        <v>500.02857142857147</v>
      </c>
      <c r="R1615" s="28">
        <v>16.666666666666668</v>
      </c>
    </row>
    <row r="1616" spans="1:18" hidden="1" x14ac:dyDescent="0.25">
      <c r="A1616" s="16">
        <v>45874</v>
      </c>
      <c r="B1616" s="2" t="s">
        <v>206</v>
      </c>
      <c r="C1616" s="2">
        <v>170</v>
      </c>
      <c r="D1616" s="19">
        <v>0.25</v>
      </c>
      <c r="E1616" s="11">
        <v>0.42499999999999999</v>
      </c>
      <c r="F1616" s="2">
        <f t="shared" si="482"/>
        <v>750</v>
      </c>
      <c r="G1616" s="2">
        <f t="shared" si="483"/>
        <v>0.17</v>
      </c>
      <c r="H1616" s="2">
        <f t="shared" si="484"/>
        <v>0.22666666666666666</v>
      </c>
      <c r="I1616" s="12">
        <v>0.02</v>
      </c>
      <c r="J1616" s="12">
        <v>7.0000000000000007E-2</v>
      </c>
      <c r="K1616" s="12">
        <f t="shared" si="485"/>
        <v>0.13458333333333333</v>
      </c>
      <c r="L1616" s="12">
        <f t="shared" si="486"/>
        <v>0.45124999999999998</v>
      </c>
      <c r="M1616" s="2"/>
      <c r="N1616" s="2"/>
      <c r="O1616" s="2">
        <f>L1616*500</f>
        <v>225.625</v>
      </c>
      <c r="P1616" s="2"/>
      <c r="Q1616" s="2">
        <f t="shared" si="487"/>
        <v>451.25</v>
      </c>
      <c r="R1616" s="28">
        <v>16.666666666666668</v>
      </c>
    </row>
    <row r="1617" spans="1:18" hidden="1" x14ac:dyDescent="0.25">
      <c r="A1617" s="16">
        <v>45874</v>
      </c>
      <c r="B1617" s="2" t="s">
        <v>154</v>
      </c>
      <c r="C1617" s="2">
        <v>170</v>
      </c>
      <c r="D1617" s="19">
        <v>0.25</v>
      </c>
      <c r="E1617" s="11">
        <v>0.42499999999999999</v>
      </c>
      <c r="F1617" s="2">
        <f t="shared" si="482"/>
        <v>750</v>
      </c>
      <c r="G1617" s="2">
        <f t="shared" si="483"/>
        <v>0.17</v>
      </c>
      <c r="H1617" s="2">
        <f t="shared" si="484"/>
        <v>0.22666666666666666</v>
      </c>
      <c r="I1617" s="12">
        <v>0.02</v>
      </c>
      <c r="J1617" s="12">
        <v>7.0000000000000007E-2</v>
      </c>
      <c r="K1617" s="12">
        <f t="shared" si="485"/>
        <v>0.13458333333333333</v>
      </c>
      <c r="L1617" s="12">
        <f t="shared" si="486"/>
        <v>0.45124999999999998</v>
      </c>
      <c r="M1617" s="2"/>
      <c r="N1617" s="2"/>
      <c r="O1617" s="2">
        <f t="shared" ref="O1617:O1619" si="490">L1617*500</f>
        <v>225.625</v>
      </c>
      <c r="P1617" s="2"/>
      <c r="Q1617" s="2">
        <f t="shared" si="487"/>
        <v>451.25</v>
      </c>
      <c r="R1617" s="28">
        <v>16.666666666666668</v>
      </c>
    </row>
    <row r="1618" spans="1:18" hidden="1" x14ac:dyDescent="0.25">
      <c r="A1618" s="16">
        <v>45874</v>
      </c>
      <c r="B1618" s="2" t="s">
        <v>110</v>
      </c>
      <c r="C1618" s="2">
        <v>150</v>
      </c>
      <c r="D1618" s="19">
        <v>0.05</v>
      </c>
      <c r="E1618" s="11">
        <v>0.41599999999999998</v>
      </c>
      <c r="F1618" s="2">
        <f t="shared" si="482"/>
        <v>950</v>
      </c>
      <c r="G1618" s="2">
        <f t="shared" si="483"/>
        <v>0.15</v>
      </c>
      <c r="H1618" s="2">
        <f t="shared" si="484"/>
        <v>0.15789473684210525</v>
      </c>
      <c r="I1618" s="12">
        <v>0.02</v>
      </c>
      <c r="J1618" s="12">
        <v>7.0000000000000007E-2</v>
      </c>
      <c r="K1618" s="12">
        <f t="shared" si="485"/>
        <v>0.10312421052631578</v>
      </c>
      <c r="L1618" s="12">
        <f t="shared" si="486"/>
        <v>0.35101894736842104</v>
      </c>
      <c r="M1618" s="2"/>
      <c r="N1618" s="2"/>
      <c r="O1618" s="2">
        <f t="shared" si="490"/>
        <v>175.50947368421052</v>
      </c>
      <c r="P1618" s="2"/>
      <c r="Q1618" s="2">
        <f t="shared" si="487"/>
        <v>351.01894736842104</v>
      </c>
      <c r="R1618" s="28">
        <v>16.666666666666668</v>
      </c>
    </row>
    <row r="1619" spans="1:18" hidden="1" x14ac:dyDescent="0.25">
      <c r="A1619" s="16">
        <v>45874</v>
      </c>
      <c r="B1619" s="2" t="s">
        <v>103</v>
      </c>
      <c r="C1619" s="2">
        <v>150</v>
      </c>
      <c r="D1619" s="19">
        <v>0.05</v>
      </c>
      <c r="E1619" s="11">
        <v>0.57499999999999996</v>
      </c>
      <c r="F1619" s="2">
        <f t="shared" si="482"/>
        <v>950</v>
      </c>
      <c r="G1619" s="2">
        <f t="shared" si="483"/>
        <v>0.15</v>
      </c>
      <c r="H1619" s="2">
        <f t="shared" si="484"/>
        <v>0.15789473684210525</v>
      </c>
      <c r="I1619" s="12">
        <v>0.02</v>
      </c>
      <c r="J1619" s="12">
        <v>7.0000000000000007E-2</v>
      </c>
      <c r="K1619" s="12">
        <f t="shared" si="485"/>
        <v>0.14253947368421052</v>
      </c>
      <c r="L1619" s="12">
        <f t="shared" si="486"/>
        <v>0.39043421052631577</v>
      </c>
      <c r="M1619" s="2"/>
      <c r="N1619" s="2"/>
      <c r="O1619" s="2">
        <f t="shared" si="490"/>
        <v>195.21710526315789</v>
      </c>
      <c r="P1619" s="2"/>
      <c r="Q1619" s="2" t="s">
        <v>250</v>
      </c>
      <c r="R1619" s="28">
        <v>16.666666666666668</v>
      </c>
    </row>
    <row r="1620" spans="1:18" hidden="1" x14ac:dyDescent="0.25">
      <c r="A1620" s="16">
        <v>45874</v>
      </c>
      <c r="B1620" s="2" t="s">
        <v>248</v>
      </c>
      <c r="C1620" s="2">
        <v>650</v>
      </c>
      <c r="D1620" s="19">
        <v>0.45</v>
      </c>
      <c r="E1620" s="11">
        <v>0.65200000000000002</v>
      </c>
      <c r="F1620" s="2">
        <f t="shared" ref="F1620:F1635" si="491">1000-1000*D1620</f>
        <v>550</v>
      </c>
      <c r="G1620" s="2">
        <f t="shared" ref="G1620:G1635" si="492">C1620/1000</f>
        <v>0.65</v>
      </c>
      <c r="H1620" s="2">
        <f t="shared" ref="H1620:H1635" si="493">C1620/F1620</f>
        <v>1.1818181818181819</v>
      </c>
      <c r="I1620" s="12">
        <v>0.02</v>
      </c>
      <c r="J1620" s="12">
        <v>7.0000000000000007E-2</v>
      </c>
      <c r="K1620" s="12">
        <f t="shared" ref="K1620:K1635" si="494">SUM(H1620:J1620)*E1620</f>
        <v>0.82922545454545471</v>
      </c>
      <c r="L1620" s="12">
        <f t="shared" ref="L1620:L1635" si="495">SUM(H1620:K1620)</f>
        <v>2.1010436363636367</v>
      </c>
      <c r="M1620" s="2">
        <f>L1620*250</f>
        <v>525.26090909090919</v>
      </c>
      <c r="N1620" s="2"/>
      <c r="O1620" s="2"/>
      <c r="P1620" s="2"/>
      <c r="Q1620" s="2">
        <f t="shared" ref="Q1620:Q1635" si="496">L1620*1000</f>
        <v>2101.0436363636368</v>
      </c>
      <c r="R1620" s="28">
        <v>16.666666666666668</v>
      </c>
    </row>
    <row r="1621" spans="1:18" hidden="1" x14ac:dyDescent="0.25">
      <c r="A1621" s="16">
        <v>45874</v>
      </c>
      <c r="B1621" s="2" t="s">
        <v>249</v>
      </c>
      <c r="C1621" s="2">
        <v>650</v>
      </c>
      <c r="D1621" s="19">
        <v>0.45</v>
      </c>
      <c r="E1621" s="11">
        <v>0.33700000000000002</v>
      </c>
      <c r="F1621" s="2">
        <f t="shared" si="491"/>
        <v>550</v>
      </c>
      <c r="G1621" s="2">
        <f t="shared" si="492"/>
        <v>0.65</v>
      </c>
      <c r="H1621" s="2">
        <f t="shared" si="493"/>
        <v>1.1818181818181819</v>
      </c>
      <c r="I1621" s="12">
        <v>0.02</v>
      </c>
      <c r="J1621" s="12">
        <v>7.0000000000000007E-2</v>
      </c>
      <c r="K1621" s="12">
        <f t="shared" si="494"/>
        <v>0.42860272727272736</v>
      </c>
      <c r="L1621" s="12">
        <f t="shared" si="495"/>
        <v>1.7004209090909093</v>
      </c>
      <c r="M1621" s="2">
        <f>L1621*250</f>
        <v>425.10522727272729</v>
      </c>
      <c r="N1621" s="2"/>
      <c r="O1621" s="2"/>
      <c r="P1621" s="2"/>
      <c r="Q1621" s="2">
        <f t="shared" si="496"/>
        <v>1700.4209090909092</v>
      </c>
      <c r="R1621" s="28">
        <v>16.666666666666668</v>
      </c>
    </row>
    <row r="1622" spans="1:18" hidden="1" x14ac:dyDescent="0.25">
      <c r="A1622" s="16">
        <v>45874</v>
      </c>
      <c r="B1622" s="2" t="s">
        <v>90</v>
      </c>
      <c r="C1622" s="2">
        <v>300</v>
      </c>
      <c r="D1622" s="19">
        <v>0.24</v>
      </c>
      <c r="E1622" s="11">
        <v>0.42499999999999999</v>
      </c>
      <c r="F1622" s="2">
        <f t="shared" si="491"/>
        <v>760</v>
      </c>
      <c r="G1622" s="2">
        <f t="shared" si="492"/>
        <v>0.3</v>
      </c>
      <c r="H1622" s="2">
        <f t="shared" si="493"/>
        <v>0.39473684210526316</v>
      </c>
      <c r="I1622" s="12">
        <v>0.02</v>
      </c>
      <c r="J1622" s="12">
        <v>7.0000000000000007E-2</v>
      </c>
      <c r="K1622" s="12">
        <f t="shared" si="494"/>
        <v>0.20601315789473684</v>
      </c>
      <c r="L1622" s="12">
        <f t="shared" si="495"/>
        <v>0.69074999999999998</v>
      </c>
      <c r="M1622" s="2"/>
      <c r="N1622" s="2"/>
      <c r="O1622" s="2">
        <f>L1622*500</f>
        <v>345.375</v>
      </c>
      <c r="P1622" s="2"/>
      <c r="Q1622" s="2">
        <f t="shared" si="496"/>
        <v>690.75</v>
      </c>
      <c r="R1622" s="28">
        <v>16.666666666666668</v>
      </c>
    </row>
    <row r="1623" spans="1:18" hidden="1" x14ac:dyDescent="0.25">
      <c r="A1623" s="16">
        <v>45875</v>
      </c>
      <c r="B1623" s="2" t="s">
        <v>192</v>
      </c>
      <c r="C1623" s="2">
        <v>450</v>
      </c>
      <c r="D1623" s="19">
        <v>0.17</v>
      </c>
      <c r="E1623" s="11">
        <v>0.25</v>
      </c>
      <c r="F1623" s="2">
        <f t="shared" si="491"/>
        <v>830</v>
      </c>
      <c r="G1623" s="2">
        <f t="shared" si="492"/>
        <v>0.45</v>
      </c>
      <c r="H1623" s="2">
        <f t="shared" si="493"/>
        <v>0.54216867469879515</v>
      </c>
      <c r="I1623" s="12">
        <v>0.02</v>
      </c>
      <c r="J1623" s="12">
        <v>7.0000000000000007E-2</v>
      </c>
      <c r="K1623" s="12">
        <f t="shared" si="494"/>
        <v>0.15804216867469878</v>
      </c>
      <c r="L1623" s="12">
        <f t="shared" si="495"/>
        <v>0.7902108433734939</v>
      </c>
      <c r="M1623" s="2"/>
      <c r="N1623" s="2"/>
      <c r="O1623" s="2">
        <f>L1623*500</f>
        <v>395.10542168674692</v>
      </c>
      <c r="P1623" s="2"/>
      <c r="Q1623" s="2">
        <f t="shared" si="496"/>
        <v>790.21084337349384</v>
      </c>
      <c r="R1623" s="28">
        <v>16.666666666666668</v>
      </c>
    </row>
    <row r="1624" spans="1:18" hidden="1" x14ac:dyDescent="0.25">
      <c r="A1624" s="16">
        <v>45875</v>
      </c>
      <c r="B1624" s="2" t="s">
        <v>160</v>
      </c>
      <c r="C1624" s="2">
        <v>900</v>
      </c>
      <c r="D1624" s="19">
        <v>0.27</v>
      </c>
      <c r="E1624" s="11">
        <v>0.43</v>
      </c>
      <c r="F1624" s="2">
        <f t="shared" si="491"/>
        <v>730</v>
      </c>
      <c r="G1624" s="2">
        <f t="shared" si="492"/>
        <v>0.9</v>
      </c>
      <c r="H1624" s="2">
        <f t="shared" si="493"/>
        <v>1.2328767123287672</v>
      </c>
      <c r="I1624" s="12">
        <v>0.02</v>
      </c>
      <c r="J1624" s="12">
        <v>7.0000000000000007E-2</v>
      </c>
      <c r="K1624" s="12">
        <f t="shared" si="494"/>
        <v>0.56883698630136992</v>
      </c>
      <c r="L1624" s="12">
        <f t="shared" si="495"/>
        <v>1.8917136986301371</v>
      </c>
      <c r="M1624" s="2"/>
      <c r="N1624" s="2"/>
      <c r="O1624" s="2">
        <f>L1624*500</f>
        <v>945.85684931506853</v>
      </c>
      <c r="P1624" s="2"/>
      <c r="Q1624" s="2">
        <f t="shared" si="496"/>
        <v>1891.7136986301371</v>
      </c>
      <c r="R1624" s="28">
        <v>16.666666666666668</v>
      </c>
    </row>
    <row r="1625" spans="1:18" hidden="1" x14ac:dyDescent="0.25">
      <c r="A1625" s="16">
        <v>45875</v>
      </c>
      <c r="B1625" s="2" t="s">
        <v>111</v>
      </c>
      <c r="C1625" s="2">
        <v>900</v>
      </c>
      <c r="D1625" s="19">
        <v>0.27</v>
      </c>
      <c r="E1625" s="11">
        <v>0</v>
      </c>
      <c r="F1625" s="2">
        <f t="shared" si="491"/>
        <v>730</v>
      </c>
      <c r="G1625" s="2">
        <f t="shared" si="492"/>
        <v>0.9</v>
      </c>
      <c r="H1625" s="2">
        <f t="shared" si="493"/>
        <v>1.2328767123287672</v>
      </c>
      <c r="I1625" s="12">
        <v>0.02</v>
      </c>
      <c r="J1625" s="12">
        <v>7.0000000000000007E-2</v>
      </c>
      <c r="K1625" s="12">
        <f t="shared" si="494"/>
        <v>0</v>
      </c>
      <c r="L1625" s="12">
        <f t="shared" si="495"/>
        <v>1.3228767123287672</v>
      </c>
      <c r="M1625" s="2">
        <f>L1625*250</f>
        <v>330.71917808219183</v>
      </c>
      <c r="N1625" s="2"/>
      <c r="O1625" s="2">
        <f>L1625*500</f>
        <v>661.43835616438366</v>
      </c>
      <c r="P1625" s="2"/>
      <c r="Q1625" s="2">
        <f t="shared" si="496"/>
        <v>1322.8767123287673</v>
      </c>
      <c r="R1625" s="28">
        <v>16.666666666666668</v>
      </c>
    </row>
    <row r="1626" spans="1:18" hidden="1" x14ac:dyDescent="0.25">
      <c r="A1626" s="16">
        <v>45875</v>
      </c>
      <c r="B1626" s="2" t="s">
        <v>106</v>
      </c>
      <c r="C1626" s="2">
        <v>230</v>
      </c>
      <c r="D1626" s="19">
        <v>0</v>
      </c>
      <c r="E1626" s="11">
        <v>0.53600000000000003</v>
      </c>
      <c r="F1626" s="2">
        <f t="shared" si="491"/>
        <v>1000</v>
      </c>
      <c r="G1626" s="2">
        <f t="shared" si="492"/>
        <v>0.23</v>
      </c>
      <c r="H1626" s="2">
        <f t="shared" si="493"/>
        <v>0.23</v>
      </c>
      <c r="I1626" s="12">
        <v>0.02</v>
      </c>
      <c r="J1626" s="12">
        <v>7.0000000000000007E-2</v>
      </c>
      <c r="K1626" s="12">
        <f t="shared" si="494"/>
        <v>0.17152000000000001</v>
      </c>
      <c r="L1626" s="12">
        <f t="shared" si="495"/>
        <v>0.49152000000000001</v>
      </c>
      <c r="M1626" s="2"/>
      <c r="N1626" s="2"/>
      <c r="O1626" s="2">
        <f>L1626*500</f>
        <v>245.76000000000002</v>
      </c>
      <c r="P1626" s="2"/>
      <c r="Q1626" s="2">
        <f t="shared" si="496"/>
        <v>491.52000000000004</v>
      </c>
      <c r="R1626" s="28">
        <v>16.666666666666668</v>
      </c>
    </row>
    <row r="1627" spans="1:18" hidden="1" x14ac:dyDescent="0.25">
      <c r="A1627" s="16">
        <v>45875</v>
      </c>
      <c r="B1627" s="2" t="s">
        <v>152</v>
      </c>
      <c r="C1627" s="2">
        <v>230</v>
      </c>
      <c r="D1627" s="19">
        <v>0</v>
      </c>
      <c r="E1627" s="11">
        <v>0.56599999999999995</v>
      </c>
      <c r="F1627" s="2">
        <f t="shared" si="491"/>
        <v>1000</v>
      </c>
      <c r="G1627" s="2">
        <f t="shared" si="492"/>
        <v>0.23</v>
      </c>
      <c r="H1627" s="2">
        <f t="shared" si="493"/>
        <v>0.23</v>
      </c>
      <c r="I1627" s="12">
        <v>0.02</v>
      </c>
      <c r="J1627" s="12">
        <v>7.0000000000000007E-2</v>
      </c>
      <c r="K1627" s="12">
        <f t="shared" si="494"/>
        <v>0.18111999999999998</v>
      </c>
      <c r="L1627" s="12">
        <f t="shared" si="495"/>
        <v>0.50112000000000001</v>
      </c>
      <c r="M1627" s="2"/>
      <c r="N1627" s="2"/>
      <c r="O1627" s="2">
        <f>L1627*450</f>
        <v>225.50399999999999</v>
      </c>
      <c r="P1627" s="2"/>
      <c r="Q1627" s="2">
        <f t="shared" si="496"/>
        <v>501.12</v>
      </c>
      <c r="R1627" s="28">
        <v>16.666666666666668</v>
      </c>
    </row>
    <row r="1628" spans="1:18" hidden="1" x14ac:dyDescent="0.25">
      <c r="A1628" s="16">
        <v>45875</v>
      </c>
      <c r="B1628" s="2" t="s">
        <v>92</v>
      </c>
      <c r="C1628" s="2">
        <v>420</v>
      </c>
      <c r="D1628" s="19">
        <v>0.09</v>
      </c>
      <c r="E1628" s="11">
        <v>0.39400000000000002</v>
      </c>
      <c r="F1628" s="2">
        <f t="shared" si="491"/>
        <v>910</v>
      </c>
      <c r="G1628" s="2">
        <f t="shared" si="492"/>
        <v>0.42</v>
      </c>
      <c r="H1628" s="2">
        <f t="shared" si="493"/>
        <v>0.46153846153846156</v>
      </c>
      <c r="I1628" s="12">
        <v>0.02</v>
      </c>
      <c r="J1628" s="12">
        <v>7.0000000000000007E-2</v>
      </c>
      <c r="K1628" s="12">
        <f t="shared" si="494"/>
        <v>0.21730615384615384</v>
      </c>
      <c r="L1628" s="12">
        <f t="shared" si="495"/>
        <v>0.76884461538461535</v>
      </c>
      <c r="M1628" s="2"/>
      <c r="N1628" s="2"/>
      <c r="O1628" s="2">
        <f>L1628*450</f>
        <v>345.98007692307692</v>
      </c>
      <c r="P1628" s="2"/>
      <c r="Q1628" s="2">
        <f t="shared" si="496"/>
        <v>768.84461538461539</v>
      </c>
      <c r="R1628" s="28">
        <v>16.666666666666668</v>
      </c>
    </row>
    <row r="1629" spans="1:18" hidden="1" x14ac:dyDescent="0.25">
      <c r="A1629" s="16">
        <v>45875</v>
      </c>
      <c r="B1629" s="2" t="s">
        <v>130</v>
      </c>
      <c r="C1629" s="2">
        <v>320</v>
      </c>
      <c r="D1629" s="19">
        <v>0.17</v>
      </c>
      <c r="E1629" s="11">
        <v>0.28599999999999998</v>
      </c>
      <c r="F1629" s="2">
        <f t="shared" si="491"/>
        <v>830</v>
      </c>
      <c r="G1629" s="2">
        <f t="shared" si="492"/>
        <v>0.32</v>
      </c>
      <c r="H1629" s="2">
        <f t="shared" si="493"/>
        <v>0.38554216867469882</v>
      </c>
      <c r="I1629" s="12">
        <v>0.02</v>
      </c>
      <c r="J1629" s="12">
        <v>7.0000000000000007E-2</v>
      </c>
      <c r="K1629" s="12">
        <f t="shared" si="494"/>
        <v>0.13600506024096384</v>
      </c>
      <c r="L1629" s="12">
        <f t="shared" si="495"/>
        <v>0.61154722891566271</v>
      </c>
      <c r="M1629" s="2"/>
      <c r="N1629" s="2"/>
      <c r="O1629" s="2">
        <f>L1629*450</f>
        <v>275.1962530120482</v>
      </c>
      <c r="P1629" s="2"/>
      <c r="Q1629" s="2">
        <f t="shared" si="496"/>
        <v>611.54722891566269</v>
      </c>
      <c r="R1629" s="28">
        <v>16.666666666666668</v>
      </c>
    </row>
    <row r="1630" spans="1:18" hidden="1" x14ac:dyDescent="0.25">
      <c r="A1630" s="16">
        <v>45875</v>
      </c>
      <c r="B1630" s="2" t="s">
        <v>105</v>
      </c>
      <c r="C1630" s="2">
        <v>130</v>
      </c>
      <c r="D1630" s="19">
        <v>0.68</v>
      </c>
      <c r="E1630" s="11">
        <v>0.41599999999999998</v>
      </c>
      <c r="F1630" s="2">
        <f t="shared" si="491"/>
        <v>320</v>
      </c>
      <c r="G1630" s="2">
        <f t="shared" si="492"/>
        <v>0.13</v>
      </c>
      <c r="H1630" s="2">
        <f t="shared" si="493"/>
        <v>0.40625</v>
      </c>
      <c r="I1630" s="12">
        <v>0.02</v>
      </c>
      <c r="J1630" s="12">
        <v>7.0000000000000007E-2</v>
      </c>
      <c r="K1630" s="12">
        <f t="shared" si="494"/>
        <v>0.20644000000000001</v>
      </c>
      <c r="L1630" s="12">
        <f t="shared" si="495"/>
        <v>0.70269000000000004</v>
      </c>
      <c r="M1630" s="2">
        <f>L1630*250</f>
        <v>175.67250000000001</v>
      </c>
      <c r="N1630" s="2"/>
      <c r="O1630" s="2"/>
      <c r="P1630" s="2"/>
      <c r="Q1630" s="2">
        <f t="shared" si="496"/>
        <v>702.69</v>
      </c>
      <c r="R1630" s="28">
        <v>16.666666666666668</v>
      </c>
    </row>
    <row r="1631" spans="1:18" hidden="1" x14ac:dyDescent="0.25">
      <c r="A1631" s="16">
        <v>45875</v>
      </c>
      <c r="B1631" s="2" t="s">
        <v>104</v>
      </c>
      <c r="C1631" s="2">
        <v>130</v>
      </c>
      <c r="D1631" s="19">
        <v>0.68</v>
      </c>
      <c r="E1631" s="11">
        <v>0.57499999999999996</v>
      </c>
      <c r="F1631" s="2">
        <f t="shared" si="491"/>
        <v>320</v>
      </c>
      <c r="G1631" s="2">
        <f t="shared" si="492"/>
        <v>0.13</v>
      </c>
      <c r="H1631" s="2">
        <f t="shared" si="493"/>
        <v>0.40625</v>
      </c>
      <c r="I1631" s="12">
        <v>0.02</v>
      </c>
      <c r="J1631" s="12">
        <v>7.0000000000000007E-2</v>
      </c>
      <c r="K1631" s="12">
        <f t="shared" si="494"/>
        <v>0.28534375000000001</v>
      </c>
      <c r="L1631" s="12">
        <f t="shared" si="495"/>
        <v>0.78159375000000009</v>
      </c>
      <c r="M1631" s="2">
        <f>L1631*250</f>
        <v>195.39843750000003</v>
      </c>
      <c r="N1631" s="2"/>
      <c r="O1631" s="2"/>
      <c r="P1631" s="2"/>
      <c r="Q1631" s="2">
        <f t="shared" si="496"/>
        <v>781.59375000000011</v>
      </c>
      <c r="R1631" s="28">
        <v>16.666666666666668</v>
      </c>
    </row>
    <row r="1632" spans="1:18" hidden="1" x14ac:dyDescent="0.25">
      <c r="A1632" s="16">
        <v>45876</v>
      </c>
      <c r="B1632" s="2" t="s">
        <v>251</v>
      </c>
      <c r="C1632" s="2">
        <v>130</v>
      </c>
      <c r="D1632" s="19">
        <v>0.18</v>
      </c>
      <c r="E1632" s="11">
        <v>0.41</v>
      </c>
      <c r="F1632" s="2">
        <f t="shared" si="491"/>
        <v>820</v>
      </c>
      <c r="G1632" s="2">
        <f t="shared" si="492"/>
        <v>0.13</v>
      </c>
      <c r="H1632" s="2">
        <f t="shared" si="493"/>
        <v>0.15853658536585366</v>
      </c>
      <c r="I1632" s="12">
        <v>0.02</v>
      </c>
      <c r="J1632" s="12">
        <v>7.0000000000000007E-2</v>
      </c>
      <c r="K1632" s="12">
        <f t="shared" si="494"/>
        <v>0.10189999999999999</v>
      </c>
      <c r="L1632" s="12">
        <f t="shared" si="495"/>
        <v>0.35043658536585365</v>
      </c>
      <c r="M1632" s="2"/>
      <c r="N1632" s="2"/>
      <c r="O1632" s="2">
        <f>L1632*500</f>
        <v>175.21829268292683</v>
      </c>
      <c r="P1632" s="2"/>
      <c r="Q1632" s="2">
        <f t="shared" si="496"/>
        <v>350.43658536585366</v>
      </c>
      <c r="R1632" s="28">
        <v>16.666666666666668</v>
      </c>
    </row>
    <row r="1633" spans="1:18" hidden="1" x14ac:dyDescent="0.25">
      <c r="A1633" s="16">
        <v>45876</v>
      </c>
      <c r="B1633" s="2" t="s">
        <v>106</v>
      </c>
      <c r="C1633" s="2">
        <v>220</v>
      </c>
      <c r="D1633" s="19">
        <v>0</v>
      </c>
      <c r="E1633" s="11">
        <v>0.45500000000000002</v>
      </c>
      <c r="F1633" s="2">
        <f t="shared" si="491"/>
        <v>1000</v>
      </c>
      <c r="G1633" s="2">
        <f t="shared" si="492"/>
        <v>0.22</v>
      </c>
      <c r="H1633" s="2">
        <f t="shared" si="493"/>
        <v>0.22</v>
      </c>
      <c r="I1633" s="12">
        <v>0.02</v>
      </c>
      <c r="J1633" s="12">
        <v>7.0000000000000007E-2</v>
      </c>
      <c r="K1633" s="12">
        <f t="shared" si="494"/>
        <v>0.14105000000000001</v>
      </c>
      <c r="L1633" s="12">
        <f t="shared" si="495"/>
        <v>0.45105000000000001</v>
      </c>
      <c r="M1633" s="2"/>
      <c r="N1633" s="2"/>
      <c r="O1633" s="2">
        <f>L1633*500</f>
        <v>225.52500000000001</v>
      </c>
      <c r="P1633" s="2"/>
      <c r="Q1633" s="2">
        <f t="shared" si="496"/>
        <v>451.05</v>
      </c>
      <c r="R1633" s="28">
        <v>16.666666666666668</v>
      </c>
    </row>
    <row r="1634" spans="1:18" hidden="1" x14ac:dyDescent="0.25">
      <c r="A1634" s="16">
        <v>45876</v>
      </c>
      <c r="B1634" s="2" t="s">
        <v>152</v>
      </c>
      <c r="C1634" s="2">
        <v>220</v>
      </c>
      <c r="D1634" s="19">
        <v>0</v>
      </c>
      <c r="E1634" s="11">
        <v>0.4</v>
      </c>
      <c r="F1634" s="2">
        <f t="shared" si="491"/>
        <v>1000</v>
      </c>
      <c r="G1634" s="2">
        <f t="shared" si="492"/>
        <v>0.22</v>
      </c>
      <c r="H1634" s="2">
        <f t="shared" si="493"/>
        <v>0.22</v>
      </c>
      <c r="I1634" s="12">
        <v>0.02</v>
      </c>
      <c r="J1634" s="12">
        <v>7.0000000000000007E-2</v>
      </c>
      <c r="K1634" s="12">
        <f t="shared" si="494"/>
        <v>0.124</v>
      </c>
      <c r="L1634" s="12">
        <f t="shared" si="495"/>
        <v>0.434</v>
      </c>
      <c r="M1634" s="2"/>
      <c r="N1634" s="2"/>
      <c r="O1634" s="2">
        <f>L1634*450</f>
        <v>195.3</v>
      </c>
      <c r="P1634" s="2"/>
      <c r="Q1634" s="2">
        <f t="shared" si="496"/>
        <v>434</v>
      </c>
      <c r="R1634" s="28">
        <v>16.666666666666668</v>
      </c>
    </row>
    <row r="1635" spans="1:18" hidden="1" x14ac:dyDescent="0.25">
      <c r="A1635" s="16">
        <v>45876</v>
      </c>
      <c r="B1635" s="2" t="s">
        <v>116</v>
      </c>
      <c r="C1635" s="2">
        <v>550</v>
      </c>
      <c r="D1635" s="19">
        <v>0.19</v>
      </c>
      <c r="E1635" s="11">
        <v>0.28899999999999998</v>
      </c>
      <c r="F1635" s="2">
        <f t="shared" si="491"/>
        <v>810</v>
      </c>
      <c r="G1635" s="2">
        <f t="shared" si="492"/>
        <v>0.55000000000000004</v>
      </c>
      <c r="H1635" s="2">
        <f t="shared" si="493"/>
        <v>0.67901234567901236</v>
      </c>
      <c r="I1635" s="12">
        <v>0.02</v>
      </c>
      <c r="J1635" s="12">
        <v>7.0000000000000007E-2</v>
      </c>
      <c r="K1635" s="12">
        <f t="shared" si="494"/>
        <v>0.22224456790123454</v>
      </c>
      <c r="L1635" s="12">
        <f t="shared" si="495"/>
        <v>0.99125691358024692</v>
      </c>
      <c r="M1635" s="2"/>
      <c r="N1635" s="2"/>
      <c r="O1635" s="2">
        <f>L1635*500</f>
        <v>495.62845679012344</v>
      </c>
      <c r="P1635" s="2"/>
      <c r="Q1635" s="2">
        <f t="shared" si="496"/>
        <v>991.25691358024687</v>
      </c>
      <c r="R1635" s="28">
        <v>16.666666666666668</v>
      </c>
    </row>
    <row r="1636" spans="1:18" hidden="1" x14ac:dyDescent="0.25">
      <c r="A1636" s="16">
        <v>45876</v>
      </c>
      <c r="B1636" s="2" t="s">
        <v>128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 spans="1:18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  <row r="1642" spans="1:1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 spans="1:18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 spans="1:18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spans="1:18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 spans="1:1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</row>
    <row r="1647" spans="1:18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 spans="1:18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 spans="1:18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 spans="1:1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</row>
  </sheetData>
  <autoFilter ref="A7:LF1636">
    <filterColumn colId="1">
      <filters>
        <filter val="YELLOW VAAM"/>
        <filter val="YELLOW VAAM TUKADI"/>
      </filters>
    </filterColumn>
  </autoFilter>
  <mergeCells count="2">
    <mergeCell ref="C6:E6"/>
    <mergeCell ref="M6:Q6"/>
  </mergeCells>
  <pageMargins left="0.7" right="0.7" top="0.75" bottom="0.75" header="0.3" footer="0.3"/>
  <pageSetup orientation="portrait" r:id="rId1"/>
  <ignoredErrors>
    <ignoredError sqref="A144:A145" twoDigitTextYear="1"/>
    <ignoredError sqref="O1198 O1257 O1312 O1347" formula="1"/>
    <ignoredError sqref="E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988"/>
  <sheetViews>
    <sheetView zoomScaleNormal="100" workbookViewId="0">
      <pane xSplit="4" ySplit="3" topLeftCell="E878" activePane="bottomRight" state="frozen"/>
      <selection pane="topRight" activeCell="E1" sqref="E1"/>
      <selection pane="bottomLeft" activeCell="A4" sqref="A4"/>
      <selection pane="bottomRight" activeCell="C971" sqref="C971"/>
    </sheetView>
  </sheetViews>
  <sheetFormatPr defaultRowHeight="15" x14ac:dyDescent="0.25"/>
  <cols>
    <col min="1" max="1" width="10" bestFit="1" customWidth="1"/>
    <col min="2" max="2" width="30.42578125" bestFit="1" customWidth="1"/>
    <col min="15" max="15" width="10.42578125" bestFit="1" customWidth="1"/>
    <col min="16" max="16" width="10" bestFit="1" customWidth="1"/>
  </cols>
  <sheetData>
    <row r="1" spans="1:19" ht="23.25" x14ac:dyDescent="0.35">
      <c r="D1" s="20">
        <f>AVERAGE(D4:D478)</f>
        <v>0.26909557894736846</v>
      </c>
      <c r="E1" s="18"/>
    </row>
    <row r="2" spans="1:19" x14ac:dyDescent="0.25">
      <c r="A2" s="7"/>
      <c r="B2" s="8" t="s">
        <v>14</v>
      </c>
      <c r="C2" s="61"/>
      <c r="D2" s="61"/>
      <c r="E2" s="60" t="s">
        <v>15</v>
      </c>
      <c r="F2" s="60"/>
      <c r="G2" s="60"/>
      <c r="H2" s="60"/>
      <c r="I2" s="60"/>
      <c r="J2" s="61" t="s">
        <v>16</v>
      </c>
      <c r="K2" s="61"/>
      <c r="L2" s="61"/>
      <c r="M2" s="62"/>
      <c r="N2" s="61"/>
      <c r="O2" s="7"/>
      <c r="P2" s="7"/>
    </row>
    <row r="3" spans="1:19" ht="60" x14ac:dyDescent="0.25">
      <c r="A3" s="9" t="s">
        <v>37</v>
      </c>
      <c r="B3" s="9" t="s">
        <v>0</v>
      </c>
      <c r="C3" s="9" t="s">
        <v>2</v>
      </c>
      <c r="D3" s="9" t="s">
        <v>3</v>
      </c>
      <c r="E3" s="9" t="s">
        <v>4</v>
      </c>
      <c r="F3" s="9" t="s">
        <v>34</v>
      </c>
      <c r="G3" s="9" t="s">
        <v>35</v>
      </c>
      <c r="H3" s="9" t="s">
        <v>7</v>
      </c>
      <c r="I3" s="9" t="s">
        <v>12</v>
      </c>
      <c r="J3" s="9" t="s">
        <v>8</v>
      </c>
      <c r="K3" s="9" t="s">
        <v>62</v>
      </c>
      <c r="L3" s="9" t="s">
        <v>9</v>
      </c>
      <c r="M3" s="9" t="s">
        <v>10</v>
      </c>
      <c r="N3" s="9" t="s">
        <v>11</v>
      </c>
      <c r="O3" s="9" t="s">
        <v>18</v>
      </c>
      <c r="P3" s="9">
        <v>1500</v>
      </c>
      <c r="Q3" s="29" t="s">
        <v>59</v>
      </c>
    </row>
    <row r="4" spans="1:19" hidden="1" x14ac:dyDescent="0.25">
      <c r="A4" s="16">
        <v>3</v>
      </c>
      <c r="B4" s="2" t="s">
        <v>163</v>
      </c>
      <c r="C4" s="2">
        <v>600</v>
      </c>
      <c r="D4" s="11">
        <v>0</v>
      </c>
      <c r="E4" s="2">
        <f t="shared" ref="E4:E67" si="0">C4/1000</f>
        <v>0.6</v>
      </c>
      <c r="F4" s="10">
        <v>0.02</v>
      </c>
      <c r="G4" s="10">
        <v>7.0000000000000007E-2</v>
      </c>
      <c r="H4" s="12">
        <f t="shared" ref="H4:H67" si="1">SUM(E4:G4)*D4</f>
        <v>0</v>
      </c>
      <c r="I4" s="12">
        <f t="shared" ref="I4:I67" si="2">SUM(E4:H4)</f>
        <v>0.69</v>
      </c>
      <c r="J4" s="2"/>
      <c r="K4" s="2"/>
      <c r="L4" s="2">
        <f>I4*500</f>
        <v>345</v>
      </c>
      <c r="M4" s="2"/>
      <c r="N4" s="2"/>
      <c r="O4" s="2"/>
      <c r="P4" s="2"/>
      <c r="Q4" s="28">
        <f t="shared" ref="Q4:Q14" si="3">H4/I4%</f>
        <v>0</v>
      </c>
    </row>
    <row r="5" spans="1:19" hidden="1" x14ac:dyDescent="0.25">
      <c r="A5" s="16">
        <v>45505</v>
      </c>
      <c r="B5" s="2" t="s">
        <v>84</v>
      </c>
      <c r="C5" s="10">
        <v>800</v>
      </c>
      <c r="D5" s="11">
        <v>0.18</v>
      </c>
      <c r="E5" s="10">
        <f t="shared" si="0"/>
        <v>0.8</v>
      </c>
      <c r="F5" s="10">
        <v>0.02</v>
      </c>
      <c r="G5" s="10">
        <v>7.0000000000000007E-2</v>
      </c>
      <c r="H5" s="12">
        <f t="shared" si="1"/>
        <v>0.16020000000000001</v>
      </c>
      <c r="I5" s="12">
        <f t="shared" si="2"/>
        <v>1.0502000000000002</v>
      </c>
      <c r="J5" s="10"/>
      <c r="K5" s="10"/>
      <c r="L5" s="10">
        <f>I5*500</f>
        <v>525.10000000000014</v>
      </c>
      <c r="M5" s="10"/>
      <c r="N5" s="10"/>
      <c r="O5" s="10"/>
      <c r="P5" s="10"/>
      <c r="Q5" s="28">
        <f t="shared" si="3"/>
        <v>15.25423728813559</v>
      </c>
    </row>
    <row r="6" spans="1:19" hidden="1" x14ac:dyDescent="0.25">
      <c r="A6" s="16">
        <v>45505</v>
      </c>
      <c r="B6" s="10" t="s">
        <v>88</v>
      </c>
      <c r="C6" s="10">
        <v>530</v>
      </c>
      <c r="D6" s="11">
        <v>0.28299999999999997</v>
      </c>
      <c r="E6" s="10">
        <f t="shared" si="0"/>
        <v>0.53</v>
      </c>
      <c r="F6" s="10">
        <v>0.02</v>
      </c>
      <c r="G6" s="10">
        <v>7.0000000000000007E-2</v>
      </c>
      <c r="H6" s="12">
        <f t="shared" si="1"/>
        <v>0.17546</v>
      </c>
      <c r="I6" s="12">
        <f t="shared" si="2"/>
        <v>0.79546000000000006</v>
      </c>
      <c r="J6" s="10"/>
      <c r="K6" s="10"/>
      <c r="L6" s="10"/>
      <c r="M6" s="10"/>
      <c r="N6" s="10">
        <f>I6*1000</f>
        <v>795.46</v>
      </c>
      <c r="O6" s="10"/>
      <c r="P6" s="10"/>
      <c r="Q6" s="28">
        <f t="shared" si="3"/>
        <v>22.057677318784098</v>
      </c>
    </row>
    <row r="7" spans="1:19" hidden="1" x14ac:dyDescent="0.25">
      <c r="A7" s="16">
        <v>45505</v>
      </c>
      <c r="B7" s="10" t="s">
        <v>89</v>
      </c>
      <c r="C7" s="10">
        <v>530</v>
      </c>
      <c r="D7" s="11">
        <v>0.28000000000000003</v>
      </c>
      <c r="E7" s="10">
        <f t="shared" si="0"/>
        <v>0.53</v>
      </c>
      <c r="F7" s="10">
        <v>0.02</v>
      </c>
      <c r="G7" s="10">
        <v>7.0000000000000007E-2</v>
      </c>
      <c r="H7" s="12">
        <f t="shared" si="1"/>
        <v>0.17360000000000006</v>
      </c>
      <c r="I7" s="12">
        <f t="shared" si="2"/>
        <v>0.79360000000000019</v>
      </c>
      <c r="J7" s="10"/>
      <c r="K7" s="10"/>
      <c r="L7" s="10"/>
      <c r="M7" s="10">
        <f>I7*750</f>
        <v>595.20000000000016</v>
      </c>
      <c r="N7" s="10"/>
      <c r="O7" s="10"/>
      <c r="P7" s="10"/>
      <c r="Q7" s="28">
        <f t="shared" si="3"/>
        <v>21.875000000000004</v>
      </c>
    </row>
    <row r="8" spans="1:19" hidden="1" x14ac:dyDescent="0.25">
      <c r="A8" s="16">
        <v>45505</v>
      </c>
      <c r="B8" s="2" t="s">
        <v>123</v>
      </c>
      <c r="C8" s="10">
        <v>1400</v>
      </c>
      <c r="D8" s="11">
        <v>0.31</v>
      </c>
      <c r="E8" s="10">
        <f t="shared" si="0"/>
        <v>1.4</v>
      </c>
      <c r="F8" s="10">
        <v>0.02</v>
      </c>
      <c r="G8" s="10">
        <v>7.0000000000000007E-2</v>
      </c>
      <c r="H8" s="12">
        <f t="shared" si="1"/>
        <v>0.46189999999999998</v>
      </c>
      <c r="I8" s="12">
        <f t="shared" si="2"/>
        <v>1.9519</v>
      </c>
      <c r="J8" s="10"/>
      <c r="K8" s="10"/>
      <c r="L8" s="10">
        <f>I8*500</f>
        <v>975.94999999999993</v>
      </c>
      <c r="M8" s="10"/>
      <c r="N8" s="10"/>
      <c r="O8" s="10"/>
      <c r="P8" s="10"/>
      <c r="Q8" s="28">
        <f t="shared" si="3"/>
        <v>23.664122137404583</v>
      </c>
    </row>
    <row r="9" spans="1:19" hidden="1" x14ac:dyDescent="0.25">
      <c r="A9" s="16">
        <v>45505</v>
      </c>
      <c r="B9" s="10" t="s">
        <v>87</v>
      </c>
      <c r="C9" s="10">
        <v>1400</v>
      </c>
      <c r="D9" s="11">
        <v>0.29499999999999998</v>
      </c>
      <c r="E9" s="10">
        <f t="shared" si="0"/>
        <v>1.4</v>
      </c>
      <c r="F9" s="10">
        <v>0.02</v>
      </c>
      <c r="G9" s="10">
        <v>7.0000000000000007E-2</v>
      </c>
      <c r="H9" s="12">
        <f t="shared" si="1"/>
        <v>0.43955</v>
      </c>
      <c r="I9" s="12">
        <f t="shared" si="2"/>
        <v>1.9295499999999999</v>
      </c>
      <c r="J9" s="10"/>
      <c r="K9" s="10">
        <f>I9*350</f>
        <v>675.34249999999997</v>
      </c>
      <c r="L9" s="10"/>
      <c r="M9" s="10"/>
      <c r="N9" s="10"/>
      <c r="O9" s="10"/>
      <c r="P9" s="10"/>
      <c r="Q9" s="28">
        <f t="shared" si="3"/>
        <v>22.779922779922778</v>
      </c>
    </row>
    <row r="10" spans="1:19" hidden="1" x14ac:dyDescent="0.25">
      <c r="A10" s="16">
        <v>45505</v>
      </c>
      <c r="B10" s="10" t="s">
        <v>86</v>
      </c>
      <c r="C10" s="10">
        <v>1400</v>
      </c>
      <c r="D10" s="11">
        <v>0.14199999999999999</v>
      </c>
      <c r="E10" s="10">
        <f t="shared" si="0"/>
        <v>1.4</v>
      </c>
      <c r="F10" s="10">
        <v>0.02</v>
      </c>
      <c r="G10" s="10">
        <v>7.0000000000000007E-2</v>
      </c>
      <c r="H10" s="12">
        <f t="shared" si="1"/>
        <v>0.21157999999999999</v>
      </c>
      <c r="I10" s="12">
        <f t="shared" si="2"/>
        <v>1.7015799999999999</v>
      </c>
      <c r="J10" s="10">
        <f>I10*250</f>
        <v>425.39499999999998</v>
      </c>
      <c r="K10" s="10"/>
      <c r="L10" s="10"/>
      <c r="M10" s="10"/>
      <c r="N10" s="10"/>
      <c r="O10" s="10"/>
      <c r="P10" s="10"/>
      <c r="Q10" s="28">
        <f t="shared" si="3"/>
        <v>12.434325744308232</v>
      </c>
    </row>
    <row r="11" spans="1:19" hidden="1" x14ac:dyDescent="0.25">
      <c r="A11" s="16">
        <v>45505</v>
      </c>
      <c r="B11" s="10" t="s">
        <v>85</v>
      </c>
      <c r="C11" s="10">
        <v>1000</v>
      </c>
      <c r="D11" s="11">
        <v>0.3</v>
      </c>
      <c r="E11" s="10">
        <f t="shared" si="0"/>
        <v>1</v>
      </c>
      <c r="F11" s="10">
        <v>0.02</v>
      </c>
      <c r="G11" s="10">
        <v>7.0000000000000007E-2</v>
      </c>
      <c r="H11" s="12">
        <f t="shared" si="1"/>
        <v>0.32700000000000001</v>
      </c>
      <c r="I11" s="12">
        <f t="shared" si="2"/>
        <v>1.417</v>
      </c>
      <c r="J11" s="10"/>
      <c r="K11" s="10">
        <f>I11*300</f>
        <v>425.1</v>
      </c>
      <c r="L11" s="10"/>
      <c r="M11" s="10"/>
      <c r="N11" s="10"/>
      <c r="O11" s="10"/>
      <c r="P11" s="10"/>
      <c r="Q11" s="28">
        <f t="shared" si="3"/>
        <v>23.076923076923077</v>
      </c>
    </row>
    <row r="12" spans="1:19" x14ac:dyDescent="0.25">
      <c r="A12" s="16">
        <v>45506</v>
      </c>
      <c r="B12" s="2" t="s">
        <v>119</v>
      </c>
      <c r="C12" s="10">
        <v>900</v>
      </c>
      <c r="D12" s="11">
        <v>0.20799999999999999</v>
      </c>
      <c r="E12" s="10">
        <f t="shared" si="0"/>
        <v>0.9</v>
      </c>
      <c r="F12" s="10">
        <v>0.02</v>
      </c>
      <c r="G12" s="10">
        <v>7.0000000000000007E-2</v>
      </c>
      <c r="H12" s="12">
        <f t="shared" si="1"/>
        <v>0.20591999999999999</v>
      </c>
      <c r="I12" s="12">
        <f t="shared" si="2"/>
        <v>1.1959200000000001</v>
      </c>
      <c r="J12" s="10"/>
      <c r="K12" s="10"/>
      <c r="L12" s="10"/>
      <c r="M12" s="10">
        <f>I12*750</f>
        <v>896.94</v>
      </c>
      <c r="N12" s="10"/>
      <c r="O12" s="10"/>
      <c r="P12" s="10"/>
      <c r="Q12" s="28">
        <f t="shared" si="3"/>
        <v>17.218543046357613</v>
      </c>
      <c r="S12" t="s">
        <v>72</v>
      </c>
    </row>
    <row r="13" spans="1:19" hidden="1" x14ac:dyDescent="0.25">
      <c r="A13" s="16">
        <v>45506</v>
      </c>
      <c r="B13" s="10" t="s">
        <v>141</v>
      </c>
      <c r="C13" s="10">
        <v>900</v>
      </c>
      <c r="D13" s="11">
        <v>0.20799999999999999</v>
      </c>
      <c r="E13" s="10">
        <f t="shared" si="0"/>
        <v>0.9</v>
      </c>
      <c r="F13" s="10">
        <v>0.02</v>
      </c>
      <c r="G13" s="10">
        <v>7.0000000000000007E-2</v>
      </c>
      <c r="H13" s="12">
        <f t="shared" si="1"/>
        <v>0.20591999999999999</v>
      </c>
      <c r="I13" s="12">
        <f t="shared" si="2"/>
        <v>1.1959200000000001</v>
      </c>
      <c r="J13" s="10"/>
      <c r="K13" s="10"/>
      <c r="L13" s="10"/>
      <c r="M13" s="10"/>
      <c r="N13" s="10">
        <f>I13*1000</f>
        <v>1195.92</v>
      </c>
      <c r="O13" s="10"/>
      <c r="P13" s="10"/>
      <c r="Q13" s="28">
        <f t="shared" si="3"/>
        <v>17.218543046357613</v>
      </c>
    </row>
    <row r="14" spans="1:19" hidden="1" x14ac:dyDescent="0.25">
      <c r="A14" s="16">
        <v>45506</v>
      </c>
      <c r="B14" s="10" t="s">
        <v>100</v>
      </c>
      <c r="C14" s="10">
        <v>784</v>
      </c>
      <c r="D14" s="11">
        <v>0.13400000000000001</v>
      </c>
      <c r="E14" s="10">
        <f t="shared" si="0"/>
        <v>0.78400000000000003</v>
      </c>
      <c r="F14" s="10">
        <v>0.02</v>
      </c>
      <c r="G14" s="10">
        <v>7.0000000000000007E-2</v>
      </c>
      <c r="H14" s="12">
        <f t="shared" si="1"/>
        <v>0.11711600000000003</v>
      </c>
      <c r="I14" s="12">
        <f t="shared" si="2"/>
        <v>0.99111600000000011</v>
      </c>
      <c r="J14" s="10"/>
      <c r="K14" s="10"/>
      <c r="L14" s="10">
        <f>I14*500</f>
        <v>495.55800000000005</v>
      </c>
      <c r="M14" s="10"/>
      <c r="N14" s="10"/>
      <c r="O14" s="10"/>
      <c r="P14" s="10"/>
      <c r="Q14" s="28">
        <f t="shared" si="3"/>
        <v>11.816578483245152</v>
      </c>
    </row>
    <row r="15" spans="1:19" hidden="1" x14ac:dyDescent="0.25">
      <c r="A15" s="16">
        <v>45506</v>
      </c>
      <c r="B15" s="2" t="s">
        <v>123</v>
      </c>
      <c r="C15" s="10">
        <v>1600</v>
      </c>
      <c r="D15" s="11">
        <v>0.155</v>
      </c>
      <c r="E15" s="10">
        <f t="shared" si="0"/>
        <v>1.6</v>
      </c>
      <c r="F15" s="10">
        <v>0.02</v>
      </c>
      <c r="G15" s="10">
        <v>7.0000000000000007E-2</v>
      </c>
      <c r="H15" s="12">
        <f t="shared" si="1"/>
        <v>0.26195000000000002</v>
      </c>
      <c r="I15" s="12">
        <f t="shared" si="2"/>
        <v>1.9519500000000001</v>
      </c>
      <c r="J15" s="10"/>
      <c r="K15" s="10"/>
      <c r="L15" s="10">
        <f>I15*500</f>
        <v>975.97500000000002</v>
      </c>
      <c r="M15" s="10"/>
      <c r="N15" s="10"/>
      <c r="O15" s="10"/>
      <c r="P15" s="10"/>
      <c r="Q15" s="28"/>
    </row>
    <row r="16" spans="1:19" hidden="1" x14ac:dyDescent="0.25">
      <c r="A16" s="16">
        <v>45506</v>
      </c>
      <c r="B16" s="10" t="s">
        <v>87</v>
      </c>
      <c r="C16" s="10">
        <v>1450</v>
      </c>
      <c r="D16" s="11">
        <v>0.25290000000000001</v>
      </c>
      <c r="E16" s="10">
        <f t="shared" si="0"/>
        <v>1.45</v>
      </c>
      <c r="F16" s="10">
        <v>0.02</v>
      </c>
      <c r="G16" s="10">
        <v>7.0000000000000007E-2</v>
      </c>
      <c r="H16" s="12">
        <f t="shared" si="1"/>
        <v>0.38946600000000003</v>
      </c>
      <c r="I16" s="12">
        <f t="shared" si="2"/>
        <v>1.9294660000000001</v>
      </c>
      <c r="J16" s="10"/>
      <c r="K16" s="10">
        <f>I16*350</f>
        <v>675.31310000000008</v>
      </c>
      <c r="L16" s="10"/>
      <c r="M16" s="10"/>
      <c r="N16" s="10"/>
      <c r="O16" s="10"/>
      <c r="P16" s="10"/>
      <c r="Q16" s="28"/>
    </row>
    <row r="17" spans="1:17" hidden="1" x14ac:dyDescent="0.25">
      <c r="A17" s="16">
        <v>45506</v>
      </c>
      <c r="B17" s="10" t="s">
        <v>96</v>
      </c>
      <c r="C17" s="10">
        <v>1650</v>
      </c>
      <c r="D17" s="11">
        <v>0.121</v>
      </c>
      <c r="E17" s="10">
        <f t="shared" si="0"/>
        <v>1.65</v>
      </c>
      <c r="F17" s="10">
        <v>0.02</v>
      </c>
      <c r="G17" s="10">
        <v>7.0000000000000007E-2</v>
      </c>
      <c r="H17" s="12">
        <f t="shared" si="1"/>
        <v>0.21054</v>
      </c>
      <c r="I17" s="12">
        <f t="shared" si="2"/>
        <v>1.9505399999999999</v>
      </c>
      <c r="J17" s="10"/>
      <c r="K17" s="10"/>
      <c r="L17" s="10">
        <f>I17*500</f>
        <v>975.27</v>
      </c>
      <c r="M17" s="10"/>
      <c r="N17" s="10"/>
      <c r="O17" s="10"/>
      <c r="P17" s="10"/>
      <c r="Q17" s="28">
        <f t="shared" ref="Q17:Q48" si="4">H17/I17%</f>
        <v>10.793933987511151</v>
      </c>
    </row>
    <row r="18" spans="1:17" hidden="1" x14ac:dyDescent="0.25">
      <c r="A18" s="17">
        <v>45507</v>
      </c>
      <c r="B18" s="10" t="s">
        <v>84</v>
      </c>
      <c r="C18" s="10">
        <v>900</v>
      </c>
      <c r="D18" s="11">
        <v>6.0999999999999999E-2</v>
      </c>
      <c r="E18" s="10">
        <f t="shared" si="0"/>
        <v>0.9</v>
      </c>
      <c r="F18" s="10">
        <v>0.02</v>
      </c>
      <c r="G18" s="10">
        <v>7.0000000000000007E-2</v>
      </c>
      <c r="H18" s="12">
        <f t="shared" si="1"/>
        <v>6.0389999999999999E-2</v>
      </c>
      <c r="I18" s="12">
        <f t="shared" si="2"/>
        <v>1.0503899999999999</v>
      </c>
      <c r="J18" s="10"/>
      <c r="K18" s="10"/>
      <c r="L18" s="10">
        <f>I18*500</f>
        <v>525.19499999999994</v>
      </c>
      <c r="M18" s="10"/>
      <c r="N18" s="10"/>
      <c r="O18" s="10"/>
      <c r="P18" s="10"/>
      <c r="Q18" s="28">
        <f t="shared" si="4"/>
        <v>5.7492931196983976</v>
      </c>
    </row>
    <row r="19" spans="1:17" hidden="1" x14ac:dyDescent="0.25">
      <c r="A19" s="17">
        <v>45507</v>
      </c>
      <c r="B19" s="10" t="s">
        <v>98</v>
      </c>
      <c r="C19" s="10">
        <v>800</v>
      </c>
      <c r="D19" s="11">
        <v>0.31</v>
      </c>
      <c r="E19" s="10">
        <f t="shared" si="0"/>
        <v>0.8</v>
      </c>
      <c r="F19" s="10">
        <v>0.02</v>
      </c>
      <c r="G19" s="10">
        <v>7.0000000000000007E-2</v>
      </c>
      <c r="H19" s="12">
        <f t="shared" si="1"/>
        <v>0.27590000000000003</v>
      </c>
      <c r="I19" s="12">
        <f t="shared" si="2"/>
        <v>1.1659000000000002</v>
      </c>
      <c r="J19" s="10"/>
      <c r="K19" s="10"/>
      <c r="L19" s="10"/>
      <c r="M19" s="10">
        <f>I19*750</f>
        <v>874.42500000000007</v>
      </c>
      <c r="N19" s="10"/>
      <c r="O19" s="10"/>
      <c r="P19" s="10"/>
      <c r="Q19" s="28">
        <f t="shared" si="4"/>
        <v>23.664122137404583</v>
      </c>
    </row>
    <row r="20" spans="1:17" hidden="1" x14ac:dyDescent="0.25">
      <c r="A20" s="17">
        <v>45507</v>
      </c>
      <c r="B20" s="2" t="s">
        <v>88</v>
      </c>
      <c r="C20" s="10">
        <v>520</v>
      </c>
      <c r="D20" s="11">
        <v>0.30199999999999999</v>
      </c>
      <c r="E20" s="10">
        <f t="shared" si="0"/>
        <v>0.52</v>
      </c>
      <c r="F20" s="10">
        <v>0.02</v>
      </c>
      <c r="G20" s="10">
        <v>7.0000000000000007E-2</v>
      </c>
      <c r="H20" s="12">
        <f t="shared" si="1"/>
        <v>0.18422000000000002</v>
      </c>
      <c r="I20" s="12">
        <f t="shared" si="2"/>
        <v>0.79422000000000015</v>
      </c>
      <c r="J20" s="10"/>
      <c r="K20" s="10"/>
      <c r="L20" s="10"/>
      <c r="M20" s="10"/>
      <c r="N20" s="10">
        <f>I20*1000</f>
        <v>794.22000000000014</v>
      </c>
      <c r="O20" s="10"/>
      <c r="P20" s="10"/>
      <c r="Q20" s="28">
        <f t="shared" si="4"/>
        <v>23.195084485407065</v>
      </c>
    </row>
    <row r="21" spans="1:17" hidden="1" x14ac:dyDescent="0.25">
      <c r="A21" s="17">
        <v>45507</v>
      </c>
      <c r="B21" s="2" t="s">
        <v>99</v>
      </c>
      <c r="C21" s="10">
        <v>520</v>
      </c>
      <c r="D21" s="11">
        <v>0.23</v>
      </c>
      <c r="E21" s="10">
        <f t="shared" si="0"/>
        <v>0.52</v>
      </c>
      <c r="F21" s="10">
        <v>0.02</v>
      </c>
      <c r="G21" s="10">
        <v>7.0000000000000007E-2</v>
      </c>
      <c r="H21" s="12">
        <f t="shared" si="1"/>
        <v>0.14030000000000004</v>
      </c>
      <c r="I21" s="12">
        <f t="shared" si="2"/>
        <v>0.75030000000000019</v>
      </c>
      <c r="J21" s="10"/>
      <c r="K21" s="10"/>
      <c r="L21" s="10">
        <f>I21*500</f>
        <v>375.15000000000009</v>
      </c>
      <c r="M21" s="10"/>
      <c r="N21" s="10"/>
      <c r="O21" s="10"/>
      <c r="P21" s="10"/>
      <c r="Q21" s="28">
        <f t="shared" si="4"/>
        <v>18.699186991869919</v>
      </c>
    </row>
    <row r="22" spans="1:17" hidden="1" x14ac:dyDescent="0.25">
      <c r="A22" s="17">
        <v>45507</v>
      </c>
      <c r="B22" s="2" t="s">
        <v>123</v>
      </c>
      <c r="C22" s="10">
        <v>1450</v>
      </c>
      <c r="D22" s="11">
        <v>0.26500000000000001</v>
      </c>
      <c r="E22" s="10">
        <f t="shared" si="0"/>
        <v>1.45</v>
      </c>
      <c r="F22" s="10">
        <v>0.02</v>
      </c>
      <c r="G22" s="10">
        <v>7.0000000000000007E-2</v>
      </c>
      <c r="H22" s="12">
        <f t="shared" si="1"/>
        <v>0.40810000000000002</v>
      </c>
      <c r="I22" s="12">
        <f t="shared" si="2"/>
        <v>1.9481000000000002</v>
      </c>
      <c r="J22" s="10"/>
      <c r="K22" s="10"/>
      <c r="L22" s="10">
        <f>I22*500</f>
        <v>974.05000000000007</v>
      </c>
      <c r="M22" s="10"/>
      <c r="N22" s="10"/>
      <c r="O22" s="10"/>
      <c r="P22" s="10"/>
      <c r="Q22" s="28">
        <f t="shared" si="4"/>
        <v>20.948616600790512</v>
      </c>
    </row>
    <row r="23" spans="1:17" hidden="1" x14ac:dyDescent="0.25">
      <c r="A23" s="17">
        <v>45507</v>
      </c>
      <c r="B23" s="10" t="s">
        <v>86</v>
      </c>
      <c r="C23" s="10">
        <v>1250</v>
      </c>
      <c r="D23" s="11">
        <v>0.27</v>
      </c>
      <c r="E23" s="10">
        <f t="shared" si="0"/>
        <v>1.25</v>
      </c>
      <c r="F23" s="10">
        <v>0.02</v>
      </c>
      <c r="G23" s="10">
        <v>7.0000000000000007E-2</v>
      </c>
      <c r="H23" s="12">
        <f t="shared" si="1"/>
        <v>0.36180000000000007</v>
      </c>
      <c r="I23" s="12">
        <f t="shared" si="2"/>
        <v>1.7018000000000002</v>
      </c>
      <c r="J23" s="10">
        <f>I23*250</f>
        <v>425.45000000000005</v>
      </c>
      <c r="K23" s="10"/>
      <c r="L23" s="10"/>
      <c r="M23" s="10"/>
      <c r="N23" s="10"/>
      <c r="O23" s="10"/>
      <c r="P23" s="10"/>
      <c r="Q23" s="28">
        <f t="shared" si="4"/>
        <v>21.259842519685041</v>
      </c>
    </row>
    <row r="24" spans="1:17" hidden="1" x14ac:dyDescent="0.25">
      <c r="A24" s="17">
        <v>45507</v>
      </c>
      <c r="B24" s="2" t="s">
        <v>96</v>
      </c>
      <c r="C24" s="10">
        <v>1650</v>
      </c>
      <c r="D24" s="11">
        <v>0.20200000000000001</v>
      </c>
      <c r="E24" s="10">
        <f t="shared" si="0"/>
        <v>1.65</v>
      </c>
      <c r="F24" s="10">
        <v>0.02</v>
      </c>
      <c r="G24" s="10">
        <v>7.0000000000000007E-2</v>
      </c>
      <c r="H24" s="12">
        <f t="shared" si="1"/>
        <v>0.35148000000000001</v>
      </c>
      <c r="I24" s="12">
        <f t="shared" si="2"/>
        <v>2.0914799999999998</v>
      </c>
      <c r="J24" s="10"/>
      <c r="K24" s="10"/>
      <c r="L24" s="10">
        <f>I24*500</f>
        <v>1045.7399999999998</v>
      </c>
      <c r="M24" s="10"/>
      <c r="N24" s="10"/>
      <c r="O24" s="10"/>
      <c r="P24" s="10"/>
      <c r="Q24" s="28">
        <f t="shared" si="4"/>
        <v>16.805324459234612</v>
      </c>
    </row>
    <row r="25" spans="1:17" x14ac:dyDescent="0.25">
      <c r="A25" s="17">
        <v>45508</v>
      </c>
      <c r="B25" s="2" t="s">
        <v>119</v>
      </c>
      <c r="C25" s="10">
        <v>900</v>
      </c>
      <c r="D25" s="11">
        <v>0.27400000000000002</v>
      </c>
      <c r="E25" s="10">
        <f t="shared" si="0"/>
        <v>0.9</v>
      </c>
      <c r="F25" s="10">
        <v>0.02</v>
      </c>
      <c r="G25" s="10">
        <v>7.0000000000000007E-2</v>
      </c>
      <c r="H25" s="12">
        <f t="shared" si="1"/>
        <v>0.27126</v>
      </c>
      <c r="I25" s="12">
        <f t="shared" si="2"/>
        <v>1.26126</v>
      </c>
      <c r="J25" s="10"/>
      <c r="K25" s="10"/>
      <c r="L25" s="10"/>
      <c r="M25" s="10">
        <f>I25*750</f>
        <v>945.94500000000005</v>
      </c>
      <c r="N25" s="10"/>
      <c r="O25" s="10"/>
      <c r="P25" s="10"/>
      <c r="Q25" s="28">
        <f t="shared" si="4"/>
        <v>21.507064364207221</v>
      </c>
    </row>
    <row r="26" spans="1:17" hidden="1" x14ac:dyDescent="0.25">
      <c r="A26" s="17">
        <v>45508</v>
      </c>
      <c r="B26" s="2" t="s">
        <v>84</v>
      </c>
      <c r="C26" s="10">
        <v>750</v>
      </c>
      <c r="D26" s="11">
        <v>0.25</v>
      </c>
      <c r="E26" s="10">
        <f t="shared" si="0"/>
        <v>0.75</v>
      </c>
      <c r="F26" s="10">
        <v>0.02</v>
      </c>
      <c r="G26" s="10">
        <v>7.0000000000000007E-2</v>
      </c>
      <c r="H26" s="12">
        <f t="shared" si="1"/>
        <v>0.21000000000000002</v>
      </c>
      <c r="I26" s="12">
        <f t="shared" si="2"/>
        <v>1.05</v>
      </c>
      <c r="J26" s="10"/>
      <c r="K26" s="10"/>
      <c r="L26" s="10">
        <f>I26*500</f>
        <v>525</v>
      </c>
      <c r="M26" s="10"/>
      <c r="N26" s="10"/>
      <c r="O26" s="10"/>
      <c r="P26" s="10"/>
      <c r="Q26" s="28">
        <f t="shared" si="4"/>
        <v>20</v>
      </c>
    </row>
    <row r="27" spans="1:17" hidden="1" x14ac:dyDescent="0.25">
      <c r="A27" s="17">
        <v>45508</v>
      </c>
      <c r="B27" s="2" t="s">
        <v>100</v>
      </c>
      <c r="C27" s="10">
        <v>700</v>
      </c>
      <c r="D27" s="11">
        <v>0.254</v>
      </c>
      <c r="E27" s="10">
        <f t="shared" si="0"/>
        <v>0.7</v>
      </c>
      <c r="F27" s="10">
        <v>0.02</v>
      </c>
      <c r="G27" s="10">
        <v>7.0000000000000007E-2</v>
      </c>
      <c r="H27" s="12">
        <f t="shared" si="1"/>
        <v>0.20066000000000001</v>
      </c>
      <c r="I27" s="12">
        <f t="shared" si="2"/>
        <v>0.9906600000000001</v>
      </c>
      <c r="J27" s="10"/>
      <c r="K27" s="10"/>
      <c r="L27" s="10">
        <f>I27*500</f>
        <v>495.33000000000004</v>
      </c>
      <c r="M27" s="10"/>
      <c r="N27" s="10"/>
      <c r="O27" s="10"/>
      <c r="P27" s="10"/>
      <c r="Q27" s="28">
        <f t="shared" si="4"/>
        <v>20.255183413078147</v>
      </c>
    </row>
    <row r="28" spans="1:17" hidden="1" x14ac:dyDescent="0.25">
      <c r="A28" s="17">
        <v>45508</v>
      </c>
      <c r="B28" s="2" t="s">
        <v>123</v>
      </c>
      <c r="C28" s="10">
        <v>1350</v>
      </c>
      <c r="D28" s="11">
        <v>0.35499999999999998</v>
      </c>
      <c r="E28" s="10">
        <f t="shared" si="0"/>
        <v>1.35</v>
      </c>
      <c r="F28" s="10">
        <v>0.02</v>
      </c>
      <c r="G28" s="10">
        <v>7.0000000000000007E-2</v>
      </c>
      <c r="H28" s="12">
        <f t="shared" si="1"/>
        <v>0.51119999999999999</v>
      </c>
      <c r="I28" s="12">
        <f t="shared" si="2"/>
        <v>1.9512</v>
      </c>
      <c r="J28" s="10"/>
      <c r="K28" s="10"/>
      <c r="L28" s="10">
        <f>I28*500</f>
        <v>975.6</v>
      </c>
      <c r="M28" s="10"/>
      <c r="N28" s="10"/>
      <c r="O28" s="10"/>
      <c r="P28" s="10"/>
      <c r="Q28" s="28">
        <f t="shared" si="4"/>
        <v>26.199261992619924</v>
      </c>
    </row>
    <row r="29" spans="1:17" hidden="1" x14ac:dyDescent="0.25">
      <c r="A29" s="17">
        <v>45508</v>
      </c>
      <c r="B29" s="10" t="s">
        <v>101</v>
      </c>
      <c r="C29" s="10">
        <v>150</v>
      </c>
      <c r="D29" s="11">
        <v>0.14599999999999999</v>
      </c>
      <c r="E29" s="10">
        <f t="shared" si="0"/>
        <v>0.15</v>
      </c>
      <c r="F29" s="10">
        <v>0.02</v>
      </c>
      <c r="G29" s="10">
        <v>7.0000000000000007E-2</v>
      </c>
      <c r="H29" s="12">
        <f t="shared" si="1"/>
        <v>3.5039999999999995E-2</v>
      </c>
      <c r="I29" s="12">
        <f t="shared" si="2"/>
        <v>0.27504000000000001</v>
      </c>
      <c r="J29" s="10"/>
      <c r="K29" s="10"/>
      <c r="L29" s="10"/>
      <c r="M29" s="10"/>
      <c r="N29" s="10">
        <f>I29*1000</f>
        <v>275.04000000000002</v>
      </c>
      <c r="O29" s="10"/>
      <c r="P29" s="10"/>
      <c r="Q29" s="28">
        <f t="shared" si="4"/>
        <v>12.739965095986037</v>
      </c>
    </row>
    <row r="30" spans="1:17" hidden="1" x14ac:dyDescent="0.25">
      <c r="A30" s="17">
        <v>45508</v>
      </c>
      <c r="B30" s="10" t="s">
        <v>86</v>
      </c>
      <c r="C30" s="10">
        <v>1150</v>
      </c>
      <c r="D30" s="11">
        <v>0.37</v>
      </c>
      <c r="E30" s="10">
        <f t="shared" si="0"/>
        <v>1.1499999999999999</v>
      </c>
      <c r="F30" s="10">
        <v>0.02</v>
      </c>
      <c r="G30" s="10">
        <v>7.0000000000000007E-2</v>
      </c>
      <c r="H30" s="12">
        <f t="shared" si="1"/>
        <v>0.45879999999999999</v>
      </c>
      <c r="I30" s="12">
        <f t="shared" si="2"/>
        <v>1.6987999999999999</v>
      </c>
      <c r="J30" s="10">
        <f>I30*250</f>
        <v>424.7</v>
      </c>
      <c r="K30" s="10"/>
      <c r="L30" s="10"/>
      <c r="M30" s="10"/>
      <c r="N30" s="10"/>
      <c r="O30" s="10"/>
      <c r="P30" s="10"/>
      <c r="Q30" s="28">
        <f t="shared" si="4"/>
        <v>27.007299270072991</v>
      </c>
    </row>
    <row r="31" spans="1:17" hidden="1" x14ac:dyDescent="0.25">
      <c r="A31" s="17">
        <v>45508</v>
      </c>
      <c r="B31" s="10" t="s">
        <v>85</v>
      </c>
      <c r="C31" s="10">
        <v>1000</v>
      </c>
      <c r="D31" s="11">
        <v>0.3</v>
      </c>
      <c r="E31" s="10">
        <f t="shared" si="0"/>
        <v>1</v>
      </c>
      <c r="F31" s="10">
        <v>0.02</v>
      </c>
      <c r="G31" s="10">
        <v>7.0000000000000007E-2</v>
      </c>
      <c r="H31" s="12">
        <f t="shared" si="1"/>
        <v>0.32700000000000001</v>
      </c>
      <c r="I31" s="12">
        <f t="shared" si="2"/>
        <v>1.417</v>
      </c>
      <c r="J31" s="10"/>
      <c r="K31" s="10">
        <f>I31*300</f>
        <v>425.1</v>
      </c>
      <c r="L31" s="10"/>
      <c r="M31" s="10"/>
      <c r="N31" s="10"/>
      <c r="O31" s="10"/>
      <c r="P31" s="10"/>
      <c r="Q31" s="28">
        <f t="shared" si="4"/>
        <v>23.076923076923077</v>
      </c>
    </row>
    <row r="32" spans="1:17" hidden="1" x14ac:dyDescent="0.25">
      <c r="A32" s="17">
        <v>45510</v>
      </c>
      <c r="B32" s="2" t="s">
        <v>84</v>
      </c>
      <c r="C32" s="10">
        <v>550</v>
      </c>
      <c r="D32" s="11">
        <v>0.3</v>
      </c>
      <c r="E32" s="10">
        <f t="shared" si="0"/>
        <v>0.55000000000000004</v>
      </c>
      <c r="F32" s="10">
        <v>0.02</v>
      </c>
      <c r="G32" s="10">
        <v>7.0000000000000007E-2</v>
      </c>
      <c r="H32" s="12">
        <f t="shared" si="1"/>
        <v>0.19200000000000003</v>
      </c>
      <c r="I32" s="12">
        <f t="shared" si="2"/>
        <v>0.83200000000000018</v>
      </c>
      <c r="J32" s="10"/>
      <c r="K32" s="10"/>
      <c r="L32" s="10">
        <f>I32*500</f>
        <v>416.00000000000011</v>
      </c>
      <c r="M32" s="10"/>
      <c r="N32" s="10"/>
      <c r="O32" s="10"/>
      <c r="P32" s="10"/>
      <c r="Q32" s="28">
        <f t="shared" si="4"/>
        <v>23.076923076923077</v>
      </c>
    </row>
    <row r="33" spans="1:17" hidden="1" x14ac:dyDescent="0.25">
      <c r="A33" s="17">
        <v>45510</v>
      </c>
      <c r="B33" s="10" t="s">
        <v>85</v>
      </c>
      <c r="C33" s="10">
        <v>750</v>
      </c>
      <c r="D33" s="11">
        <v>0.41</v>
      </c>
      <c r="E33" s="10">
        <f t="shared" si="0"/>
        <v>0.75</v>
      </c>
      <c r="F33" s="10">
        <v>0.02</v>
      </c>
      <c r="G33" s="10">
        <v>7.0000000000000007E-2</v>
      </c>
      <c r="H33" s="12">
        <f t="shared" si="1"/>
        <v>0.34440000000000004</v>
      </c>
      <c r="I33" s="12">
        <f t="shared" si="2"/>
        <v>1.1844000000000001</v>
      </c>
      <c r="J33" s="10"/>
      <c r="K33" s="10">
        <f>I33*300</f>
        <v>355.32000000000005</v>
      </c>
      <c r="L33" s="10"/>
      <c r="M33" s="10"/>
      <c r="N33" s="10"/>
      <c r="O33" s="10"/>
      <c r="P33" s="10"/>
      <c r="Q33" s="28">
        <f t="shared" si="4"/>
        <v>29.078014184397166</v>
      </c>
    </row>
    <row r="34" spans="1:17" x14ac:dyDescent="0.25">
      <c r="A34" s="17">
        <v>45511</v>
      </c>
      <c r="B34" s="2" t="s">
        <v>119</v>
      </c>
      <c r="C34" s="10">
        <v>650</v>
      </c>
      <c r="D34" s="11">
        <v>0.3</v>
      </c>
      <c r="E34" s="10">
        <f t="shared" si="0"/>
        <v>0.65</v>
      </c>
      <c r="F34" s="10">
        <v>0.02</v>
      </c>
      <c r="G34" s="10">
        <v>7.0000000000000007E-2</v>
      </c>
      <c r="H34" s="12">
        <f t="shared" si="1"/>
        <v>0.222</v>
      </c>
      <c r="I34" s="12">
        <f t="shared" si="2"/>
        <v>0.96199999999999997</v>
      </c>
      <c r="J34" s="10"/>
      <c r="K34" s="10"/>
      <c r="L34" s="10"/>
      <c r="M34" s="10">
        <f>I34*750</f>
        <v>721.5</v>
      </c>
      <c r="N34" s="10"/>
      <c r="O34" s="10"/>
      <c r="P34" s="10"/>
      <c r="Q34" s="28">
        <f t="shared" si="4"/>
        <v>23.076923076923077</v>
      </c>
    </row>
    <row r="35" spans="1:17" hidden="1" x14ac:dyDescent="0.25">
      <c r="A35" s="17">
        <v>45511</v>
      </c>
      <c r="B35" s="2" t="s">
        <v>87</v>
      </c>
      <c r="C35" s="10">
        <v>1300</v>
      </c>
      <c r="D35" s="11">
        <v>0.22500000000000001</v>
      </c>
      <c r="E35" s="10">
        <f t="shared" si="0"/>
        <v>1.3</v>
      </c>
      <c r="F35" s="10">
        <v>0.02</v>
      </c>
      <c r="G35" s="10">
        <v>7.0000000000000007E-2</v>
      </c>
      <c r="H35" s="12">
        <f t="shared" si="1"/>
        <v>0.31275000000000003</v>
      </c>
      <c r="I35" s="12">
        <f t="shared" si="2"/>
        <v>1.7027500000000002</v>
      </c>
      <c r="J35" s="10"/>
      <c r="K35" s="10">
        <f>I35*350</f>
        <v>595.96250000000009</v>
      </c>
      <c r="L35" s="10"/>
      <c r="M35" s="10"/>
      <c r="N35" s="10"/>
      <c r="O35" s="10"/>
      <c r="P35" s="10"/>
      <c r="Q35" s="28">
        <f t="shared" si="4"/>
        <v>18.367346938775512</v>
      </c>
    </row>
    <row r="36" spans="1:17" hidden="1" x14ac:dyDescent="0.25">
      <c r="A36" s="17">
        <v>45511</v>
      </c>
      <c r="B36" s="2" t="s">
        <v>85</v>
      </c>
      <c r="C36" s="10">
        <v>800</v>
      </c>
      <c r="D36" s="11">
        <v>0.33</v>
      </c>
      <c r="E36" s="10">
        <f t="shared" si="0"/>
        <v>0.8</v>
      </c>
      <c r="F36" s="10">
        <v>0.02</v>
      </c>
      <c r="G36" s="10">
        <v>7.0000000000000007E-2</v>
      </c>
      <c r="H36" s="12">
        <f t="shared" si="1"/>
        <v>0.29370000000000007</v>
      </c>
      <c r="I36" s="12">
        <f t="shared" si="2"/>
        <v>1.1837000000000002</v>
      </c>
      <c r="J36" s="10"/>
      <c r="K36" s="10">
        <f>I36*300</f>
        <v>355.11000000000007</v>
      </c>
      <c r="L36" s="10"/>
      <c r="M36" s="10"/>
      <c r="N36" s="10"/>
      <c r="O36" s="10"/>
      <c r="P36" s="10"/>
      <c r="Q36" s="28">
        <f t="shared" si="4"/>
        <v>24.812030075187973</v>
      </c>
    </row>
    <row r="37" spans="1:17" hidden="1" x14ac:dyDescent="0.25">
      <c r="A37" s="17">
        <v>45512</v>
      </c>
      <c r="B37" s="2" t="s">
        <v>87</v>
      </c>
      <c r="C37" s="10">
        <v>1300</v>
      </c>
      <c r="D37" s="11">
        <v>0.22500000000000001</v>
      </c>
      <c r="E37" s="10">
        <f t="shared" si="0"/>
        <v>1.3</v>
      </c>
      <c r="F37" s="10">
        <v>0.02</v>
      </c>
      <c r="G37" s="10">
        <v>7.0000000000000007E-2</v>
      </c>
      <c r="H37" s="12">
        <f t="shared" si="1"/>
        <v>0.31275000000000003</v>
      </c>
      <c r="I37" s="12">
        <f t="shared" si="2"/>
        <v>1.7027500000000002</v>
      </c>
      <c r="J37" s="10"/>
      <c r="K37" s="10">
        <f>I37*350</f>
        <v>595.96250000000009</v>
      </c>
      <c r="L37" s="10"/>
      <c r="M37" s="10"/>
      <c r="N37" s="10"/>
      <c r="O37" s="10"/>
      <c r="P37" s="10"/>
      <c r="Q37" s="28">
        <f t="shared" si="4"/>
        <v>18.367346938775512</v>
      </c>
    </row>
    <row r="38" spans="1:17" hidden="1" x14ac:dyDescent="0.25">
      <c r="A38" s="17">
        <v>45512</v>
      </c>
      <c r="B38" s="2" t="s">
        <v>86</v>
      </c>
      <c r="C38" s="10">
        <v>1300</v>
      </c>
      <c r="D38" s="11">
        <v>0.13700000000000001</v>
      </c>
      <c r="E38" s="10">
        <f t="shared" si="0"/>
        <v>1.3</v>
      </c>
      <c r="F38" s="10">
        <v>0.02</v>
      </c>
      <c r="G38" s="10">
        <v>7.0000000000000007E-2</v>
      </c>
      <c r="H38" s="12">
        <f t="shared" si="1"/>
        <v>0.19043000000000004</v>
      </c>
      <c r="I38" s="12">
        <f t="shared" si="2"/>
        <v>1.5804300000000002</v>
      </c>
      <c r="J38" s="10">
        <f>I38*250</f>
        <v>395.10750000000007</v>
      </c>
      <c r="K38" s="10"/>
      <c r="L38" s="10"/>
      <c r="M38" s="10"/>
      <c r="N38" s="10"/>
      <c r="O38" s="10"/>
      <c r="P38" s="10"/>
      <c r="Q38" s="28">
        <f t="shared" si="4"/>
        <v>12.049252418645558</v>
      </c>
    </row>
    <row r="39" spans="1:17" x14ac:dyDescent="0.25">
      <c r="A39" s="17">
        <v>45513</v>
      </c>
      <c r="B39" s="2" t="s">
        <v>119</v>
      </c>
      <c r="C39" s="10">
        <v>650</v>
      </c>
      <c r="D39" s="11">
        <v>0.3</v>
      </c>
      <c r="E39" s="10">
        <f t="shared" si="0"/>
        <v>0.65</v>
      </c>
      <c r="F39" s="10">
        <v>0.02</v>
      </c>
      <c r="G39" s="10">
        <v>7.0000000000000007E-2</v>
      </c>
      <c r="H39" s="12">
        <f t="shared" si="1"/>
        <v>0.222</v>
      </c>
      <c r="I39" s="12">
        <f t="shared" si="2"/>
        <v>0.96199999999999997</v>
      </c>
      <c r="J39" s="10"/>
      <c r="K39" s="10"/>
      <c r="L39" s="10"/>
      <c r="M39" s="10">
        <f>I39*750</f>
        <v>721.5</v>
      </c>
      <c r="N39" s="10"/>
      <c r="O39" s="10"/>
      <c r="P39" s="10"/>
      <c r="Q39" s="28">
        <f t="shared" si="4"/>
        <v>23.076923076923077</v>
      </c>
    </row>
    <row r="40" spans="1:17" x14ac:dyDescent="0.25">
      <c r="A40" s="17">
        <v>45513</v>
      </c>
      <c r="B40" s="2" t="s">
        <v>127</v>
      </c>
      <c r="C40" s="10">
        <v>650</v>
      </c>
      <c r="D40" s="11">
        <v>0.3</v>
      </c>
      <c r="E40" s="10">
        <f t="shared" si="0"/>
        <v>0.65</v>
      </c>
      <c r="F40" s="10">
        <v>0.02</v>
      </c>
      <c r="G40" s="10">
        <v>7.0000000000000007E-2</v>
      </c>
      <c r="H40" s="12">
        <f t="shared" si="1"/>
        <v>0.222</v>
      </c>
      <c r="I40" s="12">
        <f t="shared" si="2"/>
        <v>0.96199999999999997</v>
      </c>
      <c r="J40" s="10"/>
      <c r="K40" s="10"/>
      <c r="L40" s="10">
        <f>I40*500</f>
        <v>481</v>
      </c>
      <c r="M40" s="10"/>
      <c r="N40" s="10"/>
      <c r="O40" s="10"/>
      <c r="P40" s="10"/>
      <c r="Q40" s="28">
        <f t="shared" si="4"/>
        <v>23.076923076923077</v>
      </c>
    </row>
    <row r="41" spans="1:17" hidden="1" x14ac:dyDescent="0.25">
      <c r="A41" s="17">
        <v>45513</v>
      </c>
      <c r="B41" s="2" t="s">
        <v>131</v>
      </c>
      <c r="C41" s="10">
        <v>950</v>
      </c>
      <c r="D41" s="11">
        <v>0.3</v>
      </c>
      <c r="E41" s="10">
        <f t="shared" si="0"/>
        <v>0.95</v>
      </c>
      <c r="F41" s="10">
        <v>0.02</v>
      </c>
      <c r="G41" s="10">
        <v>7.0000000000000007E-2</v>
      </c>
      <c r="H41" s="12">
        <f t="shared" si="1"/>
        <v>0.312</v>
      </c>
      <c r="I41" s="12">
        <f t="shared" si="2"/>
        <v>1.3520000000000001</v>
      </c>
      <c r="J41" s="10"/>
      <c r="K41" s="10">
        <f>I41*350</f>
        <v>473.20000000000005</v>
      </c>
      <c r="L41" s="10"/>
      <c r="M41" s="10"/>
      <c r="N41" s="10"/>
      <c r="O41" s="10"/>
      <c r="P41" s="10"/>
      <c r="Q41" s="28">
        <f t="shared" si="4"/>
        <v>23.076923076923077</v>
      </c>
    </row>
    <row r="42" spans="1:17" hidden="1" x14ac:dyDescent="0.25">
      <c r="A42" s="17">
        <v>45514</v>
      </c>
      <c r="B42" s="2" t="s">
        <v>144</v>
      </c>
      <c r="C42" s="10">
        <v>650</v>
      </c>
      <c r="D42" s="11">
        <v>0.21</v>
      </c>
      <c r="E42" s="10">
        <f t="shared" si="0"/>
        <v>0.65</v>
      </c>
      <c r="F42" s="10">
        <v>0.02</v>
      </c>
      <c r="G42" s="10">
        <v>7.0000000000000007E-2</v>
      </c>
      <c r="H42" s="12">
        <f t="shared" si="1"/>
        <v>0.15539999999999998</v>
      </c>
      <c r="I42" s="12">
        <f t="shared" si="2"/>
        <v>0.89539999999999997</v>
      </c>
      <c r="J42" s="10"/>
      <c r="K42" s="10"/>
      <c r="L42" s="10"/>
      <c r="M42" s="10"/>
      <c r="N42" s="10">
        <f>I42*1000</f>
        <v>895.4</v>
      </c>
      <c r="O42" s="10"/>
      <c r="P42" s="10"/>
      <c r="Q42" s="28">
        <f t="shared" si="4"/>
        <v>17.355371900826444</v>
      </c>
    </row>
    <row r="43" spans="1:17" hidden="1" x14ac:dyDescent="0.25">
      <c r="A43" s="17">
        <v>45514</v>
      </c>
      <c r="B43" s="2" t="s">
        <v>109</v>
      </c>
      <c r="C43" s="10">
        <v>750</v>
      </c>
      <c r="D43" s="11">
        <v>0.185</v>
      </c>
      <c r="E43" s="10">
        <f t="shared" si="0"/>
        <v>0.75</v>
      </c>
      <c r="F43" s="10">
        <v>0.02</v>
      </c>
      <c r="G43" s="10">
        <v>7.0000000000000007E-2</v>
      </c>
      <c r="H43" s="12">
        <f t="shared" si="1"/>
        <v>0.15540000000000001</v>
      </c>
      <c r="I43" s="12">
        <f t="shared" si="2"/>
        <v>0.99540000000000006</v>
      </c>
      <c r="J43" s="10"/>
      <c r="K43" s="10"/>
      <c r="L43" s="10"/>
      <c r="M43" s="10"/>
      <c r="N43" s="10">
        <f>I43*1000</f>
        <v>995.40000000000009</v>
      </c>
      <c r="O43" s="10"/>
      <c r="P43" s="10"/>
      <c r="Q43" s="28">
        <f t="shared" si="4"/>
        <v>15.61181434599156</v>
      </c>
    </row>
    <row r="44" spans="1:17" hidden="1" x14ac:dyDescent="0.25">
      <c r="A44" s="17">
        <v>45514</v>
      </c>
      <c r="B44" s="2" t="s">
        <v>98</v>
      </c>
      <c r="C44" s="10">
        <v>750</v>
      </c>
      <c r="D44" s="11">
        <v>0.26</v>
      </c>
      <c r="E44" s="10">
        <f t="shared" si="0"/>
        <v>0.75</v>
      </c>
      <c r="F44" s="10">
        <v>0.02</v>
      </c>
      <c r="G44" s="10">
        <v>7.0000000000000007E-2</v>
      </c>
      <c r="H44" s="12">
        <f t="shared" si="1"/>
        <v>0.21840000000000004</v>
      </c>
      <c r="I44" s="12">
        <f t="shared" si="2"/>
        <v>1.0584000000000002</v>
      </c>
      <c r="J44" s="10"/>
      <c r="K44" s="10"/>
      <c r="L44" s="10"/>
      <c r="M44" s="10">
        <f>I44*750</f>
        <v>793.80000000000018</v>
      </c>
      <c r="N44" s="10"/>
      <c r="O44" s="10"/>
      <c r="P44" s="10"/>
      <c r="Q44" s="28">
        <f t="shared" si="4"/>
        <v>20.634920634920633</v>
      </c>
    </row>
    <row r="45" spans="1:17" hidden="1" x14ac:dyDescent="0.25">
      <c r="A45" s="17">
        <v>45514</v>
      </c>
      <c r="B45" s="2" t="s">
        <v>123</v>
      </c>
      <c r="C45" s="10">
        <v>1350</v>
      </c>
      <c r="D45" s="11">
        <v>0.245</v>
      </c>
      <c r="E45" s="10">
        <f t="shared" si="0"/>
        <v>1.35</v>
      </c>
      <c r="F45" s="10">
        <v>0.02</v>
      </c>
      <c r="G45" s="10">
        <v>7.0000000000000007E-2</v>
      </c>
      <c r="H45" s="12">
        <f t="shared" si="1"/>
        <v>0.35280000000000006</v>
      </c>
      <c r="I45" s="12">
        <f t="shared" si="2"/>
        <v>1.7928000000000002</v>
      </c>
      <c r="J45" s="10"/>
      <c r="K45" s="10"/>
      <c r="L45" s="10">
        <f>I45*500</f>
        <v>896.40000000000009</v>
      </c>
      <c r="M45" s="10"/>
      <c r="N45" s="10"/>
      <c r="O45" s="10"/>
      <c r="P45" s="10"/>
      <c r="Q45" s="28">
        <f t="shared" si="4"/>
        <v>19.678714859437751</v>
      </c>
    </row>
    <row r="46" spans="1:17" hidden="1" x14ac:dyDescent="0.25">
      <c r="A46" s="17">
        <v>45514</v>
      </c>
      <c r="B46" s="2" t="s">
        <v>87</v>
      </c>
      <c r="C46" s="10">
        <v>1250</v>
      </c>
      <c r="D46" s="11">
        <v>0.27</v>
      </c>
      <c r="E46" s="10">
        <f t="shared" si="0"/>
        <v>1.25</v>
      </c>
      <c r="F46" s="10">
        <v>0.02</v>
      </c>
      <c r="G46" s="10">
        <v>7.0000000000000007E-2</v>
      </c>
      <c r="H46" s="12">
        <f t="shared" si="1"/>
        <v>0.36180000000000007</v>
      </c>
      <c r="I46" s="12">
        <f t="shared" si="2"/>
        <v>1.7018000000000002</v>
      </c>
      <c r="J46" s="10"/>
      <c r="K46" s="10">
        <f>I46*350</f>
        <v>595.63000000000011</v>
      </c>
      <c r="L46" s="10"/>
      <c r="M46" s="10"/>
      <c r="N46" s="10"/>
      <c r="O46" s="10"/>
      <c r="P46" s="10"/>
      <c r="Q46" s="28">
        <f t="shared" si="4"/>
        <v>21.259842519685041</v>
      </c>
    </row>
    <row r="47" spans="1:17" hidden="1" x14ac:dyDescent="0.25">
      <c r="A47" s="17">
        <v>45514</v>
      </c>
      <c r="B47" s="2" t="s">
        <v>85</v>
      </c>
      <c r="C47" s="10">
        <v>850</v>
      </c>
      <c r="D47" s="11">
        <v>0.15</v>
      </c>
      <c r="E47" s="10">
        <f t="shared" si="0"/>
        <v>0.85</v>
      </c>
      <c r="F47" s="10">
        <v>0.02</v>
      </c>
      <c r="G47" s="10">
        <v>7.0000000000000007E-2</v>
      </c>
      <c r="H47" s="12">
        <f t="shared" si="1"/>
        <v>0.14099999999999999</v>
      </c>
      <c r="I47" s="12">
        <f t="shared" si="2"/>
        <v>1.081</v>
      </c>
      <c r="J47" s="10"/>
      <c r="K47" s="10">
        <f>I47*300</f>
        <v>324.3</v>
      </c>
      <c r="L47" s="10"/>
      <c r="M47" s="10"/>
      <c r="N47" s="10"/>
      <c r="O47" s="10"/>
      <c r="P47" s="10"/>
      <c r="Q47" s="28">
        <f t="shared" si="4"/>
        <v>13.043478260869565</v>
      </c>
    </row>
    <row r="48" spans="1:17" x14ac:dyDescent="0.25">
      <c r="A48" s="17">
        <v>45515</v>
      </c>
      <c r="B48" s="2" t="s">
        <v>119</v>
      </c>
      <c r="C48" s="10">
        <v>650</v>
      </c>
      <c r="D48" s="11">
        <v>0.30499999999999999</v>
      </c>
      <c r="E48" s="10">
        <f t="shared" si="0"/>
        <v>0.65</v>
      </c>
      <c r="F48" s="10">
        <v>0.02</v>
      </c>
      <c r="G48" s="10">
        <v>7.0000000000000007E-2</v>
      </c>
      <c r="H48" s="12">
        <f t="shared" si="1"/>
        <v>0.22569999999999998</v>
      </c>
      <c r="I48" s="12">
        <f t="shared" si="2"/>
        <v>0.9657</v>
      </c>
      <c r="J48" s="10"/>
      <c r="K48" s="10"/>
      <c r="L48" s="10"/>
      <c r="M48" s="10">
        <f>I48*750</f>
        <v>724.27499999999998</v>
      </c>
      <c r="N48" s="10"/>
      <c r="O48" s="10"/>
      <c r="P48" s="10"/>
      <c r="Q48" s="28">
        <f t="shared" si="4"/>
        <v>23.371647509578541</v>
      </c>
    </row>
    <row r="49" spans="1:17" hidden="1" x14ac:dyDescent="0.25">
      <c r="A49" s="17">
        <v>45515</v>
      </c>
      <c r="B49" s="2" t="s">
        <v>84</v>
      </c>
      <c r="C49" s="10">
        <v>750</v>
      </c>
      <c r="D49" s="11">
        <v>0.18</v>
      </c>
      <c r="E49" s="10">
        <f t="shared" si="0"/>
        <v>0.75</v>
      </c>
      <c r="F49" s="10">
        <v>0.02</v>
      </c>
      <c r="G49" s="10">
        <v>7.0000000000000007E-2</v>
      </c>
      <c r="H49" s="12">
        <f t="shared" si="1"/>
        <v>0.1512</v>
      </c>
      <c r="I49" s="12">
        <f t="shared" si="2"/>
        <v>0.99120000000000008</v>
      </c>
      <c r="J49" s="10"/>
      <c r="K49" s="10"/>
      <c r="L49" s="10">
        <f>I49*500</f>
        <v>495.6</v>
      </c>
      <c r="M49" s="10"/>
      <c r="N49" s="10"/>
      <c r="O49" s="10"/>
      <c r="P49" s="10"/>
      <c r="Q49" s="28">
        <f t="shared" ref="Q49:Q80" si="5">H49/I49%</f>
        <v>15.254237288135592</v>
      </c>
    </row>
    <row r="50" spans="1:17" x14ac:dyDescent="0.25">
      <c r="A50" s="16">
        <v>45517</v>
      </c>
      <c r="B50" s="2" t="s">
        <v>119</v>
      </c>
      <c r="C50" s="10">
        <v>750</v>
      </c>
      <c r="D50" s="11">
        <v>0.15</v>
      </c>
      <c r="E50" s="10">
        <f t="shared" si="0"/>
        <v>0.75</v>
      </c>
      <c r="F50" s="10">
        <v>0.02</v>
      </c>
      <c r="G50" s="10">
        <v>7.0000000000000007E-2</v>
      </c>
      <c r="H50" s="12">
        <f t="shared" si="1"/>
        <v>0.126</v>
      </c>
      <c r="I50" s="12">
        <f t="shared" si="2"/>
        <v>0.96600000000000008</v>
      </c>
      <c r="J50" s="10"/>
      <c r="K50" s="10"/>
      <c r="L50" s="10"/>
      <c r="M50" s="10">
        <f>I50*750</f>
        <v>724.50000000000011</v>
      </c>
      <c r="N50" s="10"/>
      <c r="O50" s="10"/>
      <c r="P50" s="10"/>
      <c r="Q50" s="28">
        <f t="shared" si="5"/>
        <v>13.043478260869565</v>
      </c>
    </row>
    <row r="51" spans="1:17" hidden="1" x14ac:dyDescent="0.25">
      <c r="A51" s="16">
        <v>45517</v>
      </c>
      <c r="B51" s="2" t="s">
        <v>86</v>
      </c>
      <c r="C51" s="10">
        <v>1000</v>
      </c>
      <c r="D51" s="11">
        <v>0.26800000000000002</v>
      </c>
      <c r="E51" s="10">
        <f t="shared" si="0"/>
        <v>1</v>
      </c>
      <c r="F51" s="10">
        <v>0.02</v>
      </c>
      <c r="G51" s="10">
        <v>7.0000000000000007E-2</v>
      </c>
      <c r="H51" s="12">
        <f t="shared" si="1"/>
        <v>0.29212000000000005</v>
      </c>
      <c r="I51" s="12">
        <f t="shared" si="2"/>
        <v>1.38212</v>
      </c>
      <c r="J51" s="10">
        <f>I51*250</f>
        <v>345.53000000000003</v>
      </c>
      <c r="K51" s="10"/>
      <c r="L51" s="10"/>
      <c r="M51" s="10"/>
      <c r="N51" s="10"/>
      <c r="O51" s="10"/>
      <c r="P51" s="10"/>
      <c r="Q51" s="28">
        <f t="shared" si="5"/>
        <v>21.135646687697164</v>
      </c>
    </row>
    <row r="52" spans="1:17" hidden="1" x14ac:dyDescent="0.25">
      <c r="A52" s="16">
        <v>45517</v>
      </c>
      <c r="B52" s="2" t="s">
        <v>85</v>
      </c>
      <c r="C52" s="10">
        <v>830</v>
      </c>
      <c r="D52" s="11">
        <v>0.25</v>
      </c>
      <c r="E52" s="10">
        <f t="shared" si="0"/>
        <v>0.83</v>
      </c>
      <c r="F52" s="10">
        <v>0.02</v>
      </c>
      <c r="G52" s="10">
        <v>7.0000000000000007E-2</v>
      </c>
      <c r="H52" s="12">
        <f t="shared" si="1"/>
        <v>0.22999999999999998</v>
      </c>
      <c r="I52" s="12">
        <f t="shared" si="2"/>
        <v>1.1499999999999999</v>
      </c>
      <c r="J52" s="10"/>
      <c r="K52" s="10">
        <f>I52*300</f>
        <v>345</v>
      </c>
      <c r="L52" s="10"/>
      <c r="M52" s="10"/>
      <c r="N52" s="10"/>
      <c r="O52" s="10"/>
      <c r="P52" s="10"/>
      <c r="Q52" s="28">
        <f t="shared" si="5"/>
        <v>20</v>
      </c>
    </row>
    <row r="53" spans="1:17" x14ac:dyDescent="0.25">
      <c r="A53" s="16">
        <v>45518</v>
      </c>
      <c r="B53" s="2" t="s">
        <v>121</v>
      </c>
      <c r="C53" s="10">
        <v>650</v>
      </c>
      <c r="D53" s="11">
        <v>0.307</v>
      </c>
      <c r="E53" s="10">
        <f t="shared" si="0"/>
        <v>0.65</v>
      </c>
      <c r="F53" s="10">
        <v>0.02</v>
      </c>
      <c r="G53" s="10">
        <v>7.0000000000000007E-2</v>
      </c>
      <c r="H53" s="12">
        <f t="shared" si="1"/>
        <v>0.22717999999999999</v>
      </c>
      <c r="I53" s="12">
        <f t="shared" si="2"/>
        <v>0.96717999999999993</v>
      </c>
      <c r="J53" s="10"/>
      <c r="K53" s="10"/>
      <c r="L53" s="10"/>
      <c r="M53" s="10">
        <f>I53*750</f>
        <v>725.38499999999999</v>
      </c>
      <c r="N53" s="10"/>
      <c r="O53" s="10"/>
      <c r="P53" s="10"/>
      <c r="Q53" s="28">
        <f t="shared" si="5"/>
        <v>23.488905891354246</v>
      </c>
    </row>
    <row r="54" spans="1:17" hidden="1" x14ac:dyDescent="0.25">
      <c r="A54" s="16">
        <v>45518</v>
      </c>
      <c r="B54" s="2" t="s">
        <v>98</v>
      </c>
      <c r="C54" s="10">
        <v>750</v>
      </c>
      <c r="D54" s="11">
        <v>0.26200000000000001</v>
      </c>
      <c r="E54" s="10">
        <f t="shared" si="0"/>
        <v>0.75</v>
      </c>
      <c r="F54" s="10">
        <v>0.02</v>
      </c>
      <c r="G54" s="10">
        <v>7.0000000000000007E-2</v>
      </c>
      <c r="H54" s="12">
        <f t="shared" si="1"/>
        <v>0.22008000000000003</v>
      </c>
      <c r="I54" s="12">
        <f t="shared" si="2"/>
        <v>1.0600800000000001</v>
      </c>
      <c r="J54" s="10"/>
      <c r="K54" s="10"/>
      <c r="L54" s="10"/>
      <c r="M54" s="10">
        <f>I54*750</f>
        <v>795.06000000000006</v>
      </c>
      <c r="N54" s="10"/>
      <c r="O54" s="10"/>
      <c r="P54" s="10"/>
      <c r="Q54" s="28">
        <f t="shared" si="5"/>
        <v>20.760697305863708</v>
      </c>
    </row>
    <row r="55" spans="1:17" hidden="1" x14ac:dyDescent="0.25">
      <c r="A55" s="16">
        <v>45518</v>
      </c>
      <c r="B55" s="2" t="s">
        <v>122</v>
      </c>
      <c r="C55" s="10">
        <v>750</v>
      </c>
      <c r="D55" s="11">
        <v>0.25</v>
      </c>
      <c r="E55" s="10">
        <f t="shared" si="0"/>
        <v>0.75</v>
      </c>
      <c r="F55" s="10">
        <v>0.02</v>
      </c>
      <c r="G55" s="10">
        <v>7.0000000000000007E-2</v>
      </c>
      <c r="H55" s="12">
        <f t="shared" si="1"/>
        <v>0.21000000000000002</v>
      </c>
      <c r="I55" s="12">
        <f t="shared" si="2"/>
        <v>1.05</v>
      </c>
      <c r="J55" s="10"/>
      <c r="K55" s="10"/>
      <c r="L55" s="10">
        <f>I55*500</f>
        <v>525</v>
      </c>
      <c r="M55" s="10"/>
      <c r="N55" s="10"/>
      <c r="O55" s="10"/>
      <c r="P55" s="10"/>
      <c r="Q55" s="28">
        <f t="shared" si="5"/>
        <v>20</v>
      </c>
    </row>
    <row r="56" spans="1:17" hidden="1" x14ac:dyDescent="0.25">
      <c r="A56" s="16">
        <v>45518</v>
      </c>
      <c r="B56" s="2" t="s">
        <v>123</v>
      </c>
      <c r="C56" s="10">
        <v>1150</v>
      </c>
      <c r="D56" s="11">
        <v>0.44500000000000001</v>
      </c>
      <c r="E56" s="10">
        <f t="shared" si="0"/>
        <v>1.1499999999999999</v>
      </c>
      <c r="F56" s="10">
        <v>0.02</v>
      </c>
      <c r="G56" s="10">
        <v>7.0000000000000007E-2</v>
      </c>
      <c r="H56" s="12">
        <f t="shared" si="1"/>
        <v>0.55179999999999996</v>
      </c>
      <c r="I56" s="12">
        <f t="shared" si="2"/>
        <v>1.7917999999999998</v>
      </c>
      <c r="J56" s="10"/>
      <c r="K56" s="10"/>
      <c r="L56" s="10">
        <f>I56*500</f>
        <v>895.89999999999986</v>
      </c>
      <c r="M56" s="10"/>
      <c r="N56" s="10"/>
      <c r="O56" s="10"/>
      <c r="P56" s="10"/>
      <c r="Q56" s="28">
        <f t="shared" si="5"/>
        <v>30.79584775086505</v>
      </c>
    </row>
    <row r="57" spans="1:17" hidden="1" x14ac:dyDescent="0.25">
      <c r="A57" s="16">
        <v>45518</v>
      </c>
      <c r="B57" s="2" t="s">
        <v>86</v>
      </c>
      <c r="C57" s="10">
        <v>800</v>
      </c>
      <c r="D57" s="11">
        <v>0.55200000000000005</v>
      </c>
      <c r="E57" s="10">
        <f t="shared" si="0"/>
        <v>0.8</v>
      </c>
      <c r="F57" s="10">
        <v>0.02</v>
      </c>
      <c r="G57" s="10">
        <v>7.0000000000000007E-2</v>
      </c>
      <c r="H57" s="12">
        <f t="shared" si="1"/>
        <v>0.49128000000000011</v>
      </c>
      <c r="I57" s="12">
        <f t="shared" si="2"/>
        <v>1.3812800000000003</v>
      </c>
      <c r="J57" s="10">
        <f>I57*250</f>
        <v>345.32000000000005</v>
      </c>
      <c r="K57" s="10"/>
      <c r="L57" s="10"/>
      <c r="M57" s="10"/>
      <c r="N57" s="10"/>
      <c r="O57" s="10"/>
      <c r="P57" s="10"/>
      <c r="Q57" s="28">
        <f t="shared" si="5"/>
        <v>35.567010309278352</v>
      </c>
    </row>
    <row r="58" spans="1:17" hidden="1" x14ac:dyDescent="0.25">
      <c r="A58" s="16">
        <v>45519</v>
      </c>
      <c r="B58" s="2" t="s">
        <v>86</v>
      </c>
      <c r="C58" s="10">
        <v>950</v>
      </c>
      <c r="D58" s="11">
        <v>0.33</v>
      </c>
      <c r="E58" s="10">
        <f t="shared" si="0"/>
        <v>0.95</v>
      </c>
      <c r="F58" s="10">
        <v>0.02</v>
      </c>
      <c r="G58" s="10">
        <v>7.0000000000000007E-2</v>
      </c>
      <c r="H58" s="12">
        <f t="shared" si="1"/>
        <v>0.34320000000000001</v>
      </c>
      <c r="I58" s="12">
        <f t="shared" si="2"/>
        <v>1.3832</v>
      </c>
      <c r="J58" s="10">
        <f>I58*250</f>
        <v>345.8</v>
      </c>
      <c r="K58" s="10"/>
      <c r="L58" s="10"/>
      <c r="M58" s="10"/>
      <c r="N58" s="10"/>
      <c r="O58" s="10"/>
      <c r="P58" s="10"/>
      <c r="Q58" s="28">
        <f t="shared" si="5"/>
        <v>24.81203007518797</v>
      </c>
    </row>
    <row r="59" spans="1:17" hidden="1" x14ac:dyDescent="0.25">
      <c r="A59" s="16">
        <v>45520</v>
      </c>
      <c r="B59" s="2" t="s">
        <v>84</v>
      </c>
      <c r="C59" s="10">
        <v>650</v>
      </c>
      <c r="D59" s="11">
        <v>7.0000000000000007E-2</v>
      </c>
      <c r="E59" s="10">
        <f t="shared" si="0"/>
        <v>0.65</v>
      </c>
      <c r="F59" s="10">
        <v>0.02</v>
      </c>
      <c r="G59" s="10">
        <v>7.0000000000000007E-2</v>
      </c>
      <c r="H59" s="12">
        <f t="shared" si="1"/>
        <v>5.1800000000000006E-2</v>
      </c>
      <c r="I59" s="12">
        <f t="shared" si="2"/>
        <v>0.79179999999999995</v>
      </c>
      <c r="J59" s="10"/>
      <c r="K59" s="10"/>
      <c r="L59" s="10">
        <f>I59*500</f>
        <v>395.9</v>
      </c>
      <c r="M59" s="10"/>
      <c r="N59" s="10"/>
      <c r="O59" s="10"/>
      <c r="P59" s="10"/>
      <c r="Q59" s="28">
        <f t="shared" si="5"/>
        <v>6.5420560747663563</v>
      </c>
    </row>
    <row r="60" spans="1:17" hidden="1" x14ac:dyDescent="0.25">
      <c r="A60" s="16">
        <v>45520</v>
      </c>
      <c r="B60" s="10" t="s">
        <v>100</v>
      </c>
      <c r="C60" s="10">
        <v>650</v>
      </c>
      <c r="D60" s="11">
        <v>-7.0000000000000007E-2</v>
      </c>
      <c r="E60" s="10">
        <f t="shared" si="0"/>
        <v>0.65</v>
      </c>
      <c r="F60" s="10">
        <v>0.02</v>
      </c>
      <c r="G60" s="10">
        <v>7.0000000000000007E-2</v>
      </c>
      <c r="H60" s="12">
        <f t="shared" si="1"/>
        <v>-5.1800000000000006E-2</v>
      </c>
      <c r="I60" s="12">
        <f t="shared" si="2"/>
        <v>0.68820000000000003</v>
      </c>
      <c r="J60" s="10"/>
      <c r="K60" s="10"/>
      <c r="L60" s="10">
        <f>I60*500</f>
        <v>344.1</v>
      </c>
      <c r="M60" s="10"/>
      <c r="N60" s="10"/>
      <c r="O60" s="10"/>
      <c r="P60" s="10"/>
      <c r="Q60" s="28">
        <f t="shared" si="5"/>
        <v>-7.5268817204301079</v>
      </c>
    </row>
    <row r="61" spans="1:17" hidden="1" x14ac:dyDescent="0.25">
      <c r="A61" s="16">
        <v>45520</v>
      </c>
      <c r="B61" s="2" t="s">
        <v>85</v>
      </c>
      <c r="C61" s="10">
        <v>800</v>
      </c>
      <c r="D61" s="11">
        <v>0.29499999999999998</v>
      </c>
      <c r="E61" s="10">
        <f t="shared" si="0"/>
        <v>0.8</v>
      </c>
      <c r="F61" s="10">
        <v>0.02</v>
      </c>
      <c r="G61" s="10">
        <v>7.0000000000000007E-2</v>
      </c>
      <c r="H61" s="12">
        <f t="shared" si="1"/>
        <v>0.26255000000000001</v>
      </c>
      <c r="I61" s="12">
        <f t="shared" si="2"/>
        <v>1.1525500000000002</v>
      </c>
      <c r="J61" s="10"/>
      <c r="K61" s="10">
        <f>I61*300</f>
        <v>345.76500000000004</v>
      </c>
      <c r="L61" s="10"/>
      <c r="M61" s="10"/>
      <c r="N61" s="10"/>
      <c r="O61" s="10"/>
      <c r="P61" s="10"/>
      <c r="Q61" s="28">
        <f t="shared" si="5"/>
        <v>22.779922779922778</v>
      </c>
    </row>
    <row r="62" spans="1:17" x14ac:dyDescent="0.25">
      <c r="A62" s="16">
        <v>45521</v>
      </c>
      <c r="B62" s="2" t="s">
        <v>119</v>
      </c>
      <c r="C62" s="10">
        <v>700</v>
      </c>
      <c r="D62" s="11">
        <v>0.22500000000000001</v>
      </c>
      <c r="E62" s="10">
        <f t="shared" si="0"/>
        <v>0.7</v>
      </c>
      <c r="F62" s="10">
        <v>0.02</v>
      </c>
      <c r="G62" s="10">
        <v>7.0000000000000007E-2</v>
      </c>
      <c r="H62" s="12">
        <f t="shared" si="1"/>
        <v>0.17775000000000002</v>
      </c>
      <c r="I62" s="12">
        <f t="shared" si="2"/>
        <v>0.96775000000000011</v>
      </c>
      <c r="J62" s="10"/>
      <c r="K62" s="10"/>
      <c r="L62" s="10"/>
      <c r="M62" s="10">
        <f>I62*750</f>
        <v>725.81250000000011</v>
      </c>
      <c r="N62" s="10"/>
      <c r="O62" s="10"/>
      <c r="P62" s="10"/>
      <c r="Q62" s="28">
        <f t="shared" si="5"/>
        <v>18.367346938775512</v>
      </c>
    </row>
    <row r="63" spans="1:17" x14ac:dyDescent="0.25">
      <c r="A63" s="16">
        <v>45521</v>
      </c>
      <c r="B63" s="2" t="s">
        <v>127</v>
      </c>
      <c r="C63" s="10">
        <v>700</v>
      </c>
      <c r="D63" s="11">
        <v>0.254</v>
      </c>
      <c r="E63" s="10">
        <f t="shared" si="0"/>
        <v>0.7</v>
      </c>
      <c r="F63" s="10">
        <v>0.02</v>
      </c>
      <c r="G63" s="10">
        <v>7.0000000000000007E-2</v>
      </c>
      <c r="H63" s="12">
        <f t="shared" si="1"/>
        <v>0.20066000000000001</v>
      </c>
      <c r="I63" s="12">
        <f t="shared" si="2"/>
        <v>0.9906600000000001</v>
      </c>
      <c r="J63" s="10"/>
      <c r="K63" s="10"/>
      <c r="L63" s="10">
        <f>I63*500</f>
        <v>495.33000000000004</v>
      </c>
      <c r="M63" s="10"/>
      <c r="N63" s="10"/>
      <c r="O63" s="10"/>
      <c r="P63" s="10"/>
      <c r="Q63" s="28">
        <f t="shared" si="5"/>
        <v>20.255183413078147</v>
      </c>
    </row>
    <row r="64" spans="1:17" hidden="1" x14ac:dyDescent="0.25">
      <c r="A64" s="16">
        <v>45521</v>
      </c>
      <c r="B64" s="2" t="s">
        <v>84</v>
      </c>
      <c r="C64" s="10">
        <v>600</v>
      </c>
      <c r="D64" s="11">
        <v>0.28999999999999998</v>
      </c>
      <c r="E64" s="10">
        <f t="shared" si="0"/>
        <v>0.6</v>
      </c>
      <c r="F64" s="10">
        <v>0.02</v>
      </c>
      <c r="G64" s="10">
        <v>7.0000000000000007E-2</v>
      </c>
      <c r="H64" s="12">
        <f t="shared" si="1"/>
        <v>0.20009999999999997</v>
      </c>
      <c r="I64" s="12">
        <f t="shared" si="2"/>
        <v>0.89009999999999989</v>
      </c>
      <c r="J64" s="10"/>
      <c r="K64" s="10"/>
      <c r="L64" s="10">
        <f>I64*500</f>
        <v>445.04999999999995</v>
      </c>
      <c r="M64" s="10"/>
      <c r="N64" s="10"/>
      <c r="O64" s="10"/>
      <c r="P64" s="10"/>
      <c r="Q64" s="28">
        <f t="shared" si="5"/>
        <v>22.480620155038757</v>
      </c>
    </row>
    <row r="65" spans="1:17" hidden="1" x14ac:dyDescent="0.25">
      <c r="A65" s="16">
        <v>45521</v>
      </c>
      <c r="B65" s="2" t="s">
        <v>98</v>
      </c>
      <c r="C65" s="10">
        <v>680</v>
      </c>
      <c r="D65" s="11">
        <v>0.378</v>
      </c>
      <c r="E65" s="10">
        <f t="shared" si="0"/>
        <v>0.68</v>
      </c>
      <c r="F65" s="10">
        <v>0.02</v>
      </c>
      <c r="G65" s="10">
        <v>7.0000000000000007E-2</v>
      </c>
      <c r="H65" s="12">
        <f t="shared" si="1"/>
        <v>0.29105999999999999</v>
      </c>
      <c r="I65" s="12">
        <f t="shared" si="2"/>
        <v>1.0610599999999999</v>
      </c>
      <c r="J65" s="10"/>
      <c r="K65" s="10"/>
      <c r="L65" s="10"/>
      <c r="M65" s="10">
        <f>I65*750</f>
        <v>795.79499999999996</v>
      </c>
      <c r="N65" s="10"/>
      <c r="O65" s="10"/>
      <c r="P65" s="10"/>
      <c r="Q65" s="28">
        <f t="shared" si="5"/>
        <v>27.431059506531206</v>
      </c>
    </row>
    <row r="66" spans="1:17" hidden="1" x14ac:dyDescent="0.25">
      <c r="A66" s="16">
        <v>45521</v>
      </c>
      <c r="B66" s="2" t="s">
        <v>122</v>
      </c>
      <c r="C66" s="10">
        <v>680</v>
      </c>
      <c r="D66" s="11">
        <v>0.28599999999999998</v>
      </c>
      <c r="E66" s="10">
        <f t="shared" si="0"/>
        <v>0.68</v>
      </c>
      <c r="F66" s="10">
        <v>0.02</v>
      </c>
      <c r="G66" s="10">
        <v>7.0000000000000007E-2</v>
      </c>
      <c r="H66" s="12">
        <f t="shared" si="1"/>
        <v>0.22022</v>
      </c>
      <c r="I66" s="12">
        <f t="shared" si="2"/>
        <v>0.99021999999999999</v>
      </c>
      <c r="J66" s="10"/>
      <c r="K66" s="10"/>
      <c r="L66" s="10">
        <f>I66*500</f>
        <v>495.11</v>
      </c>
      <c r="M66" s="10"/>
      <c r="N66" s="10"/>
      <c r="O66" s="10"/>
      <c r="P66" s="10"/>
      <c r="Q66" s="28">
        <f t="shared" si="5"/>
        <v>22.239502332814929</v>
      </c>
    </row>
    <row r="67" spans="1:17" hidden="1" x14ac:dyDescent="0.25">
      <c r="A67" s="16">
        <v>45521</v>
      </c>
      <c r="B67" s="2" t="s">
        <v>86</v>
      </c>
      <c r="C67" s="10">
        <v>850</v>
      </c>
      <c r="D67" s="11">
        <v>0.47</v>
      </c>
      <c r="E67" s="10">
        <f t="shared" si="0"/>
        <v>0.85</v>
      </c>
      <c r="F67" s="10">
        <v>0.02</v>
      </c>
      <c r="G67" s="10">
        <v>7.0000000000000007E-2</v>
      </c>
      <c r="H67" s="12">
        <f t="shared" si="1"/>
        <v>0.44179999999999997</v>
      </c>
      <c r="I67" s="12">
        <f t="shared" si="2"/>
        <v>1.3817999999999999</v>
      </c>
      <c r="J67" s="10">
        <f>I67*250</f>
        <v>345.45</v>
      </c>
      <c r="K67" s="10"/>
      <c r="L67" s="10"/>
      <c r="M67" s="10"/>
      <c r="N67" s="10"/>
      <c r="O67" s="10"/>
      <c r="P67" s="10"/>
      <c r="Q67" s="28">
        <f t="shared" si="5"/>
        <v>31.972789115646261</v>
      </c>
    </row>
    <row r="68" spans="1:17" hidden="1" x14ac:dyDescent="0.25">
      <c r="A68" s="16">
        <v>45522</v>
      </c>
      <c r="B68" s="2" t="s">
        <v>141</v>
      </c>
      <c r="C68" s="10">
        <v>630</v>
      </c>
      <c r="D68" s="11">
        <v>0.28499999999999998</v>
      </c>
      <c r="E68" s="10">
        <f t="shared" ref="E68:E131" si="6">C68/1000</f>
        <v>0.63</v>
      </c>
      <c r="F68" s="10">
        <v>0.02</v>
      </c>
      <c r="G68" s="10">
        <v>7.0000000000000007E-2</v>
      </c>
      <c r="H68" s="12">
        <f t="shared" ref="H68:H131" si="7">SUM(E68:G68)*D68</f>
        <v>0.20519999999999997</v>
      </c>
      <c r="I68" s="12">
        <f t="shared" ref="I68:I131" si="8">SUM(E68:H68)</f>
        <v>0.92519999999999991</v>
      </c>
      <c r="J68" s="10"/>
      <c r="K68" s="10"/>
      <c r="L68" s="10"/>
      <c r="M68" s="10"/>
      <c r="N68" s="10">
        <f>I68*1000</f>
        <v>925.19999999999993</v>
      </c>
      <c r="O68" s="10"/>
      <c r="P68" s="10"/>
      <c r="Q68" s="28">
        <f t="shared" si="5"/>
        <v>22.178988326848245</v>
      </c>
    </row>
    <row r="69" spans="1:17" hidden="1" x14ac:dyDescent="0.25">
      <c r="A69" s="16">
        <v>45522</v>
      </c>
      <c r="B69" s="2" t="s">
        <v>89</v>
      </c>
      <c r="C69" s="10">
        <v>550</v>
      </c>
      <c r="D69" s="11">
        <v>0.30399999999999999</v>
      </c>
      <c r="E69" s="10">
        <f t="shared" si="6"/>
        <v>0.55000000000000004</v>
      </c>
      <c r="F69" s="10">
        <v>0.02</v>
      </c>
      <c r="G69" s="10">
        <v>7.0000000000000007E-2</v>
      </c>
      <c r="H69" s="12">
        <f t="shared" si="7"/>
        <v>0.19456000000000004</v>
      </c>
      <c r="I69" s="12">
        <f t="shared" si="8"/>
        <v>0.83456000000000019</v>
      </c>
      <c r="J69" s="10"/>
      <c r="K69" s="10"/>
      <c r="L69" s="10"/>
      <c r="M69" s="10">
        <f>I69*750</f>
        <v>625.92000000000019</v>
      </c>
      <c r="N69" s="10"/>
      <c r="O69" s="10"/>
      <c r="P69" s="10"/>
      <c r="Q69" s="28">
        <f t="shared" si="5"/>
        <v>23.312883435582823</v>
      </c>
    </row>
    <row r="70" spans="1:17" hidden="1" x14ac:dyDescent="0.25">
      <c r="A70" s="16">
        <v>45522</v>
      </c>
      <c r="B70" s="2" t="s">
        <v>123</v>
      </c>
      <c r="C70" s="10">
        <v>1300</v>
      </c>
      <c r="D70" s="11">
        <v>0.28799999999999998</v>
      </c>
      <c r="E70" s="10">
        <f t="shared" si="6"/>
        <v>1.3</v>
      </c>
      <c r="F70" s="10">
        <v>0.02</v>
      </c>
      <c r="G70" s="10">
        <v>7.0000000000000007E-2</v>
      </c>
      <c r="H70" s="12">
        <f t="shared" si="7"/>
        <v>0.40032000000000001</v>
      </c>
      <c r="I70" s="12">
        <f t="shared" si="8"/>
        <v>1.7903200000000001</v>
      </c>
      <c r="J70" s="10"/>
      <c r="K70" s="10"/>
      <c r="L70" s="10">
        <f>I70*500</f>
        <v>895.16000000000008</v>
      </c>
      <c r="M70" s="10"/>
      <c r="N70" s="10"/>
      <c r="O70" s="10"/>
      <c r="P70" s="10"/>
      <c r="Q70" s="28">
        <f t="shared" si="5"/>
        <v>22.360248447204967</v>
      </c>
    </row>
    <row r="71" spans="1:17" x14ac:dyDescent="0.25">
      <c r="A71" s="16">
        <v>45524</v>
      </c>
      <c r="B71" s="2" t="s">
        <v>119</v>
      </c>
      <c r="C71" s="10">
        <v>750</v>
      </c>
      <c r="D71" s="11">
        <v>0.26300000000000001</v>
      </c>
      <c r="E71" s="10">
        <f t="shared" si="6"/>
        <v>0.75</v>
      </c>
      <c r="F71" s="10">
        <v>0.02</v>
      </c>
      <c r="G71" s="10">
        <v>7.0000000000000007E-2</v>
      </c>
      <c r="H71" s="12">
        <f t="shared" si="7"/>
        <v>0.22092000000000003</v>
      </c>
      <c r="I71" s="12">
        <f t="shared" si="8"/>
        <v>1.0609200000000001</v>
      </c>
      <c r="J71" s="10"/>
      <c r="K71" s="10"/>
      <c r="L71" s="10"/>
      <c r="M71" s="10">
        <f>I71*750</f>
        <v>795.69</v>
      </c>
      <c r="N71" s="10"/>
      <c r="O71" s="10"/>
      <c r="P71" s="10"/>
      <c r="Q71" s="28">
        <f t="shared" si="5"/>
        <v>20.823436262866192</v>
      </c>
    </row>
    <row r="72" spans="1:17" hidden="1" x14ac:dyDescent="0.25">
      <c r="A72" s="16">
        <v>45524</v>
      </c>
      <c r="B72" s="2" t="s">
        <v>85</v>
      </c>
      <c r="C72" s="10">
        <v>830</v>
      </c>
      <c r="D72" s="11">
        <v>0.25</v>
      </c>
      <c r="E72" s="10">
        <f t="shared" si="6"/>
        <v>0.83</v>
      </c>
      <c r="F72" s="10">
        <v>0.02</v>
      </c>
      <c r="G72" s="10">
        <v>7.0000000000000007E-2</v>
      </c>
      <c r="H72" s="12">
        <f t="shared" si="7"/>
        <v>0.22999999999999998</v>
      </c>
      <c r="I72" s="12">
        <f t="shared" si="8"/>
        <v>1.1499999999999999</v>
      </c>
      <c r="J72" s="10"/>
      <c r="K72" s="10">
        <f>I72*300</f>
        <v>345</v>
      </c>
      <c r="L72" s="10"/>
      <c r="M72" s="10"/>
      <c r="N72" s="10"/>
      <c r="O72" s="10"/>
      <c r="P72" s="10"/>
      <c r="Q72" s="28">
        <f t="shared" si="5"/>
        <v>20</v>
      </c>
    </row>
    <row r="73" spans="1:17" x14ac:dyDescent="0.25">
      <c r="A73" s="16">
        <v>45525</v>
      </c>
      <c r="B73" s="2" t="s">
        <v>119</v>
      </c>
      <c r="C73" s="10">
        <v>700</v>
      </c>
      <c r="D73" s="11">
        <v>0.34300000000000003</v>
      </c>
      <c r="E73" s="10">
        <f t="shared" si="6"/>
        <v>0.7</v>
      </c>
      <c r="F73" s="10">
        <v>0.02</v>
      </c>
      <c r="G73" s="10">
        <v>7.0000000000000007E-2</v>
      </c>
      <c r="H73" s="12">
        <f t="shared" si="7"/>
        <v>0.27097000000000004</v>
      </c>
      <c r="I73" s="12">
        <f t="shared" si="8"/>
        <v>1.0609700000000002</v>
      </c>
      <c r="J73" s="10"/>
      <c r="K73" s="10"/>
      <c r="L73" s="10"/>
      <c r="M73" s="10">
        <f>I73*750</f>
        <v>795.72750000000019</v>
      </c>
      <c r="N73" s="10"/>
      <c r="O73" s="10"/>
      <c r="P73" s="10"/>
      <c r="Q73" s="28">
        <f t="shared" si="5"/>
        <v>25.539836187639615</v>
      </c>
    </row>
    <row r="74" spans="1:17" hidden="1" x14ac:dyDescent="0.25">
      <c r="A74" s="16">
        <v>45525</v>
      </c>
      <c r="B74" s="2" t="s">
        <v>98</v>
      </c>
      <c r="C74" s="10">
        <v>600</v>
      </c>
      <c r="D74" s="11">
        <v>0.34399999999999997</v>
      </c>
      <c r="E74" s="10">
        <f t="shared" si="6"/>
        <v>0.6</v>
      </c>
      <c r="F74" s="10">
        <v>0.02</v>
      </c>
      <c r="G74" s="10">
        <v>7.0000000000000007E-2</v>
      </c>
      <c r="H74" s="12">
        <f t="shared" si="7"/>
        <v>0.23735999999999996</v>
      </c>
      <c r="I74" s="12">
        <f t="shared" si="8"/>
        <v>0.92735999999999996</v>
      </c>
      <c r="J74" s="10"/>
      <c r="K74" s="10"/>
      <c r="L74" s="10"/>
      <c r="M74" s="10">
        <f>I74*750</f>
        <v>695.52</v>
      </c>
      <c r="N74" s="10"/>
      <c r="O74" s="10"/>
      <c r="P74" s="10"/>
      <c r="Q74" s="28">
        <f t="shared" si="5"/>
        <v>25.595238095238091</v>
      </c>
    </row>
    <row r="75" spans="1:17" hidden="1" x14ac:dyDescent="0.25">
      <c r="A75" s="16">
        <v>45525</v>
      </c>
      <c r="B75" s="2" t="s">
        <v>86</v>
      </c>
      <c r="C75" s="10">
        <v>830</v>
      </c>
      <c r="D75" s="11">
        <v>0.41499999999999998</v>
      </c>
      <c r="E75" s="10">
        <f t="shared" si="6"/>
        <v>0.83</v>
      </c>
      <c r="F75" s="10">
        <v>0.02</v>
      </c>
      <c r="G75" s="10">
        <v>7.0000000000000007E-2</v>
      </c>
      <c r="H75" s="12">
        <f t="shared" si="7"/>
        <v>0.38179999999999997</v>
      </c>
      <c r="I75" s="12">
        <f t="shared" si="8"/>
        <v>1.3017999999999998</v>
      </c>
      <c r="J75" s="10">
        <f>I75*250</f>
        <v>325.45</v>
      </c>
      <c r="K75" s="10"/>
      <c r="L75" s="10"/>
      <c r="M75" s="10"/>
      <c r="N75" s="10"/>
      <c r="O75" s="10"/>
      <c r="P75" s="10"/>
      <c r="Q75" s="28">
        <f t="shared" si="5"/>
        <v>29.328621908127211</v>
      </c>
    </row>
    <row r="76" spans="1:17" hidden="1" x14ac:dyDescent="0.25">
      <c r="A76" s="16">
        <v>45526</v>
      </c>
      <c r="B76" s="2" t="s">
        <v>165</v>
      </c>
      <c r="C76" s="10">
        <v>650</v>
      </c>
      <c r="D76" s="11">
        <v>0.25</v>
      </c>
      <c r="E76" s="10">
        <f t="shared" si="6"/>
        <v>0.65</v>
      </c>
      <c r="F76" s="10">
        <v>0.02</v>
      </c>
      <c r="G76" s="10">
        <v>7.0000000000000007E-2</v>
      </c>
      <c r="H76" s="12">
        <f t="shared" si="7"/>
        <v>0.185</v>
      </c>
      <c r="I76" s="12">
        <f t="shared" si="8"/>
        <v>0.92500000000000004</v>
      </c>
      <c r="J76" s="10"/>
      <c r="K76" s="10"/>
      <c r="L76" s="10"/>
      <c r="M76" s="10"/>
      <c r="N76" s="10"/>
      <c r="O76" s="10"/>
      <c r="P76" s="10">
        <f>I76*1400</f>
        <v>1295</v>
      </c>
      <c r="Q76" s="28">
        <f t="shared" si="5"/>
        <v>19.999999999999996</v>
      </c>
    </row>
    <row r="77" spans="1:17" x14ac:dyDescent="0.25">
      <c r="A77" s="16">
        <v>45527</v>
      </c>
      <c r="B77" s="2" t="s">
        <v>119</v>
      </c>
      <c r="C77" s="10">
        <v>700</v>
      </c>
      <c r="D77" s="11">
        <v>0.34300000000000003</v>
      </c>
      <c r="E77" s="10">
        <f t="shared" si="6"/>
        <v>0.7</v>
      </c>
      <c r="F77" s="10">
        <v>0.02</v>
      </c>
      <c r="G77" s="10">
        <v>7.0000000000000007E-2</v>
      </c>
      <c r="H77" s="12">
        <f t="shared" si="7"/>
        <v>0.27097000000000004</v>
      </c>
      <c r="I77" s="12">
        <f t="shared" si="8"/>
        <v>1.0609700000000002</v>
      </c>
      <c r="J77" s="10"/>
      <c r="K77" s="10"/>
      <c r="L77" s="10"/>
      <c r="M77" s="10">
        <f>I77*750</f>
        <v>795.72750000000019</v>
      </c>
      <c r="N77" s="10"/>
      <c r="O77" s="10"/>
      <c r="P77" s="10"/>
      <c r="Q77" s="28">
        <f t="shared" si="5"/>
        <v>25.539836187639615</v>
      </c>
    </row>
    <row r="78" spans="1:17" hidden="1" x14ac:dyDescent="0.25">
      <c r="A78" s="16">
        <v>45527</v>
      </c>
      <c r="B78" s="2" t="s">
        <v>133</v>
      </c>
      <c r="C78" s="10">
        <v>1150</v>
      </c>
      <c r="D78" s="11">
        <v>0.21</v>
      </c>
      <c r="E78" s="10">
        <f t="shared" si="6"/>
        <v>1.1499999999999999</v>
      </c>
      <c r="F78" s="10">
        <v>0.02</v>
      </c>
      <c r="G78" s="10">
        <v>7.0000000000000007E-2</v>
      </c>
      <c r="H78" s="12">
        <f t="shared" si="7"/>
        <v>0.26039999999999996</v>
      </c>
      <c r="I78" s="12">
        <f t="shared" si="8"/>
        <v>1.5004</v>
      </c>
      <c r="J78" s="10"/>
      <c r="K78" s="10"/>
      <c r="L78" s="10"/>
      <c r="M78" s="10"/>
      <c r="N78" s="10"/>
      <c r="O78" s="10"/>
      <c r="P78" s="10">
        <f>I78*1750</f>
        <v>2625.7</v>
      </c>
      <c r="Q78" s="28">
        <f t="shared" si="5"/>
        <v>17.355371900826444</v>
      </c>
    </row>
    <row r="79" spans="1:17" hidden="1" x14ac:dyDescent="0.25">
      <c r="A79" s="16">
        <v>45527</v>
      </c>
      <c r="B79" s="2" t="s">
        <v>132</v>
      </c>
      <c r="C79" s="10">
        <v>1400</v>
      </c>
      <c r="D79" s="11">
        <v>0.249</v>
      </c>
      <c r="E79" s="10">
        <f t="shared" si="6"/>
        <v>1.4</v>
      </c>
      <c r="F79" s="10">
        <v>0.02</v>
      </c>
      <c r="G79" s="10">
        <v>7.0000000000000007E-2</v>
      </c>
      <c r="H79" s="12">
        <f t="shared" si="7"/>
        <v>0.37101000000000001</v>
      </c>
      <c r="I79" s="12">
        <f t="shared" si="8"/>
        <v>1.8610100000000001</v>
      </c>
      <c r="J79" s="10"/>
      <c r="K79" s="10"/>
      <c r="L79" s="10"/>
      <c r="M79" s="10">
        <f>I79*750</f>
        <v>1395.7574999999999</v>
      </c>
      <c r="N79" s="10"/>
      <c r="O79" s="10"/>
      <c r="P79" s="10"/>
      <c r="Q79" s="28">
        <f t="shared" si="5"/>
        <v>19.935948759007204</v>
      </c>
    </row>
    <row r="80" spans="1:17" hidden="1" x14ac:dyDescent="0.25">
      <c r="A80" s="16">
        <v>45527</v>
      </c>
      <c r="B80" s="2" t="s">
        <v>85</v>
      </c>
      <c r="C80" s="10">
        <v>770</v>
      </c>
      <c r="D80" s="11">
        <v>0.25979999999999998</v>
      </c>
      <c r="E80" s="10">
        <f t="shared" si="6"/>
        <v>0.77</v>
      </c>
      <c r="F80" s="10">
        <v>0.02</v>
      </c>
      <c r="G80" s="10">
        <v>7.0000000000000007E-2</v>
      </c>
      <c r="H80" s="12">
        <f t="shared" si="7"/>
        <v>0.22342800000000002</v>
      </c>
      <c r="I80" s="12">
        <f t="shared" si="8"/>
        <v>1.0834280000000001</v>
      </c>
      <c r="J80" s="10"/>
      <c r="K80" s="10">
        <f>I80*300</f>
        <v>325.02840000000003</v>
      </c>
      <c r="L80" s="10"/>
      <c r="M80" s="10"/>
      <c r="N80" s="10"/>
      <c r="O80" s="10"/>
      <c r="P80" s="10"/>
      <c r="Q80" s="28">
        <f t="shared" si="5"/>
        <v>20.622321003333862</v>
      </c>
    </row>
    <row r="81" spans="1:17" ht="15.75" customHeight="1" x14ac:dyDescent="0.25">
      <c r="A81" s="16">
        <v>45528</v>
      </c>
      <c r="B81" s="2" t="s">
        <v>119</v>
      </c>
      <c r="C81" s="10">
        <v>650</v>
      </c>
      <c r="D81" s="11">
        <v>7.2999999999999995E-2</v>
      </c>
      <c r="E81" s="10">
        <f t="shared" si="6"/>
        <v>0.65</v>
      </c>
      <c r="F81" s="10">
        <v>0.02</v>
      </c>
      <c r="G81" s="10">
        <v>7.0000000000000007E-2</v>
      </c>
      <c r="H81" s="12">
        <f t="shared" si="7"/>
        <v>5.4019999999999999E-2</v>
      </c>
      <c r="I81" s="12">
        <f t="shared" si="8"/>
        <v>0.79401999999999995</v>
      </c>
      <c r="J81" s="10"/>
      <c r="K81" s="10"/>
      <c r="L81" s="10"/>
      <c r="M81" s="10">
        <f>I81*750</f>
        <v>595.51499999999999</v>
      </c>
      <c r="N81" s="10"/>
      <c r="O81" s="10"/>
      <c r="P81" s="10"/>
      <c r="Q81" s="28">
        <f t="shared" ref="Q81:Q97" si="9">H81/I81%</f>
        <v>6.8033550792171482</v>
      </c>
    </row>
    <row r="82" spans="1:17" hidden="1" x14ac:dyDescent="0.25">
      <c r="A82" s="16">
        <v>45528</v>
      </c>
      <c r="B82" s="2" t="s">
        <v>98</v>
      </c>
      <c r="C82" s="10">
        <v>550</v>
      </c>
      <c r="D82" s="11">
        <v>3.2000000000000001E-2</v>
      </c>
      <c r="E82" s="10">
        <f t="shared" si="6"/>
        <v>0.55000000000000004</v>
      </c>
      <c r="F82" s="10">
        <v>0.02</v>
      </c>
      <c r="G82" s="10">
        <v>7.0000000000000007E-2</v>
      </c>
      <c r="H82" s="12">
        <f t="shared" si="7"/>
        <v>2.0480000000000005E-2</v>
      </c>
      <c r="I82" s="12">
        <f t="shared" si="8"/>
        <v>0.66048000000000018</v>
      </c>
      <c r="J82" s="10"/>
      <c r="K82" s="10"/>
      <c r="L82" s="10"/>
      <c r="M82" s="10">
        <f>I82*750</f>
        <v>495.36000000000013</v>
      </c>
      <c r="N82" s="10"/>
      <c r="O82" s="10"/>
      <c r="P82" s="10"/>
      <c r="Q82" s="28">
        <f t="shared" si="9"/>
        <v>3.1007751937984493</v>
      </c>
    </row>
    <row r="83" spans="1:17" hidden="1" x14ac:dyDescent="0.25">
      <c r="A83" s="16">
        <v>45528</v>
      </c>
      <c r="B83" s="2" t="s">
        <v>85</v>
      </c>
      <c r="C83" s="10">
        <v>800</v>
      </c>
      <c r="D83" s="11">
        <v>0.22</v>
      </c>
      <c r="E83" s="10">
        <f t="shared" si="6"/>
        <v>0.8</v>
      </c>
      <c r="F83" s="10">
        <v>0.02</v>
      </c>
      <c r="G83" s="10">
        <v>7.0000000000000007E-2</v>
      </c>
      <c r="H83" s="12">
        <f t="shared" si="7"/>
        <v>0.19580000000000003</v>
      </c>
      <c r="I83" s="12">
        <f t="shared" si="8"/>
        <v>1.0858000000000001</v>
      </c>
      <c r="J83" s="10"/>
      <c r="K83" s="10">
        <f>I83*300</f>
        <v>325.74</v>
      </c>
      <c r="L83" s="10"/>
      <c r="M83" s="10"/>
      <c r="N83" s="10"/>
      <c r="O83" s="10"/>
      <c r="P83" s="10"/>
      <c r="Q83" s="28">
        <f t="shared" si="9"/>
        <v>18.032786885245901</v>
      </c>
    </row>
    <row r="84" spans="1:17" hidden="1" x14ac:dyDescent="0.25">
      <c r="A84" s="16">
        <v>45529</v>
      </c>
      <c r="B84" s="2" t="s">
        <v>123</v>
      </c>
      <c r="C84" s="10">
        <v>1250</v>
      </c>
      <c r="D84" s="11">
        <v>0.33600000000000002</v>
      </c>
      <c r="E84" s="10">
        <f t="shared" si="6"/>
        <v>1.25</v>
      </c>
      <c r="F84" s="10">
        <v>0.02</v>
      </c>
      <c r="G84" s="10">
        <v>7.0000000000000007E-2</v>
      </c>
      <c r="H84" s="12">
        <f t="shared" si="7"/>
        <v>0.45024000000000003</v>
      </c>
      <c r="I84" s="12">
        <f t="shared" si="8"/>
        <v>1.7902400000000001</v>
      </c>
      <c r="J84" s="10"/>
      <c r="K84" s="10"/>
      <c r="L84" s="10">
        <f>I84*500</f>
        <v>895.12</v>
      </c>
      <c r="M84" s="10"/>
      <c r="N84" s="10"/>
      <c r="O84" s="10"/>
      <c r="P84" s="10"/>
      <c r="Q84" s="28">
        <f t="shared" si="9"/>
        <v>25.149700598802397</v>
      </c>
    </row>
    <row r="85" spans="1:17" hidden="1" x14ac:dyDescent="0.25">
      <c r="A85" s="16">
        <v>45529</v>
      </c>
      <c r="B85" s="10" t="s">
        <v>101</v>
      </c>
      <c r="C85" s="10">
        <v>170</v>
      </c>
      <c r="D85" s="11">
        <v>0.06</v>
      </c>
      <c r="E85" s="10">
        <f t="shared" si="6"/>
        <v>0.17</v>
      </c>
      <c r="F85" s="10">
        <v>0.02</v>
      </c>
      <c r="G85" s="10">
        <v>7.0000000000000007E-2</v>
      </c>
      <c r="H85" s="12">
        <f t="shared" si="7"/>
        <v>1.5599999999999999E-2</v>
      </c>
      <c r="I85" s="12">
        <f t="shared" si="8"/>
        <v>0.27560000000000001</v>
      </c>
      <c r="J85" s="10"/>
      <c r="K85" s="10"/>
      <c r="L85" s="10"/>
      <c r="M85" s="10"/>
      <c r="N85" s="10">
        <f>I85*1000</f>
        <v>275.60000000000002</v>
      </c>
      <c r="O85" s="10"/>
      <c r="P85" s="10"/>
      <c r="Q85" s="28">
        <f t="shared" si="9"/>
        <v>5.6603773584905657</v>
      </c>
    </row>
    <row r="86" spans="1:17" hidden="1" x14ac:dyDescent="0.25">
      <c r="A86" s="16">
        <v>45529</v>
      </c>
      <c r="B86" s="2" t="s">
        <v>96</v>
      </c>
      <c r="C86" s="10">
        <v>1700</v>
      </c>
      <c r="D86" s="11">
        <v>0.112</v>
      </c>
      <c r="E86" s="10">
        <f t="shared" si="6"/>
        <v>1.7</v>
      </c>
      <c r="F86" s="10">
        <v>0.02</v>
      </c>
      <c r="G86" s="10">
        <v>7.0000000000000007E-2</v>
      </c>
      <c r="H86" s="12">
        <f t="shared" si="7"/>
        <v>0.20048000000000002</v>
      </c>
      <c r="I86" s="12">
        <f t="shared" si="8"/>
        <v>1.99048</v>
      </c>
      <c r="J86" s="10"/>
      <c r="K86" s="10"/>
      <c r="L86" s="10">
        <f>I86*500</f>
        <v>995.24</v>
      </c>
      <c r="M86" s="10"/>
      <c r="N86" s="10"/>
      <c r="O86" s="10"/>
      <c r="P86" s="10"/>
      <c r="Q86" s="28">
        <f t="shared" si="9"/>
        <v>10.071942446043167</v>
      </c>
    </row>
    <row r="87" spans="1:17" hidden="1" x14ac:dyDescent="0.25">
      <c r="A87" s="16">
        <v>45531</v>
      </c>
      <c r="B87" s="2" t="s">
        <v>87</v>
      </c>
      <c r="C87" s="10">
        <v>1200</v>
      </c>
      <c r="D87" s="11">
        <v>0.27500000000000002</v>
      </c>
      <c r="E87" s="10">
        <f t="shared" si="6"/>
        <v>1.2</v>
      </c>
      <c r="F87" s="10">
        <v>0.02</v>
      </c>
      <c r="G87" s="10">
        <v>7.0000000000000007E-2</v>
      </c>
      <c r="H87" s="12">
        <f t="shared" si="7"/>
        <v>0.35475000000000007</v>
      </c>
      <c r="I87" s="12">
        <f t="shared" si="8"/>
        <v>1.6447500000000002</v>
      </c>
      <c r="J87" s="10"/>
      <c r="K87" s="10">
        <f>I87*350</f>
        <v>575.66250000000002</v>
      </c>
      <c r="L87" s="10"/>
      <c r="M87" s="10"/>
      <c r="N87" s="10"/>
      <c r="O87" s="10"/>
      <c r="P87" s="10"/>
      <c r="Q87" s="28">
        <f t="shared" si="9"/>
        <v>21.568627450980397</v>
      </c>
    </row>
    <row r="88" spans="1:17" hidden="1" x14ac:dyDescent="0.25">
      <c r="A88" s="16">
        <v>45531</v>
      </c>
      <c r="B88" s="2" t="s">
        <v>85</v>
      </c>
      <c r="C88" s="10">
        <v>750</v>
      </c>
      <c r="D88" s="11">
        <v>0.28999999999999998</v>
      </c>
      <c r="E88" s="10">
        <f t="shared" si="6"/>
        <v>0.75</v>
      </c>
      <c r="F88" s="10">
        <v>0.02</v>
      </c>
      <c r="G88" s="10">
        <v>7.0000000000000007E-2</v>
      </c>
      <c r="H88" s="12">
        <f t="shared" si="7"/>
        <v>0.24360000000000001</v>
      </c>
      <c r="I88" s="12">
        <f t="shared" si="8"/>
        <v>1.0836000000000001</v>
      </c>
      <c r="J88" s="10"/>
      <c r="K88" s="10">
        <f>I88*300</f>
        <v>325.08000000000004</v>
      </c>
      <c r="L88" s="10"/>
      <c r="M88" s="10"/>
      <c r="N88" s="10"/>
      <c r="O88" s="10"/>
      <c r="P88" s="10"/>
      <c r="Q88" s="28">
        <f t="shared" si="9"/>
        <v>22.480620155038757</v>
      </c>
    </row>
    <row r="89" spans="1:17" hidden="1" x14ac:dyDescent="0.25">
      <c r="A89" s="16">
        <v>45531</v>
      </c>
      <c r="B89" s="2" t="s">
        <v>96</v>
      </c>
      <c r="C89" s="10">
        <v>1200</v>
      </c>
      <c r="D89" s="11">
        <v>0.54400000000000004</v>
      </c>
      <c r="E89" s="10">
        <f t="shared" si="6"/>
        <v>1.2</v>
      </c>
      <c r="F89" s="10">
        <v>0.02</v>
      </c>
      <c r="G89" s="10">
        <v>7.0000000000000007E-2</v>
      </c>
      <c r="H89" s="12">
        <f t="shared" si="7"/>
        <v>0.70176000000000005</v>
      </c>
      <c r="I89" s="12">
        <f t="shared" si="8"/>
        <v>1.9917600000000002</v>
      </c>
      <c r="J89" s="10"/>
      <c r="K89" s="10"/>
      <c r="L89" s="10">
        <f>I89*500</f>
        <v>995.88000000000011</v>
      </c>
      <c r="M89" s="10"/>
      <c r="N89" s="10"/>
      <c r="O89" s="10"/>
      <c r="P89" s="10"/>
      <c r="Q89" s="28">
        <f t="shared" si="9"/>
        <v>35.233160621761662</v>
      </c>
    </row>
    <row r="90" spans="1:17" hidden="1" x14ac:dyDescent="0.25">
      <c r="A90" s="16">
        <v>45532</v>
      </c>
      <c r="B90" s="2" t="s">
        <v>135</v>
      </c>
      <c r="C90" s="10">
        <v>480</v>
      </c>
      <c r="D90" s="11">
        <v>0.44800000000000001</v>
      </c>
      <c r="E90" s="10">
        <f t="shared" si="6"/>
        <v>0.48</v>
      </c>
      <c r="F90" s="10">
        <v>0.02</v>
      </c>
      <c r="G90" s="10">
        <v>7.0000000000000007E-2</v>
      </c>
      <c r="H90" s="12">
        <f t="shared" si="7"/>
        <v>0.25536000000000003</v>
      </c>
      <c r="I90" s="12">
        <f t="shared" si="8"/>
        <v>0.82536000000000009</v>
      </c>
      <c r="J90" s="10"/>
      <c r="K90" s="10"/>
      <c r="L90" s="10"/>
      <c r="M90" s="10"/>
      <c r="N90" s="10">
        <f>I90*1000</f>
        <v>825.36000000000013</v>
      </c>
      <c r="O90" s="10"/>
      <c r="P90" s="10"/>
      <c r="Q90" s="28">
        <f t="shared" si="9"/>
        <v>30.939226519337016</v>
      </c>
    </row>
    <row r="91" spans="1:17" hidden="1" x14ac:dyDescent="0.25">
      <c r="A91" s="16">
        <v>45532</v>
      </c>
      <c r="B91" s="2" t="s">
        <v>109</v>
      </c>
      <c r="C91" s="10">
        <v>500</v>
      </c>
      <c r="D91" s="11">
        <v>0.39900000000000002</v>
      </c>
      <c r="E91" s="10">
        <f t="shared" si="6"/>
        <v>0.5</v>
      </c>
      <c r="F91" s="10">
        <v>0.02</v>
      </c>
      <c r="G91" s="10">
        <v>7.0000000000000007E-2</v>
      </c>
      <c r="H91" s="12">
        <f t="shared" si="7"/>
        <v>0.23541000000000004</v>
      </c>
      <c r="I91" s="12">
        <f t="shared" si="8"/>
        <v>0.82541000000000009</v>
      </c>
      <c r="J91" s="10"/>
      <c r="K91" s="10"/>
      <c r="L91" s="10"/>
      <c r="M91" s="10"/>
      <c r="N91" s="10">
        <f>I91*1000</f>
        <v>825.41000000000008</v>
      </c>
      <c r="O91" s="10"/>
      <c r="P91" s="10"/>
      <c r="Q91" s="28">
        <f t="shared" si="9"/>
        <v>28.520371694067194</v>
      </c>
    </row>
    <row r="92" spans="1:17" hidden="1" x14ac:dyDescent="0.25">
      <c r="A92" s="16">
        <v>45532</v>
      </c>
      <c r="B92" s="2" t="s">
        <v>98</v>
      </c>
      <c r="C92" s="10">
        <v>500</v>
      </c>
      <c r="D92" s="11">
        <v>0.41299999999999998</v>
      </c>
      <c r="E92" s="10">
        <f t="shared" si="6"/>
        <v>0.5</v>
      </c>
      <c r="F92" s="10">
        <v>0.02</v>
      </c>
      <c r="G92" s="10">
        <v>7.0000000000000007E-2</v>
      </c>
      <c r="H92" s="12">
        <f t="shared" si="7"/>
        <v>0.24367000000000003</v>
      </c>
      <c r="I92" s="12">
        <f t="shared" si="8"/>
        <v>0.83367000000000013</v>
      </c>
      <c r="J92" s="10"/>
      <c r="K92" s="10"/>
      <c r="L92" s="10"/>
      <c r="M92" s="10">
        <f>I92*750</f>
        <v>625.25250000000005</v>
      </c>
      <c r="N92" s="10"/>
      <c r="O92" s="10"/>
      <c r="P92" s="10"/>
      <c r="Q92" s="28">
        <f t="shared" si="9"/>
        <v>29.228591648973815</v>
      </c>
    </row>
    <row r="93" spans="1:17" hidden="1" x14ac:dyDescent="0.25">
      <c r="A93" s="16">
        <v>45532</v>
      </c>
      <c r="B93" s="2" t="s">
        <v>132</v>
      </c>
      <c r="C93" s="10">
        <v>1500</v>
      </c>
      <c r="D93" s="11">
        <v>0.17</v>
      </c>
      <c r="E93" s="10">
        <f t="shared" si="6"/>
        <v>1.5</v>
      </c>
      <c r="F93" s="10">
        <v>0.02</v>
      </c>
      <c r="G93" s="10">
        <v>7.0000000000000007E-2</v>
      </c>
      <c r="H93" s="12">
        <f t="shared" si="7"/>
        <v>0.27030000000000004</v>
      </c>
      <c r="I93" s="12">
        <f t="shared" si="8"/>
        <v>1.8603000000000001</v>
      </c>
      <c r="J93" s="10"/>
      <c r="K93" s="10"/>
      <c r="L93" s="10"/>
      <c r="M93" s="10">
        <f>I93*750</f>
        <v>1395.2250000000001</v>
      </c>
      <c r="N93" s="10"/>
      <c r="O93" s="10"/>
      <c r="P93" s="10"/>
      <c r="Q93" s="28">
        <f t="shared" si="9"/>
        <v>14.529914529914532</v>
      </c>
    </row>
    <row r="94" spans="1:17" hidden="1" x14ac:dyDescent="0.25">
      <c r="A94" s="16">
        <v>45532</v>
      </c>
      <c r="B94" s="2" t="s">
        <v>85</v>
      </c>
      <c r="C94" s="10">
        <v>750</v>
      </c>
      <c r="D94" s="11">
        <v>0.28999999999999998</v>
      </c>
      <c r="E94" s="10">
        <f t="shared" si="6"/>
        <v>0.75</v>
      </c>
      <c r="F94" s="10">
        <v>0.02</v>
      </c>
      <c r="G94" s="10">
        <v>7.0000000000000007E-2</v>
      </c>
      <c r="H94" s="12">
        <f t="shared" si="7"/>
        <v>0.24360000000000001</v>
      </c>
      <c r="I94" s="12">
        <f t="shared" si="8"/>
        <v>1.0836000000000001</v>
      </c>
      <c r="J94" s="10"/>
      <c r="K94" s="10">
        <f>I94*300</f>
        <v>325.08000000000004</v>
      </c>
      <c r="L94" s="10"/>
      <c r="M94" s="10"/>
      <c r="N94" s="10"/>
      <c r="O94" s="10"/>
      <c r="P94" s="10"/>
      <c r="Q94" s="28">
        <f t="shared" si="9"/>
        <v>22.480620155038757</v>
      </c>
    </row>
    <row r="95" spans="1:17" x14ac:dyDescent="0.25">
      <c r="A95" s="16">
        <v>45534</v>
      </c>
      <c r="B95" s="2" t="s">
        <v>136</v>
      </c>
      <c r="C95" s="10">
        <v>650</v>
      </c>
      <c r="D95" s="11">
        <v>0.25</v>
      </c>
      <c r="E95" s="10">
        <f t="shared" si="6"/>
        <v>0.65</v>
      </c>
      <c r="F95" s="10">
        <v>0.02</v>
      </c>
      <c r="G95" s="10">
        <v>7.0000000000000007E-2</v>
      </c>
      <c r="H95" s="12">
        <f t="shared" si="7"/>
        <v>0.185</v>
      </c>
      <c r="I95" s="12">
        <f t="shared" si="8"/>
        <v>0.92500000000000004</v>
      </c>
      <c r="J95" s="10"/>
      <c r="K95" s="10"/>
      <c r="L95" s="10"/>
      <c r="M95" s="10"/>
      <c r="N95" s="10">
        <f>I95*1000</f>
        <v>925</v>
      </c>
      <c r="O95" s="10"/>
      <c r="P95" s="10"/>
      <c r="Q95" s="28">
        <f t="shared" si="9"/>
        <v>19.999999999999996</v>
      </c>
    </row>
    <row r="96" spans="1:17" x14ac:dyDescent="0.25">
      <c r="A96" s="16">
        <v>45534</v>
      </c>
      <c r="B96" s="2" t="s">
        <v>119</v>
      </c>
      <c r="C96" s="10">
        <v>650</v>
      </c>
      <c r="D96" s="11">
        <v>0.307</v>
      </c>
      <c r="E96" s="10">
        <f t="shared" si="6"/>
        <v>0.65</v>
      </c>
      <c r="F96" s="10">
        <v>0.02</v>
      </c>
      <c r="G96" s="10">
        <v>7.0000000000000007E-2</v>
      </c>
      <c r="H96" s="12">
        <f t="shared" si="7"/>
        <v>0.22717999999999999</v>
      </c>
      <c r="I96" s="12">
        <f t="shared" si="8"/>
        <v>0.96717999999999993</v>
      </c>
      <c r="J96" s="10"/>
      <c r="K96" s="10"/>
      <c r="L96" s="10"/>
      <c r="M96" s="10">
        <f>I96*750</f>
        <v>725.38499999999999</v>
      </c>
      <c r="N96" s="10"/>
      <c r="O96" s="10"/>
      <c r="P96" s="10"/>
      <c r="Q96" s="28">
        <f t="shared" si="9"/>
        <v>23.488905891354246</v>
      </c>
    </row>
    <row r="97" spans="1:17" x14ac:dyDescent="0.25">
      <c r="A97" s="16">
        <v>45534</v>
      </c>
      <c r="B97" s="2" t="s">
        <v>127</v>
      </c>
      <c r="C97" s="10">
        <v>650</v>
      </c>
      <c r="D97" s="11">
        <v>0.28499999999999998</v>
      </c>
      <c r="E97" s="10">
        <f t="shared" si="6"/>
        <v>0.65</v>
      </c>
      <c r="F97" s="10">
        <v>0.02</v>
      </c>
      <c r="G97" s="10">
        <v>7.0000000000000007E-2</v>
      </c>
      <c r="H97" s="12">
        <f t="shared" si="7"/>
        <v>0.21089999999999998</v>
      </c>
      <c r="I97" s="12">
        <f t="shared" si="8"/>
        <v>0.95089999999999997</v>
      </c>
      <c r="J97" s="10"/>
      <c r="K97" s="10"/>
      <c r="L97" s="12">
        <f>I97*500</f>
        <v>475.45</v>
      </c>
      <c r="M97" s="10"/>
      <c r="N97" s="10"/>
      <c r="O97" s="10"/>
      <c r="P97" s="10"/>
      <c r="Q97" s="28">
        <f t="shared" si="9"/>
        <v>22.178988326848245</v>
      </c>
    </row>
    <row r="98" spans="1:17" hidden="1" x14ac:dyDescent="0.25">
      <c r="A98" s="16">
        <v>45534</v>
      </c>
      <c r="B98" s="2" t="s">
        <v>123</v>
      </c>
      <c r="C98" s="10">
        <v>1250</v>
      </c>
      <c r="D98" s="11">
        <v>0.33600000000000002</v>
      </c>
      <c r="E98" s="10">
        <f t="shared" si="6"/>
        <v>1.25</v>
      </c>
      <c r="F98" s="10">
        <v>0.02</v>
      </c>
      <c r="G98" s="10">
        <v>7.0000000000000007E-2</v>
      </c>
      <c r="H98" s="12">
        <f t="shared" si="7"/>
        <v>0.45024000000000003</v>
      </c>
      <c r="I98" s="12">
        <f t="shared" si="8"/>
        <v>1.7902400000000001</v>
      </c>
      <c r="J98" s="10"/>
      <c r="K98" s="10"/>
      <c r="L98" s="10">
        <f>I98*500</f>
        <v>895.12</v>
      </c>
      <c r="M98" s="10"/>
      <c r="N98" s="10"/>
      <c r="O98" s="10"/>
      <c r="P98" s="10"/>
      <c r="Q98" s="28">
        <v>25.149700598802397</v>
      </c>
    </row>
    <row r="99" spans="1:17" hidden="1" x14ac:dyDescent="0.25">
      <c r="A99" s="16">
        <v>45534</v>
      </c>
      <c r="B99" s="2" t="s">
        <v>132</v>
      </c>
      <c r="C99" s="10">
        <v>1450</v>
      </c>
      <c r="D99" s="11">
        <v>0.19800000000000001</v>
      </c>
      <c r="E99" s="10">
        <f t="shared" si="6"/>
        <v>1.45</v>
      </c>
      <c r="F99" s="10">
        <v>0.02</v>
      </c>
      <c r="G99" s="10">
        <v>7.0000000000000007E-2</v>
      </c>
      <c r="H99" s="12">
        <f t="shared" si="7"/>
        <v>0.30492000000000002</v>
      </c>
      <c r="I99" s="12">
        <f t="shared" si="8"/>
        <v>1.8449200000000001</v>
      </c>
      <c r="J99" s="10"/>
      <c r="K99" s="10"/>
      <c r="L99" s="10"/>
      <c r="M99" s="10">
        <f>I99*800</f>
        <v>1475.9360000000001</v>
      </c>
      <c r="N99" s="10"/>
      <c r="O99" s="10"/>
      <c r="P99" s="10"/>
      <c r="Q99" s="28">
        <v>14.529914529914532</v>
      </c>
    </row>
    <row r="100" spans="1:17" hidden="1" x14ac:dyDescent="0.25">
      <c r="A100" s="16">
        <v>45535</v>
      </c>
      <c r="B100" s="2" t="s">
        <v>123</v>
      </c>
      <c r="C100" s="10">
        <v>1150</v>
      </c>
      <c r="D100" s="11">
        <v>0.44500000000000001</v>
      </c>
      <c r="E100" s="10">
        <f t="shared" si="6"/>
        <v>1.1499999999999999</v>
      </c>
      <c r="F100" s="10">
        <v>0.02</v>
      </c>
      <c r="G100" s="10">
        <v>7.0000000000000007E-2</v>
      </c>
      <c r="H100" s="12">
        <f t="shared" si="7"/>
        <v>0.55179999999999996</v>
      </c>
      <c r="I100" s="12">
        <f t="shared" si="8"/>
        <v>1.7917999999999998</v>
      </c>
      <c r="J100" s="10"/>
      <c r="K100" s="10"/>
      <c r="L100" s="10">
        <f>I100*500</f>
        <v>895.89999999999986</v>
      </c>
      <c r="M100" s="10"/>
      <c r="N100" s="10"/>
      <c r="O100" s="10"/>
      <c r="P100" s="10"/>
      <c r="Q100" s="28">
        <v>25.149700598802397</v>
      </c>
    </row>
    <row r="101" spans="1:17" hidden="1" x14ac:dyDescent="0.25">
      <c r="A101" s="16">
        <v>45535</v>
      </c>
      <c r="B101" s="2" t="s">
        <v>86</v>
      </c>
      <c r="C101" s="10">
        <v>1050</v>
      </c>
      <c r="D101" s="11">
        <v>0.214</v>
      </c>
      <c r="E101" s="10">
        <f t="shared" si="6"/>
        <v>1.05</v>
      </c>
      <c r="F101" s="10">
        <v>0.02</v>
      </c>
      <c r="G101" s="10">
        <v>7.0000000000000007E-2</v>
      </c>
      <c r="H101" s="12">
        <f t="shared" si="7"/>
        <v>0.24396000000000001</v>
      </c>
      <c r="I101" s="12">
        <f t="shared" si="8"/>
        <v>1.3839600000000001</v>
      </c>
      <c r="J101" s="10">
        <f>I101*250</f>
        <v>345.99</v>
      </c>
      <c r="K101" s="10"/>
      <c r="L101" s="10"/>
      <c r="M101" s="10"/>
      <c r="N101" s="10"/>
      <c r="O101" s="10"/>
      <c r="P101" s="10"/>
      <c r="Q101" s="28">
        <f t="shared" ref="Q101:Q164" si="10">H101/I101%</f>
        <v>17.627677100494235</v>
      </c>
    </row>
    <row r="102" spans="1:17" hidden="1" x14ac:dyDescent="0.25">
      <c r="A102" s="16">
        <v>45535</v>
      </c>
      <c r="B102" s="2" t="s">
        <v>85</v>
      </c>
      <c r="C102" s="10">
        <v>850</v>
      </c>
      <c r="D102" s="11">
        <v>0.22500000000000001</v>
      </c>
      <c r="E102" s="10">
        <f t="shared" si="6"/>
        <v>0.85</v>
      </c>
      <c r="F102" s="10">
        <v>0.02</v>
      </c>
      <c r="G102" s="10">
        <v>7.0000000000000007E-2</v>
      </c>
      <c r="H102" s="12">
        <f t="shared" si="7"/>
        <v>0.21149999999999999</v>
      </c>
      <c r="I102" s="12">
        <f t="shared" si="8"/>
        <v>1.1515</v>
      </c>
      <c r="J102" s="10"/>
      <c r="K102" s="10">
        <f>I102*300</f>
        <v>345.45</v>
      </c>
      <c r="L102" s="10"/>
      <c r="M102" s="10"/>
      <c r="N102" s="10"/>
      <c r="O102" s="10"/>
      <c r="P102" s="10"/>
      <c r="Q102" s="28">
        <f t="shared" si="10"/>
        <v>18.367346938775512</v>
      </c>
    </row>
    <row r="103" spans="1:17" x14ac:dyDescent="0.25">
      <c r="A103" s="16">
        <v>45536</v>
      </c>
      <c r="B103" s="2" t="s">
        <v>136</v>
      </c>
      <c r="C103" s="10">
        <v>750</v>
      </c>
      <c r="D103" s="11">
        <v>0.221</v>
      </c>
      <c r="E103" s="10">
        <f t="shared" si="6"/>
        <v>0.75</v>
      </c>
      <c r="F103" s="10">
        <v>0.02</v>
      </c>
      <c r="G103" s="10">
        <v>7.0000000000000007E-2</v>
      </c>
      <c r="H103" s="12">
        <f t="shared" si="7"/>
        <v>0.18564000000000003</v>
      </c>
      <c r="I103" s="12">
        <f t="shared" si="8"/>
        <v>1.0256400000000001</v>
      </c>
      <c r="J103" s="10"/>
      <c r="K103" s="10"/>
      <c r="L103" s="10" t="s">
        <v>72</v>
      </c>
      <c r="M103" s="10" t="s">
        <v>72</v>
      </c>
      <c r="N103" s="10">
        <f>I103*1000</f>
        <v>1025.6400000000001</v>
      </c>
      <c r="O103" s="10"/>
      <c r="P103" s="10"/>
      <c r="Q103" s="28">
        <f t="shared" si="10"/>
        <v>18.099918099918103</v>
      </c>
    </row>
    <row r="104" spans="1:17" hidden="1" x14ac:dyDescent="0.25">
      <c r="A104" s="16">
        <v>45536</v>
      </c>
      <c r="B104" s="2" t="s">
        <v>98</v>
      </c>
      <c r="C104" s="10">
        <v>650</v>
      </c>
      <c r="D104" s="11">
        <v>0.308</v>
      </c>
      <c r="E104" s="10">
        <f t="shared" si="6"/>
        <v>0.65</v>
      </c>
      <c r="F104" s="10">
        <v>0.02</v>
      </c>
      <c r="G104" s="10">
        <v>7.0000000000000007E-2</v>
      </c>
      <c r="H104" s="12">
        <f t="shared" si="7"/>
        <v>0.22791999999999998</v>
      </c>
      <c r="I104" s="12">
        <f t="shared" si="8"/>
        <v>0.96792</v>
      </c>
      <c r="J104" s="10"/>
      <c r="K104" s="10"/>
      <c r="L104" s="10"/>
      <c r="M104" s="10">
        <f>I104*750</f>
        <v>725.94</v>
      </c>
      <c r="N104" s="10"/>
      <c r="O104" s="10"/>
      <c r="P104" s="10"/>
      <c r="Q104" s="28">
        <f t="shared" si="10"/>
        <v>23.547400611620791</v>
      </c>
    </row>
    <row r="105" spans="1:17" hidden="1" x14ac:dyDescent="0.25">
      <c r="A105" s="16">
        <v>45536</v>
      </c>
      <c r="B105" s="2" t="s">
        <v>123</v>
      </c>
      <c r="C105" s="10">
        <v>1150</v>
      </c>
      <c r="D105" s="11">
        <v>0.44500000000000001</v>
      </c>
      <c r="E105" s="10">
        <f t="shared" si="6"/>
        <v>1.1499999999999999</v>
      </c>
      <c r="F105" s="10">
        <v>0.02</v>
      </c>
      <c r="G105" s="10">
        <v>7.0000000000000007E-2</v>
      </c>
      <c r="H105" s="12">
        <f t="shared" si="7"/>
        <v>0.55179999999999996</v>
      </c>
      <c r="I105" s="12">
        <f t="shared" si="8"/>
        <v>1.7917999999999998</v>
      </c>
      <c r="J105" s="10"/>
      <c r="K105" s="10"/>
      <c r="L105" s="10">
        <f>I105*500</f>
        <v>895.89999999999986</v>
      </c>
      <c r="M105" s="10"/>
      <c r="N105" s="10"/>
      <c r="O105" s="10"/>
      <c r="P105" s="10"/>
      <c r="Q105" s="28">
        <f t="shared" si="10"/>
        <v>30.79584775086505</v>
      </c>
    </row>
    <row r="106" spans="1:17" hidden="1" x14ac:dyDescent="0.25">
      <c r="A106" s="16">
        <v>45536</v>
      </c>
      <c r="B106" s="2" t="s">
        <v>86</v>
      </c>
      <c r="C106" s="10">
        <v>950</v>
      </c>
      <c r="D106" s="11">
        <v>0.33</v>
      </c>
      <c r="E106" s="10">
        <f t="shared" si="6"/>
        <v>0.95</v>
      </c>
      <c r="F106" s="10">
        <v>0.02</v>
      </c>
      <c r="G106" s="10">
        <v>7.0000000000000007E-2</v>
      </c>
      <c r="H106" s="12">
        <f t="shared" si="7"/>
        <v>0.34320000000000001</v>
      </c>
      <c r="I106" s="12">
        <f t="shared" si="8"/>
        <v>1.3832</v>
      </c>
      <c r="J106" s="10">
        <f>I106*250</f>
        <v>345.8</v>
      </c>
      <c r="K106" s="10"/>
      <c r="L106" s="10"/>
      <c r="M106" s="10"/>
      <c r="N106" s="10"/>
      <c r="O106" s="10"/>
      <c r="P106" s="10"/>
      <c r="Q106" s="28">
        <f t="shared" si="10"/>
        <v>24.81203007518797</v>
      </c>
    </row>
    <row r="107" spans="1:17" hidden="1" x14ac:dyDescent="0.25">
      <c r="A107" s="16">
        <v>45536</v>
      </c>
      <c r="B107" s="2" t="s">
        <v>85</v>
      </c>
      <c r="C107" s="10">
        <v>850</v>
      </c>
      <c r="D107" s="11">
        <v>0.22500000000000001</v>
      </c>
      <c r="E107" s="10">
        <f t="shared" si="6"/>
        <v>0.85</v>
      </c>
      <c r="F107" s="10">
        <v>0.02</v>
      </c>
      <c r="G107" s="10">
        <v>7.0000000000000007E-2</v>
      </c>
      <c r="H107" s="12">
        <f t="shared" si="7"/>
        <v>0.21149999999999999</v>
      </c>
      <c r="I107" s="12">
        <f t="shared" si="8"/>
        <v>1.1515</v>
      </c>
      <c r="J107" s="10"/>
      <c r="K107" s="10">
        <f>I107*300</f>
        <v>345.45</v>
      </c>
      <c r="L107" s="10"/>
      <c r="M107" s="10"/>
      <c r="N107" s="10"/>
      <c r="O107" s="10"/>
      <c r="P107" s="10"/>
      <c r="Q107" s="28">
        <f t="shared" si="10"/>
        <v>18.367346938775512</v>
      </c>
    </row>
    <row r="108" spans="1:17" x14ac:dyDescent="0.25">
      <c r="A108" s="16">
        <v>45538</v>
      </c>
      <c r="B108" s="2" t="s">
        <v>136</v>
      </c>
      <c r="C108" s="10">
        <v>750</v>
      </c>
      <c r="D108" s="11">
        <v>0.221</v>
      </c>
      <c r="E108" s="10">
        <f t="shared" si="6"/>
        <v>0.75</v>
      </c>
      <c r="F108" s="10">
        <v>0.02</v>
      </c>
      <c r="G108" s="10">
        <v>7.0000000000000007E-2</v>
      </c>
      <c r="H108" s="12">
        <f t="shared" si="7"/>
        <v>0.18564000000000003</v>
      </c>
      <c r="I108" s="12">
        <f t="shared" si="8"/>
        <v>1.0256400000000001</v>
      </c>
      <c r="J108" s="10"/>
      <c r="K108" s="10"/>
      <c r="L108" s="10"/>
      <c r="M108" s="10"/>
      <c r="N108" s="10">
        <f>I108*1000</f>
        <v>1025.6400000000001</v>
      </c>
      <c r="O108" s="10"/>
      <c r="P108" s="10"/>
      <c r="Q108" s="28">
        <f t="shared" si="10"/>
        <v>18.099918099918103</v>
      </c>
    </row>
    <row r="109" spans="1:17" x14ac:dyDescent="0.25">
      <c r="A109" s="16">
        <v>45538</v>
      </c>
      <c r="B109" s="2" t="s">
        <v>119</v>
      </c>
      <c r="C109" s="10">
        <v>750</v>
      </c>
      <c r="D109" s="11">
        <v>0.151</v>
      </c>
      <c r="E109" s="10">
        <f t="shared" si="6"/>
        <v>0.75</v>
      </c>
      <c r="F109" s="10">
        <v>0.02</v>
      </c>
      <c r="G109" s="10">
        <v>7.0000000000000007E-2</v>
      </c>
      <c r="H109" s="12">
        <f t="shared" si="7"/>
        <v>0.12684000000000001</v>
      </c>
      <c r="I109" s="12">
        <f t="shared" si="8"/>
        <v>0.96684000000000014</v>
      </c>
      <c r="J109" s="10"/>
      <c r="K109" s="10"/>
      <c r="L109" s="10"/>
      <c r="M109" s="10">
        <f>I109*750</f>
        <v>725.13000000000011</v>
      </c>
      <c r="N109" s="10"/>
      <c r="O109" s="10"/>
      <c r="P109" s="10"/>
      <c r="Q109" s="28">
        <f t="shared" si="10"/>
        <v>13.119026933101651</v>
      </c>
    </row>
    <row r="110" spans="1:17" hidden="1" x14ac:dyDescent="0.25">
      <c r="A110" s="16">
        <v>45538</v>
      </c>
      <c r="B110" s="2" t="s">
        <v>123</v>
      </c>
      <c r="C110" s="10">
        <v>1250</v>
      </c>
      <c r="D110" s="11">
        <v>0.33600000000000002</v>
      </c>
      <c r="E110" s="10">
        <f t="shared" si="6"/>
        <v>1.25</v>
      </c>
      <c r="F110" s="10">
        <v>0.02</v>
      </c>
      <c r="G110" s="10">
        <v>7.0000000000000007E-2</v>
      </c>
      <c r="H110" s="12">
        <f t="shared" si="7"/>
        <v>0.45024000000000003</v>
      </c>
      <c r="I110" s="12">
        <f t="shared" si="8"/>
        <v>1.7902400000000001</v>
      </c>
      <c r="J110" s="10"/>
      <c r="K110" s="10"/>
      <c r="L110" s="10">
        <f>I110*500</f>
        <v>895.12</v>
      </c>
      <c r="M110" s="10"/>
      <c r="N110" s="10"/>
      <c r="O110" s="10"/>
      <c r="P110" s="10"/>
      <c r="Q110" s="28">
        <f t="shared" si="10"/>
        <v>25.149700598802397</v>
      </c>
    </row>
    <row r="111" spans="1:17" hidden="1" x14ac:dyDescent="0.25">
      <c r="A111" s="16">
        <v>45538</v>
      </c>
      <c r="B111" s="2" t="s">
        <v>139</v>
      </c>
      <c r="C111" s="10">
        <v>1250</v>
      </c>
      <c r="D111" s="11">
        <v>0.27</v>
      </c>
      <c r="E111" s="10">
        <f t="shared" si="6"/>
        <v>1.25</v>
      </c>
      <c r="F111" s="10">
        <v>0.02</v>
      </c>
      <c r="G111" s="10">
        <v>7.0000000000000007E-2</v>
      </c>
      <c r="H111" s="12">
        <f t="shared" si="7"/>
        <v>0.36180000000000007</v>
      </c>
      <c r="I111" s="12">
        <f t="shared" si="8"/>
        <v>1.7018000000000002</v>
      </c>
      <c r="J111" s="10"/>
      <c r="K111" s="10">
        <f>I111*350</f>
        <v>595.63000000000011</v>
      </c>
      <c r="L111" s="10"/>
      <c r="M111" s="10"/>
      <c r="N111" s="10"/>
      <c r="O111" s="10"/>
      <c r="P111" s="10"/>
      <c r="Q111" s="28">
        <f t="shared" si="10"/>
        <v>21.259842519685041</v>
      </c>
    </row>
    <row r="112" spans="1:17" hidden="1" x14ac:dyDescent="0.25">
      <c r="A112" s="16">
        <v>45538</v>
      </c>
      <c r="B112" s="2" t="s">
        <v>85</v>
      </c>
      <c r="C112" s="10">
        <v>750</v>
      </c>
      <c r="D112" s="11">
        <v>0.37</v>
      </c>
      <c r="E112" s="10">
        <f t="shared" si="6"/>
        <v>0.75</v>
      </c>
      <c r="F112" s="10">
        <v>0.02</v>
      </c>
      <c r="G112" s="10">
        <v>7.0000000000000007E-2</v>
      </c>
      <c r="H112" s="12">
        <f t="shared" si="7"/>
        <v>0.31080000000000002</v>
      </c>
      <c r="I112" s="12">
        <f t="shared" si="8"/>
        <v>1.1508</v>
      </c>
      <c r="J112" s="10"/>
      <c r="K112" s="10">
        <f>I112*300</f>
        <v>345.24</v>
      </c>
      <c r="L112" s="10"/>
      <c r="M112" s="10"/>
      <c r="N112" s="10"/>
      <c r="O112" s="10"/>
      <c r="P112" s="10"/>
      <c r="Q112" s="28">
        <f t="shared" si="10"/>
        <v>27.007299270072991</v>
      </c>
    </row>
    <row r="113" spans="1:17" hidden="1" x14ac:dyDescent="0.25">
      <c r="A113" s="16">
        <v>45539</v>
      </c>
      <c r="B113" s="2" t="s">
        <v>98</v>
      </c>
      <c r="C113" s="10">
        <v>650</v>
      </c>
      <c r="D113" s="11">
        <v>3.6999999999999998E-2</v>
      </c>
      <c r="E113" s="10">
        <f t="shared" si="6"/>
        <v>0.65</v>
      </c>
      <c r="F113" s="10">
        <v>0.02</v>
      </c>
      <c r="G113" s="10">
        <v>7.0000000000000007E-2</v>
      </c>
      <c r="H113" s="12">
        <f t="shared" si="7"/>
        <v>2.7379999999999998E-2</v>
      </c>
      <c r="I113" s="12">
        <f t="shared" si="8"/>
        <v>0.76737999999999995</v>
      </c>
      <c r="J113" s="10"/>
      <c r="K113" s="10"/>
      <c r="L113" s="10"/>
      <c r="M113" s="10">
        <f>I113*750</f>
        <v>575.53499999999997</v>
      </c>
      <c r="N113" s="10"/>
      <c r="O113" s="10"/>
      <c r="P113" s="10"/>
      <c r="Q113" s="28">
        <f t="shared" si="10"/>
        <v>3.5679845708775311</v>
      </c>
    </row>
    <row r="114" spans="1:17" hidden="1" x14ac:dyDescent="0.25">
      <c r="A114" s="16">
        <v>45539</v>
      </c>
      <c r="B114" s="2" t="s">
        <v>123</v>
      </c>
      <c r="C114" s="10">
        <v>1050</v>
      </c>
      <c r="D114" s="11">
        <v>0.57099999999999995</v>
      </c>
      <c r="E114" s="10">
        <f t="shared" si="6"/>
        <v>1.05</v>
      </c>
      <c r="F114" s="10">
        <v>0.02</v>
      </c>
      <c r="G114" s="10">
        <v>7.0000000000000007E-2</v>
      </c>
      <c r="H114" s="12">
        <f t="shared" si="7"/>
        <v>0.65093999999999996</v>
      </c>
      <c r="I114" s="12">
        <f t="shared" si="8"/>
        <v>1.79094</v>
      </c>
      <c r="J114" s="10"/>
      <c r="K114" s="10"/>
      <c r="L114" s="10">
        <f>I114*500</f>
        <v>895.47</v>
      </c>
      <c r="M114" s="10"/>
      <c r="N114" s="10"/>
      <c r="O114" s="10"/>
      <c r="P114" s="10"/>
      <c r="Q114" s="28">
        <f t="shared" si="10"/>
        <v>36.346276257161044</v>
      </c>
    </row>
    <row r="115" spans="1:17" hidden="1" x14ac:dyDescent="0.25">
      <c r="A115" s="16">
        <v>45539</v>
      </c>
      <c r="B115" s="2" t="s">
        <v>131</v>
      </c>
      <c r="C115" s="10">
        <v>950</v>
      </c>
      <c r="D115" s="11">
        <v>0.151</v>
      </c>
      <c r="E115" s="10">
        <f t="shared" si="6"/>
        <v>0.95</v>
      </c>
      <c r="F115" s="10">
        <v>0.02</v>
      </c>
      <c r="G115" s="10">
        <v>7.0000000000000007E-2</v>
      </c>
      <c r="H115" s="12">
        <f t="shared" si="7"/>
        <v>0.15704000000000001</v>
      </c>
      <c r="I115" s="12">
        <f t="shared" si="8"/>
        <v>1.1970400000000001</v>
      </c>
      <c r="J115" s="10"/>
      <c r="K115" s="10">
        <f>I115*350</f>
        <v>418.96400000000006</v>
      </c>
      <c r="L115" s="10"/>
      <c r="M115" s="10"/>
      <c r="N115" s="10"/>
      <c r="O115" s="10"/>
      <c r="P115" s="10"/>
      <c r="Q115" s="28">
        <f t="shared" si="10"/>
        <v>13.119026933101651</v>
      </c>
    </row>
    <row r="116" spans="1:17" x14ac:dyDescent="0.25">
      <c r="A116" s="16">
        <v>45540</v>
      </c>
      <c r="B116" s="2" t="s">
        <v>119</v>
      </c>
      <c r="C116" s="10">
        <v>620</v>
      </c>
      <c r="D116" s="11">
        <v>2.5000000000000001E-2</v>
      </c>
      <c r="E116" s="10">
        <f t="shared" si="6"/>
        <v>0.62</v>
      </c>
      <c r="F116" s="10">
        <v>0.02</v>
      </c>
      <c r="G116" s="10">
        <v>7.0000000000000007E-2</v>
      </c>
      <c r="H116" s="12">
        <f t="shared" si="7"/>
        <v>1.7749999999999998E-2</v>
      </c>
      <c r="I116" s="12">
        <f t="shared" si="8"/>
        <v>0.72775000000000001</v>
      </c>
      <c r="J116" s="10"/>
      <c r="K116" s="10"/>
      <c r="L116" s="10"/>
      <c r="M116" s="10">
        <f>I116*750</f>
        <v>545.8125</v>
      </c>
      <c r="N116" s="10"/>
      <c r="O116" s="10"/>
      <c r="P116" s="10"/>
      <c r="Q116" s="28">
        <f t="shared" si="10"/>
        <v>2.4390243902439024</v>
      </c>
    </row>
    <row r="117" spans="1:17" hidden="1" x14ac:dyDescent="0.25">
      <c r="A117" s="16">
        <v>45540</v>
      </c>
      <c r="B117" s="2" t="s">
        <v>135</v>
      </c>
      <c r="C117" s="10">
        <v>770</v>
      </c>
      <c r="D117" s="11">
        <v>0.216</v>
      </c>
      <c r="E117" s="10">
        <f t="shared" si="6"/>
        <v>0.77</v>
      </c>
      <c r="F117" s="10">
        <v>0.02</v>
      </c>
      <c r="G117" s="10">
        <v>7.0000000000000007E-2</v>
      </c>
      <c r="H117" s="12">
        <f t="shared" si="7"/>
        <v>0.18576000000000001</v>
      </c>
      <c r="I117" s="12">
        <f t="shared" si="8"/>
        <v>1.04576</v>
      </c>
      <c r="J117" s="10"/>
      <c r="K117" s="10"/>
      <c r="L117" s="10"/>
      <c r="M117" s="10"/>
      <c r="N117" s="10">
        <f>I117*1000</f>
        <v>1045.76</v>
      </c>
      <c r="O117" s="10"/>
      <c r="P117" s="10"/>
      <c r="Q117" s="28">
        <f t="shared" si="10"/>
        <v>17.763157894736842</v>
      </c>
    </row>
    <row r="118" spans="1:17" hidden="1" x14ac:dyDescent="0.25">
      <c r="A118" s="16">
        <v>45540</v>
      </c>
      <c r="B118" s="2" t="s">
        <v>98</v>
      </c>
      <c r="C118" s="10">
        <v>580</v>
      </c>
      <c r="D118" s="11">
        <v>0.28499999999999998</v>
      </c>
      <c r="E118" s="10">
        <f t="shared" si="6"/>
        <v>0.57999999999999996</v>
      </c>
      <c r="F118" s="10">
        <v>0.02</v>
      </c>
      <c r="G118" s="10">
        <v>7.0000000000000007E-2</v>
      </c>
      <c r="H118" s="12">
        <f t="shared" si="7"/>
        <v>0.19094999999999995</v>
      </c>
      <c r="I118" s="12">
        <f t="shared" si="8"/>
        <v>0.86094999999999988</v>
      </c>
      <c r="J118" s="10"/>
      <c r="K118" s="10"/>
      <c r="L118" s="10"/>
      <c r="M118" s="10">
        <f>I118*750</f>
        <v>645.71249999999986</v>
      </c>
      <c r="N118" s="10"/>
      <c r="O118" s="10"/>
      <c r="P118" s="10"/>
      <c r="Q118" s="28">
        <f t="shared" si="10"/>
        <v>22.178988326848245</v>
      </c>
    </row>
    <row r="119" spans="1:17" hidden="1" x14ac:dyDescent="0.25">
      <c r="A119" s="16">
        <v>45540</v>
      </c>
      <c r="B119" s="2" t="s">
        <v>133</v>
      </c>
      <c r="C119" s="10">
        <v>1100</v>
      </c>
      <c r="D119" s="11">
        <v>0.17299999999999999</v>
      </c>
      <c r="E119" s="10">
        <f t="shared" si="6"/>
        <v>1.1000000000000001</v>
      </c>
      <c r="F119" s="10">
        <v>0.02</v>
      </c>
      <c r="G119" s="10">
        <v>7.0000000000000007E-2</v>
      </c>
      <c r="H119" s="12">
        <f t="shared" si="7"/>
        <v>0.20587000000000003</v>
      </c>
      <c r="I119" s="12">
        <f t="shared" si="8"/>
        <v>1.3958700000000002</v>
      </c>
      <c r="J119" s="10"/>
      <c r="K119" s="10"/>
      <c r="L119" s="10"/>
      <c r="M119" s="10"/>
      <c r="N119" s="10">
        <f>I119*1000</f>
        <v>1395.8700000000001</v>
      </c>
      <c r="O119" s="10"/>
      <c r="P119" s="10">
        <f>I119*1750</f>
        <v>2442.7725000000005</v>
      </c>
      <c r="Q119" s="28">
        <f t="shared" si="10"/>
        <v>14.748508098891731</v>
      </c>
    </row>
    <row r="120" spans="1:17" hidden="1" x14ac:dyDescent="0.25">
      <c r="A120" s="16">
        <v>45540</v>
      </c>
      <c r="B120" s="2" t="s">
        <v>123</v>
      </c>
      <c r="C120" s="10">
        <v>1250</v>
      </c>
      <c r="D120" s="11">
        <v>3.7999999999999999E-2</v>
      </c>
      <c r="E120" s="10">
        <f t="shared" si="6"/>
        <v>1.25</v>
      </c>
      <c r="F120" s="10">
        <v>0.02</v>
      </c>
      <c r="G120" s="10">
        <v>7.0000000000000007E-2</v>
      </c>
      <c r="H120" s="12">
        <f t="shared" si="7"/>
        <v>5.092E-2</v>
      </c>
      <c r="I120" s="12">
        <f t="shared" si="8"/>
        <v>1.3909200000000002</v>
      </c>
      <c r="J120" s="10"/>
      <c r="K120" s="10"/>
      <c r="L120" s="10">
        <f>I120*500</f>
        <v>695.46</v>
      </c>
      <c r="M120" s="10"/>
      <c r="N120" s="10"/>
      <c r="O120" s="10"/>
      <c r="P120" s="10"/>
      <c r="Q120" s="28">
        <f t="shared" si="10"/>
        <v>3.660886319845857</v>
      </c>
    </row>
    <row r="121" spans="1:17" hidden="1" x14ac:dyDescent="0.25">
      <c r="A121" s="16">
        <v>45540</v>
      </c>
      <c r="B121" s="2" t="s">
        <v>86</v>
      </c>
      <c r="C121" s="10">
        <v>880</v>
      </c>
      <c r="D121" s="11">
        <v>0.42</v>
      </c>
      <c r="E121" s="10">
        <f t="shared" si="6"/>
        <v>0.88</v>
      </c>
      <c r="F121" s="10">
        <v>0.02</v>
      </c>
      <c r="G121" s="10">
        <v>7.0000000000000007E-2</v>
      </c>
      <c r="H121" s="12">
        <f t="shared" si="7"/>
        <v>0.40739999999999998</v>
      </c>
      <c r="I121" s="12">
        <f t="shared" si="8"/>
        <v>1.3774</v>
      </c>
      <c r="J121" s="10">
        <f>I121*250</f>
        <v>344.34999999999997</v>
      </c>
      <c r="K121" s="10"/>
      <c r="L121" s="10"/>
      <c r="M121" s="10"/>
      <c r="N121" s="10"/>
      <c r="O121" s="10"/>
      <c r="P121" s="10"/>
      <c r="Q121" s="28">
        <f t="shared" si="10"/>
        <v>29.577464788732392</v>
      </c>
    </row>
    <row r="122" spans="1:17" hidden="1" x14ac:dyDescent="0.25">
      <c r="A122" s="16">
        <v>45540</v>
      </c>
      <c r="B122" s="2" t="s">
        <v>85</v>
      </c>
      <c r="C122" s="10">
        <v>780</v>
      </c>
      <c r="D122" s="11">
        <v>0.13200000000000001</v>
      </c>
      <c r="E122" s="10">
        <f t="shared" si="6"/>
        <v>0.78</v>
      </c>
      <c r="F122" s="10">
        <v>0.02</v>
      </c>
      <c r="G122" s="10">
        <v>7.0000000000000007E-2</v>
      </c>
      <c r="H122" s="12">
        <f t="shared" si="7"/>
        <v>0.11484000000000003</v>
      </c>
      <c r="I122" s="12">
        <f t="shared" si="8"/>
        <v>0.98484000000000016</v>
      </c>
      <c r="J122" s="10"/>
      <c r="K122" s="10">
        <f>I122*300</f>
        <v>295.45200000000006</v>
      </c>
      <c r="L122" s="10"/>
      <c r="M122" s="10"/>
      <c r="N122" s="10"/>
      <c r="O122" s="10"/>
      <c r="P122" s="10"/>
      <c r="Q122" s="28">
        <f t="shared" si="10"/>
        <v>11.660777385159012</v>
      </c>
    </row>
    <row r="123" spans="1:17" hidden="1" x14ac:dyDescent="0.25">
      <c r="A123" s="16">
        <v>45541</v>
      </c>
      <c r="B123" s="2" t="s">
        <v>144</v>
      </c>
      <c r="C123" s="10">
        <v>500</v>
      </c>
      <c r="D123" s="11">
        <v>0.20499999999999999</v>
      </c>
      <c r="E123" s="10">
        <f t="shared" si="6"/>
        <v>0.5</v>
      </c>
      <c r="F123" s="10">
        <v>0.02</v>
      </c>
      <c r="G123" s="10">
        <v>7.0000000000000007E-2</v>
      </c>
      <c r="H123" s="12">
        <f t="shared" si="7"/>
        <v>0.12095000000000002</v>
      </c>
      <c r="I123" s="12">
        <f t="shared" si="8"/>
        <v>0.71095000000000008</v>
      </c>
      <c r="J123" s="10"/>
      <c r="K123" s="10"/>
      <c r="L123" s="10">
        <f>I123*500</f>
        <v>355.47500000000002</v>
      </c>
      <c r="M123" s="10"/>
      <c r="N123" s="10"/>
      <c r="O123" s="10"/>
      <c r="P123" s="10"/>
      <c r="Q123" s="28">
        <f t="shared" si="10"/>
        <v>17.012448132780083</v>
      </c>
    </row>
    <row r="124" spans="1:17" hidden="1" x14ac:dyDescent="0.25">
      <c r="A124" s="16">
        <v>45541</v>
      </c>
      <c r="B124" s="2" t="s">
        <v>100</v>
      </c>
      <c r="C124" s="10">
        <v>500</v>
      </c>
      <c r="D124" s="11">
        <v>0</v>
      </c>
      <c r="E124" s="10">
        <f t="shared" si="6"/>
        <v>0.5</v>
      </c>
      <c r="F124" s="10">
        <v>0.02</v>
      </c>
      <c r="G124" s="10">
        <v>7.0000000000000007E-2</v>
      </c>
      <c r="H124" s="12">
        <f t="shared" si="7"/>
        <v>0</v>
      </c>
      <c r="I124" s="12">
        <f t="shared" si="8"/>
        <v>0.59000000000000008</v>
      </c>
      <c r="J124" s="10"/>
      <c r="K124" s="10"/>
      <c r="L124" s="10">
        <f>I124*500</f>
        <v>295.00000000000006</v>
      </c>
      <c r="M124" s="10"/>
      <c r="N124" s="10"/>
      <c r="O124" s="10"/>
      <c r="P124" s="10"/>
      <c r="Q124" s="28">
        <f t="shared" si="10"/>
        <v>0</v>
      </c>
    </row>
    <row r="125" spans="1:17" x14ac:dyDescent="0.25">
      <c r="A125" s="16">
        <v>45545</v>
      </c>
      <c r="B125" s="2" t="s">
        <v>119</v>
      </c>
      <c r="C125" s="10">
        <v>600</v>
      </c>
      <c r="D125" s="11">
        <v>0.53700000000000003</v>
      </c>
      <c r="E125" s="10">
        <f t="shared" si="6"/>
        <v>0.6</v>
      </c>
      <c r="F125" s="10">
        <v>0.02</v>
      </c>
      <c r="G125" s="10">
        <v>7.0000000000000007E-2</v>
      </c>
      <c r="H125" s="12">
        <f t="shared" si="7"/>
        <v>0.37052999999999997</v>
      </c>
      <c r="I125" s="12">
        <f t="shared" si="8"/>
        <v>1.06053</v>
      </c>
      <c r="J125" s="10"/>
      <c r="K125" s="10"/>
      <c r="L125" s="10"/>
      <c r="M125" s="10">
        <f>I125*750</f>
        <v>795.39750000000004</v>
      </c>
      <c r="N125" s="10"/>
      <c r="O125" s="10"/>
      <c r="P125" s="10"/>
      <c r="Q125" s="28">
        <f t="shared" si="10"/>
        <v>34.938191281717629</v>
      </c>
    </row>
    <row r="126" spans="1:17" hidden="1" x14ac:dyDescent="0.25">
      <c r="A126" s="16">
        <v>45545</v>
      </c>
      <c r="B126" s="2" t="s">
        <v>109</v>
      </c>
      <c r="C126" s="10">
        <v>550</v>
      </c>
      <c r="D126" s="11">
        <v>0.39900000000000002</v>
      </c>
      <c r="E126" s="10">
        <f t="shared" si="6"/>
        <v>0.55000000000000004</v>
      </c>
      <c r="F126" s="10">
        <v>0.02</v>
      </c>
      <c r="G126" s="10">
        <v>7.0000000000000007E-2</v>
      </c>
      <c r="H126" s="12">
        <f t="shared" si="7"/>
        <v>0.25536000000000009</v>
      </c>
      <c r="I126" s="12">
        <f t="shared" si="8"/>
        <v>0.89536000000000016</v>
      </c>
      <c r="J126" s="10"/>
      <c r="K126" s="10"/>
      <c r="L126" s="10"/>
      <c r="M126" s="10"/>
      <c r="N126" s="2">
        <f>I126*1000</f>
        <v>895.36000000000013</v>
      </c>
      <c r="O126" s="10"/>
      <c r="P126" s="10"/>
      <c r="Q126" s="28">
        <f t="shared" si="10"/>
        <v>28.520371694067197</v>
      </c>
    </row>
    <row r="127" spans="1:17" hidden="1" x14ac:dyDescent="0.25">
      <c r="A127" s="16">
        <v>45545</v>
      </c>
      <c r="B127" s="35" t="s">
        <v>98</v>
      </c>
      <c r="C127" s="10">
        <v>550</v>
      </c>
      <c r="D127" s="11">
        <v>0.44800000000000001</v>
      </c>
      <c r="E127" s="10">
        <f t="shared" si="6"/>
        <v>0.55000000000000004</v>
      </c>
      <c r="F127" s="10">
        <v>0.02</v>
      </c>
      <c r="G127" s="10">
        <v>7.0000000000000007E-2</v>
      </c>
      <c r="H127" s="12">
        <f t="shared" si="7"/>
        <v>0.28672000000000009</v>
      </c>
      <c r="I127" s="12">
        <f t="shared" si="8"/>
        <v>0.92672000000000021</v>
      </c>
      <c r="J127" s="10"/>
      <c r="K127" s="10"/>
      <c r="L127" s="10"/>
      <c r="M127" s="10">
        <f>I127*750</f>
        <v>695.04000000000019</v>
      </c>
      <c r="N127" s="2"/>
      <c r="O127" s="10"/>
      <c r="P127" s="10"/>
      <c r="Q127" s="28">
        <f t="shared" si="10"/>
        <v>30.939226519337019</v>
      </c>
    </row>
    <row r="128" spans="1:17" hidden="1" x14ac:dyDescent="0.25">
      <c r="A128" s="16">
        <v>45545</v>
      </c>
      <c r="B128" s="2" t="s">
        <v>88</v>
      </c>
      <c r="C128" s="10">
        <v>550</v>
      </c>
      <c r="D128" s="11">
        <v>0.39900000000000002</v>
      </c>
      <c r="E128" s="10">
        <f t="shared" si="6"/>
        <v>0.55000000000000004</v>
      </c>
      <c r="F128" s="10">
        <v>0.02</v>
      </c>
      <c r="G128" s="10">
        <v>7.0000000000000007E-2</v>
      </c>
      <c r="H128" s="12">
        <f t="shared" si="7"/>
        <v>0.25536000000000009</v>
      </c>
      <c r="I128" s="12">
        <f t="shared" si="8"/>
        <v>0.89536000000000016</v>
      </c>
      <c r="J128" s="2"/>
      <c r="K128" s="2"/>
      <c r="L128" s="2"/>
      <c r="M128" s="2"/>
      <c r="N128" s="2">
        <f>I128*1000</f>
        <v>895.36000000000013</v>
      </c>
      <c r="O128" s="2"/>
      <c r="P128" s="2"/>
      <c r="Q128" s="28">
        <f t="shared" si="10"/>
        <v>28.520371694067197</v>
      </c>
    </row>
    <row r="129" spans="1:17" hidden="1" x14ac:dyDescent="0.25">
      <c r="A129" s="16">
        <v>45545</v>
      </c>
      <c r="B129" s="2" t="s">
        <v>131</v>
      </c>
      <c r="C129" s="10">
        <v>920</v>
      </c>
      <c r="D129" s="11">
        <v>0.4</v>
      </c>
      <c r="E129" s="10">
        <f t="shared" si="6"/>
        <v>0.92</v>
      </c>
      <c r="F129" s="10">
        <v>0.02</v>
      </c>
      <c r="G129" s="10">
        <v>7.0000000000000007E-2</v>
      </c>
      <c r="H129" s="12">
        <f t="shared" si="7"/>
        <v>0.40400000000000003</v>
      </c>
      <c r="I129" s="12">
        <f t="shared" si="8"/>
        <v>1.4140000000000001</v>
      </c>
      <c r="J129" s="10"/>
      <c r="K129" s="10">
        <f>I129*350</f>
        <v>494.90000000000003</v>
      </c>
      <c r="L129" s="10"/>
      <c r="M129" s="10"/>
      <c r="N129" s="10"/>
      <c r="O129" s="10"/>
      <c r="P129" s="10"/>
      <c r="Q129" s="28">
        <f t="shared" si="10"/>
        <v>28.571428571428569</v>
      </c>
    </row>
    <row r="130" spans="1:17" hidden="1" x14ac:dyDescent="0.25">
      <c r="A130" s="16">
        <v>45545</v>
      </c>
      <c r="B130" s="2" t="s">
        <v>150</v>
      </c>
      <c r="C130" s="10">
        <v>1500</v>
      </c>
      <c r="D130" s="11">
        <v>0.38</v>
      </c>
      <c r="E130" s="10">
        <f t="shared" si="6"/>
        <v>1.5</v>
      </c>
      <c r="F130" s="10">
        <v>0.02</v>
      </c>
      <c r="G130" s="10">
        <v>7.0000000000000007E-2</v>
      </c>
      <c r="H130" s="12">
        <f t="shared" si="7"/>
        <v>0.60420000000000007</v>
      </c>
      <c r="I130" s="12">
        <f t="shared" si="8"/>
        <v>2.1942000000000004</v>
      </c>
      <c r="J130" s="10"/>
      <c r="K130" s="10"/>
      <c r="L130" s="10"/>
      <c r="M130" s="10"/>
      <c r="N130" s="10">
        <f>I130*1000</f>
        <v>2194.2000000000003</v>
      </c>
      <c r="O130" s="10"/>
      <c r="P130" s="10"/>
      <c r="Q130" s="28">
        <f t="shared" si="10"/>
        <v>27.536231884057969</v>
      </c>
    </row>
    <row r="131" spans="1:17" hidden="1" x14ac:dyDescent="0.25">
      <c r="A131" s="16">
        <v>45545</v>
      </c>
      <c r="B131" s="2" t="s">
        <v>86</v>
      </c>
      <c r="C131" s="10">
        <v>950</v>
      </c>
      <c r="D131" s="11">
        <v>0.44</v>
      </c>
      <c r="E131" s="10">
        <f t="shared" si="6"/>
        <v>0.95</v>
      </c>
      <c r="F131" s="10">
        <v>0.02</v>
      </c>
      <c r="G131" s="10">
        <v>7.0000000000000007E-2</v>
      </c>
      <c r="H131" s="12">
        <f t="shared" si="7"/>
        <v>0.45760000000000001</v>
      </c>
      <c r="I131" s="12">
        <f t="shared" si="8"/>
        <v>1.4976</v>
      </c>
      <c r="J131" s="10">
        <f>I131*250</f>
        <v>374.40000000000003</v>
      </c>
      <c r="K131" s="10"/>
      <c r="L131" s="10"/>
      <c r="M131" s="10"/>
      <c r="N131" s="10"/>
      <c r="O131" s="10"/>
      <c r="P131" s="10"/>
      <c r="Q131" s="28">
        <f t="shared" si="10"/>
        <v>30.555555555555557</v>
      </c>
    </row>
    <row r="132" spans="1:17" hidden="1" x14ac:dyDescent="0.25">
      <c r="A132" s="16">
        <v>45545</v>
      </c>
      <c r="B132" s="2" t="s">
        <v>85</v>
      </c>
      <c r="C132" s="10">
        <v>810</v>
      </c>
      <c r="D132" s="11">
        <v>0.39</v>
      </c>
      <c r="E132" s="10">
        <f t="shared" ref="E132:E195" si="11">C132/1000</f>
        <v>0.81</v>
      </c>
      <c r="F132" s="10">
        <v>0.02</v>
      </c>
      <c r="G132" s="10">
        <v>7.0000000000000007E-2</v>
      </c>
      <c r="H132" s="12">
        <f t="shared" ref="H132:H195" si="12">SUM(E132:G132)*D132</f>
        <v>0.35100000000000009</v>
      </c>
      <c r="I132" s="12">
        <f t="shared" ref="I132:I195" si="13">SUM(E132:H132)</f>
        <v>1.2510000000000003</v>
      </c>
      <c r="J132" s="10"/>
      <c r="K132" s="10">
        <f>I132*300</f>
        <v>375.30000000000013</v>
      </c>
      <c r="L132" s="10"/>
      <c r="M132" s="10"/>
      <c r="N132" s="10"/>
      <c r="O132" s="10"/>
      <c r="P132" s="10"/>
      <c r="Q132" s="28">
        <f t="shared" si="10"/>
        <v>28.057553956834532</v>
      </c>
    </row>
    <row r="133" spans="1:17" x14ac:dyDescent="0.25">
      <c r="A133" s="16">
        <v>45546</v>
      </c>
      <c r="B133" s="2" t="s">
        <v>136</v>
      </c>
      <c r="C133" s="2">
        <v>600</v>
      </c>
      <c r="D133" s="11">
        <v>0.37</v>
      </c>
      <c r="E133" s="10">
        <f t="shared" si="11"/>
        <v>0.6</v>
      </c>
      <c r="F133" s="10">
        <v>0.02</v>
      </c>
      <c r="G133" s="10">
        <v>7.0000000000000007E-2</v>
      </c>
      <c r="H133" s="12">
        <f t="shared" si="12"/>
        <v>0.25529999999999997</v>
      </c>
      <c r="I133" s="12">
        <f t="shared" si="13"/>
        <v>0.94529999999999992</v>
      </c>
      <c r="J133" s="10"/>
      <c r="K133" s="10"/>
      <c r="L133" s="10"/>
      <c r="M133" s="10"/>
      <c r="N133" s="10">
        <f>I133*1000</f>
        <v>945.3</v>
      </c>
      <c r="O133" s="10"/>
      <c r="P133" s="10"/>
      <c r="Q133" s="28">
        <f t="shared" si="10"/>
        <v>27.007299270072991</v>
      </c>
    </row>
    <row r="134" spans="1:17" x14ac:dyDescent="0.25">
      <c r="A134" s="16">
        <v>45546</v>
      </c>
      <c r="B134" s="2" t="s">
        <v>119</v>
      </c>
      <c r="C134" s="2">
        <v>600</v>
      </c>
      <c r="D134" s="11">
        <v>0.4</v>
      </c>
      <c r="E134" s="10">
        <f t="shared" si="11"/>
        <v>0.6</v>
      </c>
      <c r="F134" s="10">
        <v>0.02</v>
      </c>
      <c r="G134" s="10">
        <v>7.0000000000000007E-2</v>
      </c>
      <c r="H134" s="12">
        <f t="shared" si="12"/>
        <v>0.27599999999999997</v>
      </c>
      <c r="I134" s="12">
        <f t="shared" si="13"/>
        <v>0.96599999999999997</v>
      </c>
      <c r="J134" s="10"/>
      <c r="K134" s="10"/>
      <c r="L134" s="10"/>
      <c r="M134" s="10">
        <f>I134*750</f>
        <v>724.5</v>
      </c>
      <c r="N134" s="10"/>
      <c r="O134" s="10"/>
      <c r="P134" s="10"/>
      <c r="Q134" s="28">
        <f t="shared" si="10"/>
        <v>28.571428571428566</v>
      </c>
    </row>
    <row r="135" spans="1:17" hidden="1" x14ac:dyDescent="0.25">
      <c r="A135" s="16">
        <v>45546</v>
      </c>
      <c r="B135" s="2" t="s">
        <v>100</v>
      </c>
      <c r="C135" s="2">
        <v>550</v>
      </c>
      <c r="D135" s="11">
        <v>0.23499999999999999</v>
      </c>
      <c r="E135" s="2">
        <f t="shared" si="11"/>
        <v>0.55000000000000004</v>
      </c>
      <c r="F135" s="10">
        <v>0.02</v>
      </c>
      <c r="G135" s="10">
        <v>7.0000000000000007E-2</v>
      </c>
      <c r="H135" s="12">
        <f t="shared" si="12"/>
        <v>0.15040000000000003</v>
      </c>
      <c r="I135" s="12">
        <f t="shared" si="13"/>
        <v>0.79040000000000021</v>
      </c>
      <c r="J135" s="2"/>
      <c r="K135" s="2"/>
      <c r="L135" s="2">
        <f>I135*500</f>
        <v>395.2000000000001</v>
      </c>
      <c r="M135" s="2"/>
      <c r="N135" s="2"/>
      <c r="O135" s="2"/>
      <c r="P135" s="2"/>
      <c r="Q135" s="28">
        <f t="shared" si="10"/>
        <v>19.02834008097166</v>
      </c>
    </row>
    <row r="136" spans="1:17" hidden="1" x14ac:dyDescent="0.25">
      <c r="A136" s="16">
        <v>45546</v>
      </c>
      <c r="B136" s="2" t="s">
        <v>109</v>
      </c>
      <c r="C136" s="10">
        <v>500</v>
      </c>
      <c r="D136" s="11">
        <v>0.39900000000000002</v>
      </c>
      <c r="E136" s="10">
        <f t="shared" si="11"/>
        <v>0.5</v>
      </c>
      <c r="F136" s="10">
        <v>0.02</v>
      </c>
      <c r="G136" s="10">
        <v>7.0000000000000007E-2</v>
      </c>
      <c r="H136" s="12">
        <f t="shared" si="12"/>
        <v>0.23541000000000004</v>
      </c>
      <c r="I136" s="12">
        <f t="shared" si="13"/>
        <v>0.82541000000000009</v>
      </c>
      <c r="J136" s="10"/>
      <c r="K136" s="10"/>
      <c r="L136" s="10"/>
      <c r="M136" s="10"/>
      <c r="N136" s="2">
        <f>I136*1000</f>
        <v>825.41000000000008</v>
      </c>
      <c r="O136" s="10"/>
      <c r="P136" s="10"/>
      <c r="Q136" s="28">
        <f t="shared" si="10"/>
        <v>28.520371694067194</v>
      </c>
    </row>
    <row r="137" spans="1:17" hidden="1" x14ac:dyDescent="0.25">
      <c r="A137" s="16">
        <v>45546</v>
      </c>
      <c r="B137" s="2" t="s">
        <v>98</v>
      </c>
      <c r="C137" s="10">
        <v>500</v>
      </c>
      <c r="D137" s="11">
        <v>0.41399999999999998</v>
      </c>
      <c r="E137" s="10">
        <f t="shared" si="11"/>
        <v>0.5</v>
      </c>
      <c r="F137" s="10">
        <v>0.02</v>
      </c>
      <c r="G137" s="10">
        <v>7.0000000000000007E-2</v>
      </c>
      <c r="H137" s="12">
        <f t="shared" si="12"/>
        <v>0.24426000000000003</v>
      </c>
      <c r="I137" s="12">
        <f t="shared" si="13"/>
        <v>0.83426000000000011</v>
      </c>
      <c r="J137" s="10"/>
      <c r="K137" s="10"/>
      <c r="L137" s="10"/>
      <c r="M137" s="10">
        <f>I137*750</f>
        <v>625.69500000000005</v>
      </c>
      <c r="N137" s="2"/>
      <c r="O137" s="10"/>
      <c r="P137" s="10"/>
      <c r="Q137" s="28">
        <f t="shared" si="10"/>
        <v>29.278642149929283</v>
      </c>
    </row>
    <row r="138" spans="1:17" hidden="1" x14ac:dyDescent="0.25">
      <c r="A138" s="16">
        <v>45546</v>
      </c>
      <c r="B138" s="2" t="s">
        <v>85</v>
      </c>
      <c r="C138" s="10">
        <v>800</v>
      </c>
      <c r="D138" s="11">
        <v>0.40500000000000003</v>
      </c>
      <c r="E138" s="10">
        <f t="shared" si="11"/>
        <v>0.8</v>
      </c>
      <c r="F138" s="10">
        <v>0.02</v>
      </c>
      <c r="G138" s="10">
        <v>7.0000000000000007E-2</v>
      </c>
      <c r="H138" s="12">
        <f t="shared" si="12"/>
        <v>0.36045000000000005</v>
      </c>
      <c r="I138" s="12">
        <f t="shared" si="13"/>
        <v>1.2504500000000003</v>
      </c>
      <c r="J138" s="10"/>
      <c r="K138" s="10">
        <f>I138*300</f>
        <v>375.1350000000001</v>
      </c>
      <c r="L138" s="10"/>
      <c r="M138" s="10"/>
      <c r="N138" s="10"/>
      <c r="O138" s="10"/>
      <c r="P138" s="10"/>
      <c r="Q138" s="28">
        <f t="shared" si="10"/>
        <v>28.825622775800706</v>
      </c>
    </row>
    <row r="139" spans="1:17" hidden="1" x14ac:dyDescent="0.25">
      <c r="A139" s="16">
        <v>45547</v>
      </c>
      <c r="B139" s="2" t="s">
        <v>123</v>
      </c>
      <c r="C139" s="2">
        <v>1250</v>
      </c>
      <c r="D139" s="11">
        <v>0.23799999999999999</v>
      </c>
      <c r="E139" s="2">
        <f t="shared" si="11"/>
        <v>1.25</v>
      </c>
      <c r="F139" s="10">
        <v>0.02</v>
      </c>
      <c r="G139" s="10">
        <v>7.0000000000000007E-2</v>
      </c>
      <c r="H139" s="12">
        <f t="shared" si="12"/>
        <v>0.31891999999999998</v>
      </c>
      <c r="I139" s="12">
        <f t="shared" si="13"/>
        <v>1.6589200000000002</v>
      </c>
      <c r="J139" s="2"/>
      <c r="K139" s="2"/>
      <c r="L139" s="2">
        <f>I139*600</f>
        <v>995.35200000000009</v>
      </c>
      <c r="M139" s="2"/>
      <c r="N139" s="2"/>
      <c r="O139" s="2"/>
      <c r="P139" s="2"/>
      <c r="Q139" s="28">
        <f t="shared" si="10"/>
        <v>19.224555735056541</v>
      </c>
    </row>
    <row r="140" spans="1:17" hidden="1" x14ac:dyDescent="0.25">
      <c r="A140" s="16">
        <v>45547</v>
      </c>
      <c r="B140" s="2" t="s">
        <v>86</v>
      </c>
      <c r="C140" s="2">
        <v>950</v>
      </c>
      <c r="D140" s="11">
        <v>0.44</v>
      </c>
      <c r="E140" s="2">
        <f t="shared" si="11"/>
        <v>0.95</v>
      </c>
      <c r="F140" s="10">
        <v>0.02</v>
      </c>
      <c r="G140" s="10">
        <v>7.0000000000000007E-2</v>
      </c>
      <c r="H140" s="12">
        <f t="shared" si="12"/>
        <v>0.45760000000000001</v>
      </c>
      <c r="I140" s="12">
        <f t="shared" si="13"/>
        <v>1.4976</v>
      </c>
      <c r="J140" s="2">
        <f>I140*250</f>
        <v>374.40000000000003</v>
      </c>
      <c r="K140" s="10"/>
      <c r="L140" s="2"/>
      <c r="M140" s="2"/>
      <c r="N140" s="2"/>
      <c r="O140" s="2"/>
      <c r="P140" s="2"/>
      <c r="Q140" s="28">
        <f t="shared" si="10"/>
        <v>30.555555555555557</v>
      </c>
    </row>
    <row r="141" spans="1:17" x14ac:dyDescent="0.25">
      <c r="A141" s="16">
        <v>45548</v>
      </c>
      <c r="B141" s="2" t="s">
        <v>136</v>
      </c>
      <c r="C141" s="2">
        <v>670</v>
      </c>
      <c r="D141" s="11">
        <v>0.24399999999999999</v>
      </c>
      <c r="E141" s="2">
        <f t="shared" si="11"/>
        <v>0.67</v>
      </c>
      <c r="F141" s="10">
        <v>0.02</v>
      </c>
      <c r="G141" s="10">
        <v>7.0000000000000007E-2</v>
      </c>
      <c r="H141" s="12">
        <f t="shared" si="12"/>
        <v>0.18543999999999999</v>
      </c>
      <c r="I141" s="12">
        <f t="shared" si="13"/>
        <v>0.94544000000000006</v>
      </c>
      <c r="J141" s="10"/>
      <c r="K141" s="10"/>
      <c r="L141" s="10"/>
      <c r="M141" s="10"/>
      <c r="N141" s="10">
        <f>I141*1000</f>
        <v>945.44</v>
      </c>
      <c r="O141" s="10"/>
      <c r="P141" s="10"/>
      <c r="Q141" s="28">
        <f t="shared" si="10"/>
        <v>19.614147909967844</v>
      </c>
    </row>
    <row r="142" spans="1:17" x14ac:dyDescent="0.25">
      <c r="A142" s="16">
        <v>45548</v>
      </c>
      <c r="B142" s="2" t="s">
        <v>119</v>
      </c>
      <c r="C142" s="2">
        <v>670</v>
      </c>
      <c r="D142" s="11">
        <v>0.27300000000000002</v>
      </c>
      <c r="E142" s="2">
        <f t="shared" si="11"/>
        <v>0.67</v>
      </c>
      <c r="F142" s="10">
        <v>0.02</v>
      </c>
      <c r="G142" s="10">
        <v>7.0000000000000007E-2</v>
      </c>
      <c r="H142" s="12">
        <f t="shared" si="12"/>
        <v>0.20748000000000003</v>
      </c>
      <c r="I142" s="12">
        <f t="shared" si="13"/>
        <v>0.96748000000000001</v>
      </c>
      <c r="J142" s="10"/>
      <c r="K142" s="10"/>
      <c r="L142" s="10"/>
      <c r="M142" s="10">
        <f>I142*750</f>
        <v>725.61</v>
      </c>
      <c r="N142" s="10"/>
      <c r="O142" s="10"/>
      <c r="P142" s="10"/>
      <c r="Q142" s="28">
        <f t="shared" si="10"/>
        <v>21.445404556166537</v>
      </c>
    </row>
    <row r="143" spans="1:17" x14ac:dyDescent="0.25">
      <c r="A143" s="16">
        <v>45548</v>
      </c>
      <c r="B143" s="2" t="s">
        <v>127</v>
      </c>
      <c r="C143" s="2">
        <v>670</v>
      </c>
      <c r="D143" s="11">
        <v>0.17299999999999999</v>
      </c>
      <c r="E143" s="2">
        <f t="shared" si="11"/>
        <v>0.67</v>
      </c>
      <c r="F143" s="10">
        <v>0.02</v>
      </c>
      <c r="G143" s="10">
        <v>7.0000000000000007E-2</v>
      </c>
      <c r="H143" s="12">
        <f t="shared" si="12"/>
        <v>0.13147999999999999</v>
      </c>
      <c r="I143" s="12">
        <f t="shared" si="13"/>
        <v>0.89148000000000005</v>
      </c>
      <c r="J143" s="10"/>
      <c r="K143" s="10"/>
      <c r="L143" s="10">
        <f>I143*500</f>
        <v>445.74</v>
      </c>
      <c r="M143" s="10"/>
      <c r="N143" s="10"/>
      <c r="O143" s="10"/>
      <c r="P143" s="10"/>
      <c r="Q143" s="28">
        <f t="shared" si="10"/>
        <v>14.748508098891728</v>
      </c>
    </row>
    <row r="144" spans="1:17" hidden="1" x14ac:dyDescent="0.25">
      <c r="A144" s="16">
        <v>45548</v>
      </c>
      <c r="B144" s="2" t="s">
        <v>149</v>
      </c>
      <c r="C144" s="2">
        <v>1550</v>
      </c>
      <c r="D144" s="11">
        <v>0.20899999999999999</v>
      </c>
      <c r="E144" s="10">
        <f t="shared" si="11"/>
        <v>1.55</v>
      </c>
      <c r="F144" s="10">
        <v>0.02</v>
      </c>
      <c r="G144" s="10">
        <v>7.0000000000000007E-2</v>
      </c>
      <c r="H144" s="12">
        <f t="shared" si="12"/>
        <v>0.34276000000000001</v>
      </c>
      <c r="I144" s="12">
        <f t="shared" si="13"/>
        <v>1.9827600000000001</v>
      </c>
      <c r="J144" s="10"/>
      <c r="K144" s="10"/>
      <c r="L144" s="10"/>
      <c r="M144" s="10">
        <f>I144*830</f>
        <v>1645.6908000000001</v>
      </c>
      <c r="N144" s="10">
        <f>I144*1000</f>
        <v>1982.76</v>
      </c>
      <c r="O144" s="10"/>
      <c r="P144" s="10"/>
      <c r="Q144" s="28">
        <f t="shared" si="10"/>
        <v>17.287014061207611</v>
      </c>
    </row>
    <row r="145" spans="1:17" hidden="1" x14ac:dyDescent="0.25">
      <c r="A145" s="16">
        <v>45548</v>
      </c>
      <c r="B145" s="35" t="s">
        <v>150</v>
      </c>
      <c r="C145" s="34">
        <v>1550</v>
      </c>
      <c r="D145" s="11">
        <v>0.33900000000000002</v>
      </c>
      <c r="E145" s="10">
        <f t="shared" si="11"/>
        <v>1.55</v>
      </c>
      <c r="F145" s="10">
        <v>0.02</v>
      </c>
      <c r="G145" s="10">
        <v>7.0000000000000007E-2</v>
      </c>
      <c r="H145" s="12">
        <f t="shared" si="12"/>
        <v>0.55596000000000012</v>
      </c>
      <c r="I145" s="12">
        <f t="shared" si="13"/>
        <v>2.1959600000000004</v>
      </c>
      <c r="J145" s="10"/>
      <c r="K145" s="10"/>
      <c r="L145" s="10"/>
      <c r="M145" s="10"/>
      <c r="N145" s="10">
        <f>I145*1000</f>
        <v>2195.9600000000005</v>
      </c>
      <c r="O145" s="10"/>
      <c r="P145" s="10"/>
      <c r="Q145" s="28">
        <f t="shared" si="10"/>
        <v>25.317401045556387</v>
      </c>
    </row>
    <row r="146" spans="1:17" hidden="1" x14ac:dyDescent="0.25">
      <c r="A146" s="16">
        <v>45548</v>
      </c>
      <c r="B146" s="2" t="s">
        <v>85</v>
      </c>
      <c r="C146" s="10">
        <v>900</v>
      </c>
      <c r="D146" s="11">
        <v>0.26500000000000001</v>
      </c>
      <c r="E146" s="10">
        <f t="shared" si="11"/>
        <v>0.9</v>
      </c>
      <c r="F146" s="10">
        <v>0.02</v>
      </c>
      <c r="G146" s="10">
        <v>7.0000000000000007E-2</v>
      </c>
      <c r="H146" s="12">
        <f t="shared" si="12"/>
        <v>0.26235000000000003</v>
      </c>
      <c r="I146" s="12">
        <f t="shared" si="13"/>
        <v>1.2523500000000001</v>
      </c>
      <c r="J146" s="10"/>
      <c r="K146" s="10">
        <f>I146*300</f>
        <v>375.70500000000004</v>
      </c>
      <c r="L146" s="10"/>
      <c r="M146" s="10"/>
      <c r="N146" s="10"/>
      <c r="O146" s="10"/>
      <c r="P146" s="10"/>
      <c r="Q146" s="28">
        <f t="shared" si="10"/>
        <v>20.948616600790515</v>
      </c>
    </row>
    <row r="147" spans="1:17" x14ac:dyDescent="0.25">
      <c r="A147" s="16">
        <v>45549</v>
      </c>
      <c r="B147" s="2" t="s">
        <v>119</v>
      </c>
      <c r="C147" s="2">
        <v>600</v>
      </c>
      <c r="D147" s="11">
        <v>0.4</v>
      </c>
      <c r="E147" s="2">
        <f t="shared" si="11"/>
        <v>0.6</v>
      </c>
      <c r="F147" s="10">
        <v>0.02</v>
      </c>
      <c r="G147" s="10">
        <v>7.0000000000000007E-2</v>
      </c>
      <c r="H147" s="12">
        <f t="shared" si="12"/>
        <v>0.27599999999999997</v>
      </c>
      <c r="I147" s="12">
        <f t="shared" si="13"/>
        <v>0.96599999999999997</v>
      </c>
      <c r="J147" s="10"/>
      <c r="K147" s="10"/>
      <c r="L147" s="10"/>
      <c r="M147" s="10">
        <f>I147*750</f>
        <v>724.5</v>
      </c>
      <c r="N147" s="10"/>
      <c r="O147" s="10"/>
      <c r="P147" s="10"/>
      <c r="Q147" s="28">
        <f t="shared" si="10"/>
        <v>28.571428571428566</v>
      </c>
    </row>
    <row r="148" spans="1:17" x14ac:dyDescent="0.25">
      <c r="A148" s="16">
        <v>45549</v>
      </c>
      <c r="B148" s="2" t="s">
        <v>127</v>
      </c>
      <c r="C148" s="2">
        <v>600</v>
      </c>
      <c r="D148" s="11">
        <v>0.28999999999999998</v>
      </c>
      <c r="E148" s="2">
        <f t="shared" si="11"/>
        <v>0.6</v>
      </c>
      <c r="F148" s="10">
        <v>0.02</v>
      </c>
      <c r="G148" s="10">
        <v>7.0000000000000007E-2</v>
      </c>
      <c r="H148" s="12">
        <f t="shared" si="12"/>
        <v>0.20009999999999997</v>
      </c>
      <c r="I148" s="12">
        <f t="shared" si="13"/>
        <v>0.89009999999999989</v>
      </c>
      <c r="J148" s="10"/>
      <c r="K148" s="10"/>
      <c r="L148" s="10">
        <f>I148*500</f>
        <v>445.04999999999995</v>
      </c>
      <c r="M148" s="10"/>
      <c r="N148" s="10"/>
      <c r="O148" s="10"/>
      <c r="P148" s="10"/>
      <c r="Q148" s="28">
        <f t="shared" si="10"/>
        <v>22.480620155038757</v>
      </c>
    </row>
    <row r="149" spans="1:17" hidden="1" x14ac:dyDescent="0.25">
      <c r="A149" s="16">
        <v>45549</v>
      </c>
      <c r="B149" s="2" t="s">
        <v>98</v>
      </c>
      <c r="C149" s="2">
        <v>530</v>
      </c>
      <c r="D149" s="11">
        <v>0.34499999999999997</v>
      </c>
      <c r="E149" s="10">
        <f t="shared" si="11"/>
        <v>0.53</v>
      </c>
      <c r="F149" s="10">
        <v>0.02</v>
      </c>
      <c r="G149" s="10">
        <v>7.0000000000000007E-2</v>
      </c>
      <c r="H149" s="12">
        <f t="shared" si="12"/>
        <v>0.21390000000000001</v>
      </c>
      <c r="I149" s="12">
        <f t="shared" si="13"/>
        <v>0.83390000000000009</v>
      </c>
      <c r="J149" s="10"/>
      <c r="K149" s="10"/>
      <c r="L149" s="10"/>
      <c r="M149" s="10">
        <f>I149*750</f>
        <v>625.42500000000007</v>
      </c>
      <c r="N149" s="2"/>
      <c r="O149" s="10"/>
      <c r="P149" s="10"/>
      <c r="Q149" s="28">
        <f t="shared" si="10"/>
        <v>25.650557620817843</v>
      </c>
    </row>
    <row r="150" spans="1:17" hidden="1" x14ac:dyDescent="0.25">
      <c r="A150" s="16">
        <v>45549</v>
      </c>
      <c r="B150" s="35" t="s">
        <v>122</v>
      </c>
      <c r="C150" s="35">
        <v>530</v>
      </c>
      <c r="D150" s="11">
        <v>0.35</v>
      </c>
      <c r="E150" s="10">
        <f t="shared" si="11"/>
        <v>0.53</v>
      </c>
      <c r="F150" s="10">
        <v>0.02</v>
      </c>
      <c r="G150" s="10">
        <v>7.0000000000000007E-2</v>
      </c>
      <c r="H150" s="12">
        <f t="shared" si="12"/>
        <v>0.21700000000000003</v>
      </c>
      <c r="I150" s="12">
        <f t="shared" si="13"/>
        <v>0.83700000000000019</v>
      </c>
      <c r="J150" s="10"/>
      <c r="K150" s="10"/>
      <c r="L150" s="10">
        <f>I150*500</f>
        <v>418.50000000000011</v>
      </c>
      <c r="M150" s="10"/>
      <c r="N150" s="10"/>
      <c r="O150" s="10"/>
      <c r="P150" s="10"/>
      <c r="Q150" s="28">
        <f t="shared" si="10"/>
        <v>25.92592592592592</v>
      </c>
    </row>
    <row r="151" spans="1:17" hidden="1" x14ac:dyDescent="0.25">
      <c r="A151" s="16">
        <v>45549</v>
      </c>
      <c r="B151" s="35" t="s">
        <v>123</v>
      </c>
      <c r="C151" s="35">
        <v>1400</v>
      </c>
      <c r="D151" s="11">
        <v>0.2</v>
      </c>
      <c r="E151" s="10">
        <f t="shared" si="11"/>
        <v>1.4</v>
      </c>
      <c r="F151" s="10">
        <v>0.02</v>
      </c>
      <c r="G151" s="10">
        <v>7.0000000000000007E-2</v>
      </c>
      <c r="H151" s="12">
        <f t="shared" si="12"/>
        <v>0.29799999999999999</v>
      </c>
      <c r="I151" s="12">
        <f t="shared" si="13"/>
        <v>1.788</v>
      </c>
      <c r="J151" s="10"/>
      <c r="K151" s="10"/>
      <c r="L151" s="10">
        <f>I151*600</f>
        <v>1072.8</v>
      </c>
      <c r="M151" s="10"/>
      <c r="N151" s="10"/>
      <c r="O151" s="10"/>
      <c r="P151" s="10"/>
      <c r="Q151" s="28">
        <f t="shared" si="10"/>
        <v>16.666666666666664</v>
      </c>
    </row>
    <row r="152" spans="1:17" hidden="1" x14ac:dyDescent="0.25">
      <c r="A152" s="16">
        <v>45549</v>
      </c>
      <c r="B152" s="2" t="s">
        <v>149</v>
      </c>
      <c r="C152" s="2">
        <v>1400</v>
      </c>
      <c r="D152" s="11">
        <v>0.33</v>
      </c>
      <c r="E152" s="10">
        <f t="shared" si="11"/>
        <v>1.4</v>
      </c>
      <c r="F152" s="10">
        <v>0.02</v>
      </c>
      <c r="G152" s="10">
        <v>7.0000000000000007E-2</v>
      </c>
      <c r="H152" s="12">
        <f t="shared" si="12"/>
        <v>0.49170000000000003</v>
      </c>
      <c r="I152" s="12">
        <f t="shared" si="13"/>
        <v>1.9817</v>
      </c>
      <c r="J152" s="10"/>
      <c r="K152" s="10"/>
      <c r="L152" s="10"/>
      <c r="M152" s="10">
        <f>I152*830</f>
        <v>1644.8109999999999</v>
      </c>
      <c r="N152" s="10">
        <f>I152*1000</f>
        <v>1981.7</v>
      </c>
      <c r="O152" s="10"/>
      <c r="P152" s="10"/>
      <c r="Q152" s="28">
        <f t="shared" si="10"/>
        <v>24.81203007518797</v>
      </c>
    </row>
    <row r="153" spans="1:17" hidden="1" x14ac:dyDescent="0.25">
      <c r="A153" s="16">
        <v>45549</v>
      </c>
      <c r="B153" s="2" t="s">
        <v>139</v>
      </c>
      <c r="C153" s="10">
        <v>1300</v>
      </c>
      <c r="D153" s="11">
        <v>0.22500000000000001</v>
      </c>
      <c r="E153" s="10">
        <f t="shared" si="11"/>
        <v>1.3</v>
      </c>
      <c r="F153" s="10">
        <v>0.02</v>
      </c>
      <c r="G153" s="10">
        <v>7.0000000000000007E-2</v>
      </c>
      <c r="H153" s="12">
        <f t="shared" si="12"/>
        <v>0.31275000000000003</v>
      </c>
      <c r="I153" s="12">
        <f t="shared" si="13"/>
        <v>1.7027500000000002</v>
      </c>
      <c r="J153" s="10"/>
      <c r="K153" s="10">
        <f>I153*350</f>
        <v>595.96250000000009</v>
      </c>
      <c r="L153" s="10"/>
      <c r="M153" s="10"/>
      <c r="N153" s="10"/>
      <c r="O153" s="10"/>
      <c r="P153" s="10"/>
      <c r="Q153" s="28">
        <f t="shared" si="10"/>
        <v>18.367346938775512</v>
      </c>
    </row>
    <row r="154" spans="1:17" hidden="1" x14ac:dyDescent="0.25">
      <c r="A154" s="16">
        <v>45550</v>
      </c>
      <c r="B154" s="2" t="s">
        <v>84</v>
      </c>
      <c r="C154" s="2">
        <v>600</v>
      </c>
      <c r="D154" s="11">
        <v>0.14499999999999999</v>
      </c>
      <c r="E154" s="2">
        <f t="shared" si="11"/>
        <v>0.6</v>
      </c>
      <c r="F154" s="10">
        <v>0.02</v>
      </c>
      <c r="G154" s="10">
        <v>7.0000000000000007E-2</v>
      </c>
      <c r="H154" s="12">
        <f t="shared" si="12"/>
        <v>0.10004999999999999</v>
      </c>
      <c r="I154" s="12">
        <f t="shared" si="13"/>
        <v>0.79004999999999992</v>
      </c>
      <c r="J154" s="2"/>
      <c r="K154" s="2"/>
      <c r="L154" s="2">
        <f>I154*500</f>
        <v>395.02499999999998</v>
      </c>
      <c r="M154" s="2"/>
      <c r="N154" s="2"/>
      <c r="O154" s="2"/>
      <c r="P154" s="2"/>
      <c r="Q154" s="28">
        <f t="shared" si="10"/>
        <v>12.663755458515283</v>
      </c>
    </row>
    <row r="155" spans="1:17" x14ac:dyDescent="0.25">
      <c r="A155" s="16">
        <v>45552</v>
      </c>
      <c r="B155" s="2" t="s">
        <v>119</v>
      </c>
      <c r="C155" s="2">
        <v>600</v>
      </c>
      <c r="D155" s="11">
        <v>0.40100000000000002</v>
      </c>
      <c r="E155" s="2">
        <f t="shared" si="11"/>
        <v>0.6</v>
      </c>
      <c r="F155" s="10">
        <v>0.02</v>
      </c>
      <c r="G155" s="10">
        <v>7.0000000000000007E-2</v>
      </c>
      <c r="H155" s="12">
        <f t="shared" si="12"/>
        <v>0.27668999999999999</v>
      </c>
      <c r="I155" s="12">
        <f t="shared" si="13"/>
        <v>0.96668999999999994</v>
      </c>
      <c r="J155" s="10"/>
      <c r="K155" s="10"/>
      <c r="L155" s="10"/>
      <c r="M155" s="10">
        <f>I155*750</f>
        <v>725.01749999999993</v>
      </c>
      <c r="N155" s="10"/>
      <c r="O155" s="10"/>
      <c r="P155" s="10"/>
      <c r="Q155" s="28">
        <f t="shared" si="10"/>
        <v>28.622412562455391</v>
      </c>
    </row>
    <row r="156" spans="1:17" hidden="1" x14ac:dyDescent="0.25">
      <c r="A156" s="16">
        <v>45552</v>
      </c>
      <c r="B156" s="2" t="s">
        <v>144</v>
      </c>
      <c r="C156" s="10">
        <v>600</v>
      </c>
      <c r="D156" s="11">
        <v>0.14799999999999999</v>
      </c>
      <c r="E156" s="2">
        <f t="shared" si="11"/>
        <v>0.6</v>
      </c>
      <c r="F156" s="10">
        <v>0.02</v>
      </c>
      <c r="G156" s="10">
        <v>7.0000000000000007E-2</v>
      </c>
      <c r="H156" s="12">
        <f t="shared" si="12"/>
        <v>0.10211999999999999</v>
      </c>
      <c r="I156" s="12">
        <f t="shared" si="13"/>
        <v>0.79211999999999994</v>
      </c>
      <c r="J156" s="2"/>
      <c r="K156" s="2"/>
      <c r="L156" s="10">
        <f>I156*600</f>
        <v>475.27199999999993</v>
      </c>
      <c r="M156" s="2"/>
      <c r="N156" s="2"/>
      <c r="O156" s="2"/>
      <c r="P156" s="2"/>
      <c r="Q156" s="28">
        <f t="shared" si="10"/>
        <v>12.89198606271777</v>
      </c>
    </row>
    <row r="157" spans="1:17" hidden="1" x14ac:dyDescent="0.25">
      <c r="A157" s="16">
        <v>45552</v>
      </c>
      <c r="B157" s="2" t="s">
        <v>109</v>
      </c>
      <c r="C157" s="2">
        <v>550</v>
      </c>
      <c r="D157" s="11">
        <v>0.4</v>
      </c>
      <c r="E157" s="2">
        <f t="shared" si="11"/>
        <v>0.55000000000000004</v>
      </c>
      <c r="F157" s="10">
        <v>0.02</v>
      </c>
      <c r="G157" s="10">
        <v>7.0000000000000007E-2</v>
      </c>
      <c r="H157" s="12">
        <f t="shared" si="12"/>
        <v>0.25600000000000006</v>
      </c>
      <c r="I157" s="12">
        <f t="shared" si="13"/>
        <v>0.89600000000000013</v>
      </c>
      <c r="J157" s="2"/>
      <c r="K157" s="2"/>
      <c r="L157" s="2"/>
      <c r="M157" s="2"/>
      <c r="N157" s="2">
        <f>I157*1000</f>
        <v>896.00000000000011</v>
      </c>
      <c r="O157" s="2"/>
      <c r="P157" s="2"/>
      <c r="Q157" s="28">
        <f t="shared" si="10"/>
        <v>28.571428571428577</v>
      </c>
    </row>
    <row r="158" spans="1:17" hidden="1" x14ac:dyDescent="0.25">
      <c r="A158" s="16">
        <v>45552</v>
      </c>
      <c r="B158" s="2" t="s">
        <v>98</v>
      </c>
      <c r="C158" s="2">
        <v>550</v>
      </c>
      <c r="D158" s="11">
        <v>0.40699999999999997</v>
      </c>
      <c r="E158" s="2">
        <f t="shared" si="11"/>
        <v>0.55000000000000004</v>
      </c>
      <c r="F158" s="10">
        <v>0.02</v>
      </c>
      <c r="G158" s="10">
        <v>7.0000000000000007E-2</v>
      </c>
      <c r="H158" s="12">
        <f t="shared" si="12"/>
        <v>0.26048000000000004</v>
      </c>
      <c r="I158" s="12">
        <f t="shared" si="13"/>
        <v>0.90048000000000017</v>
      </c>
      <c r="J158" s="2"/>
      <c r="K158" s="2"/>
      <c r="L158" s="2"/>
      <c r="M158" s="2">
        <f>I158*750</f>
        <v>675.36000000000013</v>
      </c>
      <c r="N158" s="2"/>
      <c r="O158" s="2"/>
      <c r="P158" s="2"/>
      <c r="Q158" s="28">
        <f t="shared" si="10"/>
        <v>28.926794598436388</v>
      </c>
    </row>
    <row r="159" spans="1:17" hidden="1" x14ac:dyDescent="0.25">
      <c r="A159" s="16">
        <v>45552</v>
      </c>
      <c r="B159" s="2" t="s">
        <v>122</v>
      </c>
      <c r="C159" s="2">
        <v>550</v>
      </c>
      <c r="D159" s="11">
        <v>0.39</v>
      </c>
      <c r="E159" s="2">
        <f t="shared" si="11"/>
        <v>0.55000000000000004</v>
      </c>
      <c r="F159" s="10">
        <v>0.02</v>
      </c>
      <c r="G159" s="10">
        <v>7.0000000000000007E-2</v>
      </c>
      <c r="H159" s="12">
        <f t="shared" si="12"/>
        <v>0.24960000000000004</v>
      </c>
      <c r="I159" s="12">
        <f t="shared" si="13"/>
        <v>0.88960000000000017</v>
      </c>
      <c r="J159" s="2"/>
      <c r="K159" s="2"/>
      <c r="L159" s="2">
        <f>I159*500</f>
        <v>444.80000000000007</v>
      </c>
      <c r="M159" s="2"/>
      <c r="N159" s="2"/>
      <c r="O159" s="2"/>
      <c r="P159" s="2"/>
      <c r="Q159" s="28">
        <f t="shared" si="10"/>
        <v>28.057553956834532</v>
      </c>
    </row>
    <row r="160" spans="1:17" hidden="1" x14ac:dyDescent="0.25">
      <c r="A160" s="16">
        <v>45552</v>
      </c>
      <c r="B160" s="2" t="s">
        <v>123</v>
      </c>
      <c r="C160" s="2">
        <v>1250</v>
      </c>
      <c r="D160" s="11">
        <v>0.4</v>
      </c>
      <c r="E160" s="2">
        <f t="shared" si="11"/>
        <v>1.25</v>
      </c>
      <c r="F160" s="10">
        <v>0.02</v>
      </c>
      <c r="G160" s="10">
        <v>7.0000000000000007E-2</v>
      </c>
      <c r="H160" s="12">
        <f t="shared" si="12"/>
        <v>0.53600000000000003</v>
      </c>
      <c r="I160" s="12">
        <f t="shared" si="13"/>
        <v>1.8760000000000001</v>
      </c>
      <c r="J160" s="2"/>
      <c r="K160" s="2"/>
      <c r="L160" s="2">
        <f>I160*500</f>
        <v>938</v>
      </c>
      <c r="M160" s="2"/>
      <c r="N160" s="2"/>
      <c r="O160" s="2"/>
      <c r="P160" s="2"/>
      <c r="Q160" s="28">
        <f t="shared" si="10"/>
        <v>28.571428571428569</v>
      </c>
    </row>
    <row r="161" spans="1:17" hidden="1" x14ac:dyDescent="0.25">
      <c r="A161" s="16">
        <v>45552</v>
      </c>
      <c r="B161" s="2" t="s">
        <v>149</v>
      </c>
      <c r="C161" s="2">
        <v>1450</v>
      </c>
      <c r="D161" s="11">
        <v>0.38100000000000001</v>
      </c>
      <c r="E161" s="2">
        <f t="shared" si="11"/>
        <v>1.45</v>
      </c>
      <c r="F161" s="10">
        <v>0.02</v>
      </c>
      <c r="G161" s="10">
        <v>7.0000000000000007E-2</v>
      </c>
      <c r="H161" s="12">
        <f t="shared" si="12"/>
        <v>0.58674000000000004</v>
      </c>
      <c r="I161" s="12">
        <f t="shared" si="13"/>
        <v>2.1267399999999999</v>
      </c>
      <c r="J161" s="2"/>
      <c r="K161" s="2"/>
      <c r="L161" s="2"/>
      <c r="M161" s="2">
        <f>I161*750</f>
        <v>1595.0549999999998</v>
      </c>
      <c r="N161" s="2" t="s">
        <v>72</v>
      </c>
      <c r="O161" s="2"/>
      <c r="P161" s="2"/>
      <c r="Q161" s="28">
        <f t="shared" si="10"/>
        <v>27.5887038377987</v>
      </c>
    </row>
    <row r="162" spans="1:17" hidden="1" x14ac:dyDescent="0.25">
      <c r="A162" s="16">
        <v>45552</v>
      </c>
      <c r="B162" s="2" t="s">
        <v>101</v>
      </c>
      <c r="C162" s="10">
        <v>180</v>
      </c>
      <c r="D162" s="11">
        <v>4.4999999999999998E-2</v>
      </c>
      <c r="E162" s="10">
        <f t="shared" si="11"/>
        <v>0.18</v>
      </c>
      <c r="F162" s="10">
        <v>0.02</v>
      </c>
      <c r="G162" s="10">
        <v>7.0000000000000007E-2</v>
      </c>
      <c r="H162" s="12">
        <f t="shared" si="12"/>
        <v>1.2150000000000001E-2</v>
      </c>
      <c r="I162" s="12">
        <f t="shared" si="13"/>
        <v>0.28215000000000001</v>
      </c>
      <c r="J162" s="10"/>
      <c r="K162" s="10"/>
      <c r="L162" s="10"/>
      <c r="M162" s="10"/>
      <c r="N162" s="10">
        <f>I162*1000</f>
        <v>282.15000000000003</v>
      </c>
      <c r="O162" s="10"/>
      <c r="P162" s="10">
        <f>I162*1400</f>
        <v>395.01</v>
      </c>
      <c r="Q162" s="28">
        <f t="shared" si="10"/>
        <v>4.3062200956937797</v>
      </c>
    </row>
    <row r="163" spans="1:17" hidden="1" x14ac:dyDescent="0.25">
      <c r="A163" s="16">
        <v>45552</v>
      </c>
      <c r="B163" s="2" t="s">
        <v>139</v>
      </c>
      <c r="C163" s="2">
        <v>1200</v>
      </c>
      <c r="D163" s="11">
        <v>0.48499999999999999</v>
      </c>
      <c r="E163" s="2">
        <f t="shared" si="11"/>
        <v>1.2</v>
      </c>
      <c r="F163" s="10">
        <v>0.02</v>
      </c>
      <c r="G163" s="10">
        <v>7.0000000000000007E-2</v>
      </c>
      <c r="H163" s="12">
        <f t="shared" si="12"/>
        <v>0.62565000000000004</v>
      </c>
      <c r="I163" s="12">
        <f t="shared" si="13"/>
        <v>1.9156500000000001</v>
      </c>
      <c r="J163" s="2"/>
      <c r="K163" s="2">
        <f>I163*300</f>
        <v>574.69500000000005</v>
      </c>
      <c r="L163" s="2"/>
      <c r="M163" s="2"/>
      <c r="N163" s="2"/>
      <c r="O163" s="2"/>
      <c r="P163" s="2"/>
      <c r="Q163" s="28">
        <f t="shared" si="10"/>
        <v>32.659932659932664</v>
      </c>
    </row>
    <row r="164" spans="1:17" hidden="1" x14ac:dyDescent="0.25">
      <c r="A164" s="16">
        <v>45552</v>
      </c>
      <c r="B164" s="2" t="s">
        <v>85</v>
      </c>
      <c r="C164" s="2">
        <v>850</v>
      </c>
      <c r="D164" s="11">
        <v>0.33</v>
      </c>
      <c r="E164" s="2">
        <f t="shared" si="11"/>
        <v>0.85</v>
      </c>
      <c r="F164" s="10">
        <v>0.02</v>
      </c>
      <c r="G164" s="10">
        <v>7.0000000000000007E-2</v>
      </c>
      <c r="H164" s="12">
        <f t="shared" si="12"/>
        <v>0.31019999999999998</v>
      </c>
      <c r="I164" s="12">
        <f t="shared" si="13"/>
        <v>1.2502</v>
      </c>
      <c r="J164" s="2"/>
      <c r="K164" s="2">
        <f>I164*300</f>
        <v>375.06</v>
      </c>
      <c r="L164" s="2"/>
      <c r="M164" s="2"/>
      <c r="N164" s="2"/>
      <c r="O164" s="2"/>
      <c r="P164" s="2"/>
      <c r="Q164" s="28">
        <f t="shared" si="10"/>
        <v>24.81203007518797</v>
      </c>
    </row>
    <row r="165" spans="1:17" hidden="1" x14ac:dyDescent="0.25">
      <c r="A165" s="16">
        <v>45552</v>
      </c>
      <c r="B165" s="2" t="s">
        <v>96</v>
      </c>
      <c r="C165" s="2">
        <v>1650</v>
      </c>
      <c r="D165" s="11">
        <v>0.25800000000000001</v>
      </c>
      <c r="E165" s="2">
        <f t="shared" si="11"/>
        <v>1.65</v>
      </c>
      <c r="F165" s="10">
        <v>0.02</v>
      </c>
      <c r="G165" s="10">
        <v>7.0000000000000007E-2</v>
      </c>
      <c r="H165" s="12">
        <f t="shared" si="12"/>
        <v>0.44891999999999999</v>
      </c>
      <c r="I165" s="12">
        <f t="shared" si="13"/>
        <v>2.18892</v>
      </c>
      <c r="J165" s="2"/>
      <c r="K165" s="2"/>
      <c r="L165" s="2">
        <f>I165*500</f>
        <v>1094.46</v>
      </c>
      <c r="M165" s="2"/>
      <c r="N165" s="2"/>
      <c r="O165" s="2"/>
      <c r="P165" s="2"/>
      <c r="Q165" s="28">
        <f t="shared" ref="Q165:Q228" si="14">H165/I165%</f>
        <v>20.5087440381558</v>
      </c>
    </row>
    <row r="166" spans="1:17" hidden="1" x14ac:dyDescent="0.25">
      <c r="A166" s="16">
        <v>45553</v>
      </c>
      <c r="B166" s="2" t="s">
        <v>101</v>
      </c>
      <c r="C166" s="10">
        <v>180</v>
      </c>
      <c r="D166" s="11">
        <v>4.4999999999999998E-2</v>
      </c>
      <c r="E166" s="10">
        <f t="shared" si="11"/>
        <v>0.18</v>
      </c>
      <c r="F166" s="10">
        <v>0.02</v>
      </c>
      <c r="G166" s="10">
        <v>7.0000000000000007E-2</v>
      </c>
      <c r="H166" s="12">
        <f t="shared" si="12"/>
        <v>1.2150000000000001E-2</v>
      </c>
      <c r="I166" s="12">
        <f t="shared" si="13"/>
        <v>0.28215000000000001</v>
      </c>
      <c r="J166" s="10"/>
      <c r="K166" s="10"/>
      <c r="L166" s="10"/>
      <c r="M166" s="10"/>
      <c r="N166" s="10">
        <f>I166*1000</f>
        <v>282.15000000000003</v>
      </c>
      <c r="O166" s="10"/>
      <c r="P166" s="10">
        <f>I166*1400</f>
        <v>395.01</v>
      </c>
      <c r="Q166" s="28">
        <f t="shared" si="14"/>
        <v>4.3062200956937797</v>
      </c>
    </row>
    <row r="167" spans="1:17" x14ac:dyDescent="0.25">
      <c r="A167" s="16">
        <v>45554</v>
      </c>
      <c r="B167" s="2" t="s">
        <v>119</v>
      </c>
      <c r="C167" s="2">
        <v>650</v>
      </c>
      <c r="D167" s="11">
        <v>0.34399999999999997</v>
      </c>
      <c r="E167" s="2">
        <f t="shared" si="11"/>
        <v>0.65</v>
      </c>
      <c r="F167" s="10">
        <v>0.02</v>
      </c>
      <c r="G167" s="10">
        <v>7.0000000000000007E-2</v>
      </c>
      <c r="H167" s="12">
        <f t="shared" si="12"/>
        <v>0.25455999999999995</v>
      </c>
      <c r="I167" s="12">
        <f t="shared" si="13"/>
        <v>0.99455999999999989</v>
      </c>
      <c r="J167" s="10"/>
      <c r="K167" s="10"/>
      <c r="L167" s="10"/>
      <c r="M167" s="10">
        <f>I167*750</f>
        <v>745.92</v>
      </c>
      <c r="N167" s="10"/>
      <c r="O167" s="10"/>
      <c r="P167" s="10"/>
      <c r="Q167" s="28">
        <f t="shared" si="14"/>
        <v>25.595238095238095</v>
      </c>
    </row>
    <row r="168" spans="1:17" x14ac:dyDescent="0.25">
      <c r="A168" s="16">
        <v>45554</v>
      </c>
      <c r="B168" s="2" t="s">
        <v>127</v>
      </c>
      <c r="C168" s="2">
        <v>650</v>
      </c>
      <c r="D168" s="11">
        <v>0.28499999999999998</v>
      </c>
      <c r="E168" s="2">
        <f t="shared" si="11"/>
        <v>0.65</v>
      </c>
      <c r="F168" s="10">
        <v>0.02</v>
      </c>
      <c r="G168" s="10">
        <v>7.0000000000000007E-2</v>
      </c>
      <c r="H168" s="12">
        <f t="shared" si="12"/>
        <v>0.21089999999999998</v>
      </c>
      <c r="I168" s="12">
        <f t="shared" si="13"/>
        <v>0.95089999999999997</v>
      </c>
      <c r="J168" s="10"/>
      <c r="K168" s="10"/>
      <c r="L168" s="10">
        <f>I168*500</f>
        <v>475.45</v>
      </c>
      <c r="M168" s="10"/>
      <c r="N168" s="10"/>
      <c r="O168" s="10"/>
      <c r="P168" s="10"/>
      <c r="Q168" s="28">
        <f t="shared" si="14"/>
        <v>22.178988326848245</v>
      </c>
    </row>
    <row r="169" spans="1:17" hidden="1" x14ac:dyDescent="0.25">
      <c r="A169" s="16">
        <v>45554</v>
      </c>
      <c r="B169" s="2" t="s">
        <v>123</v>
      </c>
      <c r="C169" s="2">
        <v>1250</v>
      </c>
      <c r="D169" s="11">
        <v>0.35</v>
      </c>
      <c r="E169" s="2">
        <f t="shared" si="11"/>
        <v>1.25</v>
      </c>
      <c r="F169" s="10">
        <v>0.02</v>
      </c>
      <c r="G169" s="10">
        <v>7.0000000000000007E-2</v>
      </c>
      <c r="H169" s="12">
        <f t="shared" si="12"/>
        <v>0.46899999999999997</v>
      </c>
      <c r="I169" s="12">
        <f t="shared" si="13"/>
        <v>1.8090000000000002</v>
      </c>
      <c r="J169" s="2"/>
      <c r="K169" s="2"/>
      <c r="L169" s="2">
        <f>I169*550</f>
        <v>994.95</v>
      </c>
      <c r="M169" s="2"/>
      <c r="N169" s="2"/>
      <c r="O169" s="2"/>
      <c r="P169" s="2"/>
      <c r="Q169" s="28">
        <f t="shared" si="14"/>
        <v>25.92592592592592</v>
      </c>
    </row>
    <row r="170" spans="1:17" hidden="1" x14ac:dyDescent="0.25">
      <c r="A170" s="16">
        <v>45554</v>
      </c>
      <c r="B170" s="2" t="s">
        <v>149</v>
      </c>
      <c r="C170" s="2">
        <v>1450</v>
      </c>
      <c r="D170" s="11">
        <v>0.32100000000000001</v>
      </c>
      <c r="E170" s="2">
        <f t="shared" si="11"/>
        <v>1.45</v>
      </c>
      <c r="F170" s="10">
        <v>0.02</v>
      </c>
      <c r="G170" s="10">
        <v>7.0000000000000007E-2</v>
      </c>
      <c r="H170" s="12">
        <f t="shared" si="12"/>
        <v>0.49434</v>
      </c>
      <c r="I170" s="12">
        <f t="shared" si="13"/>
        <v>2.0343400000000003</v>
      </c>
      <c r="J170" s="2"/>
      <c r="K170" s="2"/>
      <c r="L170" s="2"/>
      <c r="M170" s="2">
        <f>I170*750</f>
        <v>1525.7550000000001</v>
      </c>
      <c r="N170" s="2"/>
      <c r="O170" s="2"/>
      <c r="P170" s="2"/>
      <c r="Q170" s="28">
        <f t="shared" si="14"/>
        <v>24.299772899318697</v>
      </c>
    </row>
    <row r="171" spans="1:17" hidden="1" x14ac:dyDescent="0.25">
      <c r="A171" s="16">
        <v>45554</v>
      </c>
      <c r="B171" s="2" t="s">
        <v>139</v>
      </c>
      <c r="C171" s="2">
        <v>1250</v>
      </c>
      <c r="D171" s="11">
        <v>0.43</v>
      </c>
      <c r="E171" s="2">
        <f t="shared" si="11"/>
        <v>1.25</v>
      </c>
      <c r="F171" s="10">
        <v>0.02</v>
      </c>
      <c r="G171" s="10">
        <v>7.0000000000000007E-2</v>
      </c>
      <c r="H171" s="12">
        <f t="shared" si="12"/>
        <v>0.57620000000000005</v>
      </c>
      <c r="I171" s="12">
        <f t="shared" si="13"/>
        <v>1.9162000000000001</v>
      </c>
      <c r="J171" s="2"/>
      <c r="K171" s="2">
        <f>I171*300</f>
        <v>574.86</v>
      </c>
      <c r="L171" s="2"/>
      <c r="M171" s="2"/>
      <c r="N171" s="2"/>
      <c r="O171" s="2"/>
      <c r="P171" s="2"/>
      <c r="Q171" s="28">
        <f t="shared" si="14"/>
        <v>30.06993006993007</v>
      </c>
    </row>
    <row r="172" spans="1:17" hidden="1" x14ac:dyDescent="0.25">
      <c r="A172" s="16">
        <v>45554</v>
      </c>
      <c r="B172" s="2" t="s">
        <v>85</v>
      </c>
      <c r="C172" s="10">
        <v>800</v>
      </c>
      <c r="D172" s="11">
        <v>0.40500000000000003</v>
      </c>
      <c r="E172" s="10">
        <f t="shared" si="11"/>
        <v>0.8</v>
      </c>
      <c r="F172" s="10">
        <v>0.02</v>
      </c>
      <c r="G172" s="10">
        <v>7.0000000000000007E-2</v>
      </c>
      <c r="H172" s="12">
        <f t="shared" si="12"/>
        <v>0.36045000000000005</v>
      </c>
      <c r="I172" s="12">
        <f t="shared" si="13"/>
        <v>1.2504500000000003</v>
      </c>
      <c r="J172" s="10"/>
      <c r="K172" s="10">
        <f>I172*300</f>
        <v>375.1350000000001</v>
      </c>
      <c r="L172" s="10"/>
      <c r="M172" s="10"/>
      <c r="N172" s="10"/>
      <c r="O172" s="10"/>
      <c r="P172" s="10"/>
      <c r="Q172" s="28">
        <f t="shared" si="14"/>
        <v>28.825622775800706</v>
      </c>
    </row>
    <row r="173" spans="1:17" hidden="1" x14ac:dyDescent="0.25">
      <c r="A173" s="16">
        <v>45555</v>
      </c>
      <c r="B173" s="2" t="s">
        <v>135</v>
      </c>
      <c r="C173" s="10">
        <v>830</v>
      </c>
      <c r="D173" s="11">
        <v>8.2000000000000003E-2</v>
      </c>
      <c r="E173" s="10">
        <f t="shared" si="11"/>
        <v>0.83</v>
      </c>
      <c r="F173" s="10">
        <v>0.02</v>
      </c>
      <c r="G173" s="10">
        <v>7.0000000000000007E-2</v>
      </c>
      <c r="H173" s="12">
        <f t="shared" si="12"/>
        <v>7.5439999999999993E-2</v>
      </c>
      <c r="I173" s="12">
        <f t="shared" si="13"/>
        <v>0.99543999999999988</v>
      </c>
      <c r="J173" s="10"/>
      <c r="K173" s="10"/>
      <c r="L173" s="10"/>
      <c r="M173" s="10"/>
      <c r="N173" s="10">
        <f>I173*1000</f>
        <v>995.43999999999983</v>
      </c>
      <c r="O173" s="10"/>
      <c r="P173" s="10"/>
      <c r="Q173" s="28">
        <f t="shared" si="14"/>
        <v>7.5785582255083179</v>
      </c>
    </row>
    <row r="174" spans="1:17" hidden="1" x14ac:dyDescent="0.25">
      <c r="A174" s="16">
        <v>45555</v>
      </c>
      <c r="B174" s="2" t="s">
        <v>84</v>
      </c>
      <c r="C174" s="10">
        <v>650</v>
      </c>
      <c r="D174" s="11">
        <v>0.20499999999999999</v>
      </c>
      <c r="E174" s="2">
        <f t="shared" si="11"/>
        <v>0.65</v>
      </c>
      <c r="F174" s="10">
        <v>0.02</v>
      </c>
      <c r="G174" s="10">
        <v>7.0000000000000007E-2</v>
      </c>
      <c r="H174" s="12">
        <f t="shared" si="12"/>
        <v>0.1517</v>
      </c>
      <c r="I174" s="12">
        <f t="shared" si="13"/>
        <v>0.89169999999999994</v>
      </c>
      <c r="J174" s="10"/>
      <c r="K174" s="10"/>
      <c r="L174" s="10">
        <f>I174*500</f>
        <v>445.84999999999997</v>
      </c>
      <c r="M174" s="10"/>
      <c r="N174" s="10"/>
      <c r="O174" s="10"/>
      <c r="P174" s="10"/>
      <c r="Q174" s="28">
        <f t="shared" si="14"/>
        <v>17.012448132780083</v>
      </c>
    </row>
    <row r="175" spans="1:17" hidden="1" x14ac:dyDescent="0.25">
      <c r="A175" s="16">
        <v>45555</v>
      </c>
      <c r="B175" s="2" t="s">
        <v>100</v>
      </c>
      <c r="C175" s="2">
        <v>600</v>
      </c>
      <c r="D175" s="11">
        <v>0.14499999999999999</v>
      </c>
      <c r="E175" s="2">
        <f t="shared" si="11"/>
        <v>0.6</v>
      </c>
      <c r="F175" s="10">
        <v>0.02</v>
      </c>
      <c r="G175" s="10">
        <v>7.0000000000000007E-2</v>
      </c>
      <c r="H175" s="12">
        <f t="shared" si="12"/>
        <v>0.10004999999999999</v>
      </c>
      <c r="I175" s="12">
        <f t="shared" si="13"/>
        <v>0.79004999999999992</v>
      </c>
      <c r="J175" s="2"/>
      <c r="K175" s="2"/>
      <c r="L175" s="2">
        <f>I175*500</f>
        <v>395.02499999999998</v>
      </c>
      <c r="M175" s="2"/>
      <c r="N175" s="2"/>
      <c r="O175" s="2"/>
      <c r="P175" s="2"/>
      <c r="Q175" s="28">
        <f t="shared" si="14"/>
        <v>12.663755458515283</v>
      </c>
    </row>
    <row r="176" spans="1:17" hidden="1" x14ac:dyDescent="0.25">
      <c r="A176" s="16">
        <v>45555</v>
      </c>
      <c r="B176" s="2" t="s">
        <v>96</v>
      </c>
      <c r="C176" s="2">
        <v>1150</v>
      </c>
      <c r="D176" s="11">
        <v>0.76700000000000002</v>
      </c>
      <c r="E176" s="2">
        <f t="shared" si="11"/>
        <v>1.1499999999999999</v>
      </c>
      <c r="F176" s="10">
        <v>0.02</v>
      </c>
      <c r="G176" s="10">
        <v>7.0000000000000007E-2</v>
      </c>
      <c r="H176" s="12">
        <f t="shared" si="12"/>
        <v>0.95108000000000004</v>
      </c>
      <c r="I176" s="12">
        <f t="shared" si="13"/>
        <v>2.1910799999999999</v>
      </c>
      <c r="J176" s="2"/>
      <c r="K176" s="2"/>
      <c r="L176" s="2">
        <f>I176*500</f>
        <v>1095.54</v>
      </c>
      <c r="M176" s="2"/>
      <c r="N176" s="2"/>
      <c r="O176" s="2"/>
      <c r="P176" s="2"/>
      <c r="Q176" s="28">
        <f t="shared" si="14"/>
        <v>43.406904357668374</v>
      </c>
    </row>
    <row r="177" spans="1:17" hidden="1" x14ac:dyDescent="0.25">
      <c r="A177" s="16">
        <v>45556</v>
      </c>
      <c r="B177" s="2" t="s">
        <v>100</v>
      </c>
      <c r="C177" s="2">
        <v>400</v>
      </c>
      <c r="D177" s="11">
        <v>0.20799999999999999</v>
      </c>
      <c r="E177" s="2">
        <f t="shared" si="11"/>
        <v>0.4</v>
      </c>
      <c r="F177" s="10">
        <v>0.02</v>
      </c>
      <c r="G177" s="10">
        <v>7.0000000000000007E-2</v>
      </c>
      <c r="H177" s="12">
        <f t="shared" si="12"/>
        <v>0.10192000000000001</v>
      </c>
      <c r="I177" s="12">
        <f t="shared" si="13"/>
        <v>0.59192</v>
      </c>
      <c r="J177" s="2"/>
      <c r="K177" s="2"/>
      <c r="L177" s="2">
        <f>I177*500</f>
        <v>295.95999999999998</v>
      </c>
      <c r="M177" s="2"/>
      <c r="N177" s="2"/>
      <c r="O177" s="2"/>
      <c r="P177" s="2"/>
      <c r="Q177" s="28">
        <f t="shared" si="14"/>
        <v>17.218543046357617</v>
      </c>
    </row>
    <row r="178" spans="1:17" x14ac:dyDescent="0.25">
      <c r="A178" s="16">
        <v>45557</v>
      </c>
      <c r="B178" s="2" t="s">
        <v>136</v>
      </c>
      <c r="C178" s="10">
        <v>750</v>
      </c>
      <c r="D178" s="11">
        <v>0.185</v>
      </c>
      <c r="E178" s="10">
        <f t="shared" si="11"/>
        <v>0.75</v>
      </c>
      <c r="F178" s="10">
        <v>0.02</v>
      </c>
      <c r="G178" s="10">
        <v>7.0000000000000007E-2</v>
      </c>
      <c r="H178" s="12">
        <f t="shared" si="12"/>
        <v>0.15540000000000001</v>
      </c>
      <c r="I178" s="12">
        <f t="shared" si="13"/>
        <v>0.99540000000000006</v>
      </c>
      <c r="J178" s="10"/>
      <c r="K178" s="10"/>
      <c r="L178" s="10"/>
      <c r="M178" s="10"/>
      <c r="N178" s="10">
        <f>I178*1000</f>
        <v>995.40000000000009</v>
      </c>
      <c r="O178" s="10"/>
      <c r="P178" s="10"/>
      <c r="Q178" s="28">
        <f t="shared" si="14"/>
        <v>15.61181434599156</v>
      </c>
    </row>
    <row r="179" spans="1:17" hidden="1" x14ac:dyDescent="0.25">
      <c r="A179" s="16">
        <v>45557</v>
      </c>
      <c r="B179" s="2" t="s">
        <v>84</v>
      </c>
      <c r="C179" s="10">
        <v>650</v>
      </c>
      <c r="D179" s="11">
        <v>0.20499999999999999</v>
      </c>
      <c r="E179" s="2">
        <f t="shared" si="11"/>
        <v>0.65</v>
      </c>
      <c r="F179" s="10">
        <v>0.02</v>
      </c>
      <c r="G179" s="10">
        <v>7.0000000000000007E-2</v>
      </c>
      <c r="H179" s="12">
        <f t="shared" si="12"/>
        <v>0.1517</v>
      </c>
      <c r="I179" s="12">
        <f t="shared" si="13"/>
        <v>0.89169999999999994</v>
      </c>
      <c r="J179" s="10"/>
      <c r="K179" s="10"/>
      <c r="L179" s="10">
        <f>I179*500</f>
        <v>445.84999999999997</v>
      </c>
      <c r="M179" s="10"/>
      <c r="N179" s="10"/>
      <c r="O179" s="10"/>
      <c r="P179" s="10"/>
      <c r="Q179" s="28">
        <f t="shared" si="14"/>
        <v>17.012448132780083</v>
      </c>
    </row>
    <row r="180" spans="1:17" hidden="1" x14ac:dyDescent="0.25">
      <c r="A180" s="16">
        <v>45557</v>
      </c>
      <c r="B180" s="2" t="s">
        <v>100</v>
      </c>
      <c r="C180" s="2">
        <v>600</v>
      </c>
      <c r="D180" s="11">
        <v>0.14499999999999999</v>
      </c>
      <c r="E180" s="2">
        <f t="shared" si="11"/>
        <v>0.6</v>
      </c>
      <c r="F180" s="10">
        <v>0.02</v>
      </c>
      <c r="G180" s="10">
        <v>7.0000000000000007E-2</v>
      </c>
      <c r="H180" s="12">
        <f t="shared" si="12"/>
        <v>0.10004999999999999</v>
      </c>
      <c r="I180" s="12">
        <f t="shared" si="13"/>
        <v>0.79004999999999992</v>
      </c>
      <c r="J180" s="2"/>
      <c r="K180" s="2"/>
      <c r="L180" s="2">
        <f>I180*500</f>
        <v>395.02499999999998</v>
      </c>
      <c r="M180" s="2"/>
      <c r="N180" s="2"/>
      <c r="O180" s="2"/>
      <c r="P180" s="2"/>
      <c r="Q180" s="28">
        <f t="shared" si="14"/>
        <v>12.663755458515283</v>
      </c>
    </row>
    <row r="181" spans="1:17" hidden="1" x14ac:dyDescent="0.25">
      <c r="A181" s="16">
        <v>45557</v>
      </c>
      <c r="B181" s="2" t="s">
        <v>98</v>
      </c>
      <c r="C181" s="2">
        <v>600</v>
      </c>
      <c r="D181" s="11">
        <v>0.40100000000000002</v>
      </c>
      <c r="E181" s="10">
        <f t="shared" si="11"/>
        <v>0.6</v>
      </c>
      <c r="F181" s="10">
        <v>0.02</v>
      </c>
      <c r="G181" s="10">
        <v>7.0000000000000007E-2</v>
      </c>
      <c r="H181" s="12">
        <f t="shared" si="12"/>
        <v>0.27668999999999999</v>
      </c>
      <c r="I181" s="12">
        <f t="shared" si="13"/>
        <v>0.96668999999999994</v>
      </c>
      <c r="J181" s="10"/>
      <c r="K181" s="10"/>
      <c r="L181" s="10"/>
      <c r="M181" s="10">
        <f>I181*750</f>
        <v>725.01749999999993</v>
      </c>
      <c r="N181" s="2"/>
      <c r="O181" s="10"/>
      <c r="P181" s="10"/>
      <c r="Q181" s="28">
        <f t="shared" si="14"/>
        <v>28.622412562455391</v>
      </c>
    </row>
    <row r="182" spans="1:17" hidden="1" x14ac:dyDescent="0.25">
      <c r="A182" s="16">
        <v>45557</v>
      </c>
      <c r="B182" s="2" t="s">
        <v>149</v>
      </c>
      <c r="C182" s="2">
        <v>1450</v>
      </c>
      <c r="D182" s="11">
        <v>0.38100000000000001</v>
      </c>
      <c r="E182" s="2">
        <f t="shared" si="11"/>
        <v>1.45</v>
      </c>
      <c r="F182" s="10">
        <v>0.02</v>
      </c>
      <c r="G182" s="10">
        <v>7.0000000000000007E-2</v>
      </c>
      <c r="H182" s="12">
        <f t="shared" si="12"/>
        <v>0.58674000000000004</v>
      </c>
      <c r="I182" s="12">
        <f t="shared" si="13"/>
        <v>2.1267399999999999</v>
      </c>
      <c r="J182" s="2"/>
      <c r="K182" s="2"/>
      <c r="L182" s="2"/>
      <c r="M182" s="2">
        <f>I182*750</f>
        <v>1595.0549999999998</v>
      </c>
      <c r="N182" s="2" t="s">
        <v>72</v>
      </c>
      <c r="O182" s="2"/>
      <c r="P182" s="2"/>
      <c r="Q182" s="28">
        <f t="shared" si="14"/>
        <v>27.5887038377987</v>
      </c>
    </row>
    <row r="183" spans="1:17" hidden="1" x14ac:dyDescent="0.25">
      <c r="A183" s="16">
        <v>45557</v>
      </c>
      <c r="B183" s="2" t="s">
        <v>139</v>
      </c>
      <c r="C183" s="2">
        <v>1200</v>
      </c>
      <c r="D183" s="11">
        <v>0.48499999999999999</v>
      </c>
      <c r="E183" s="2">
        <f t="shared" si="11"/>
        <v>1.2</v>
      </c>
      <c r="F183" s="10">
        <v>0.02</v>
      </c>
      <c r="G183" s="10">
        <v>7.0000000000000007E-2</v>
      </c>
      <c r="H183" s="12">
        <f t="shared" si="12"/>
        <v>0.62565000000000004</v>
      </c>
      <c r="I183" s="12">
        <f t="shared" si="13"/>
        <v>1.9156500000000001</v>
      </c>
      <c r="J183" s="2"/>
      <c r="K183" s="2">
        <f>I183*300</f>
        <v>574.69500000000005</v>
      </c>
      <c r="L183" s="2"/>
      <c r="M183" s="2"/>
      <c r="N183" s="2"/>
      <c r="O183" s="2"/>
      <c r="P183" s="2"/>
      <c r="Q183" s="28">
        <f t="shared" si="14"/>
        <v>32.659932659932664</v>
      </c>
    </row>
    <row r="184" spans="1:17" hidden="1" x14ac:dyDescent="0.25">
      <c r="A184" s="16">
        <v>45557</v>
      </c>
      <c r="B184" s="2" t="s">
        <v>139</v>
      </c>
      <c r="C184" s="2">
        <v>1220</v>
      </c>
      <c r="D184" s="11">
        <v>0.38500000000000001</v>
      </c>
      <c r="E184" s="2">
        <f t="shared" si="11"/>
        <v>1.22</v>
      </c>
      <c r="F184" s="10">
        <v>0.02</v>
      </c>
      <c r="G184" s="10">
        <v>7.0000000000000007E-2</v>
      </c>
      <c r="H184" s="12">
        <f t="shared" si="12"/>
        <v>0.50435000000000008</v>
      </c>
      <c r="I184" s="12">
        <f t="shared" si="13"/>
        <v>1.8143500000000001</v>
      </c>
      <c r="J184" s="2"/>
      <c r="K184" s="2">
        <f>I184*300</f>
        <v>544.30500000000006</v>
      </c>
      <c r="L184" s="2"/>
      <c r="M184" s="2"/>
      <c r="N184" s="2"/>
      <c r="O184" s="2"/>
      <c r="P184" s="2"/>
      <c r="Q184" s="28">
        <f t="shared" si="14"/>
        <v>27.797833935018055</v>
      </c>
    </row>
    <row r="185" spans="1:17" hidden="1" x14ac:dyDescent="0.25">
      <c r="A185" s="16">
        <v>45557</v>
      </c>
      <c r="B185" s="2" t="s">
        <v>85</v>
      </c>
      <c r="C185" s="2">
        <v>800</v>
      </c>
      <c r="D185" s="11">
        <v>0.29499999999999998</v>
      </c>
      <c r="E185" s="2">
        <f t="shared" si="11"/>
        <v>0.8</v>
      </c>
      <c r="F185" s="10">
        <v>0.02</v>
      </c>
      <c r="G185" s="10">
        <v>7.0000000000000007E-2</v>
      </c>
      <c r="H185" s="12">
        <f t="shared" si="12"/>
        <v>0.26255000000000001</v>
      </c>
      <c r="I185" s="12">
        <f t="shared" si="13"/>
        <v>1.1525500000000002</v>
      </c>
      <c r="J185" s="2"/>
      <c r="K185" s="2">
        <f>I185*300</f>
        <v>345.76500000000004</v>
      </c>
      <c r="L185" s="2"/>
      <c r="M185" s="2"/>
      <c r="N185" s="2"/>
      <c r="O185" s="2"/>
      <c r="P185" s="2"/>
      <c r="Q185" s="28">
        <f t="shared" si="14"/>
        <v>22.779922779922778</v>
      </c>
    </row>
    <row r="186" spans="1:17" x14ac:dyDescent="0.25">
      <c r="A186" s="16">
        <v>45559</v>
      </c>
      <c r="B186" s="2" t="s">
        <v>136</v>
      </c>
      <c r="C186" s="10">
        <v>650</v>
      </c>
      <c r="D186" s="11">
        <v>0.34499999999999997</v>
      </c>
      <c r="E186" s="10">
        <f t="shared" si="11"/>
        <v>0.65</v>
      </c>
      <c r="F186" s="10">
        <v>0.02</v>
      </c>
      <c r="G186" s="10">
        <v>7.0000000000000007E-2</v>
      </c>
      <c r="H186" s="12">
        <f t="shared" si="12"/>
        <v>0.25529999999999997</v>
      </c>
      <c r="I186" s="12">
        <f t="shared" si="13"/>
        <v>0.99529999999999996</v>
      </c>
      <c r="J186" s="10"/>
      <c r="K186" s="10"/>
      <c r="L186" s="10"/>
      <c r="M186" s="10"/>
      <c r="N186" s="10">
        <f>I186*1000</f>
        <v>995.3</v>
      </c>
      <c r="O186" s="10"/>
      <c r="P186" s="10"/>
      <c r="Q186" s="28">
        <f t="shared" si="14"/>
        <v>25.650557620817843</v>
      </c>
    </row>
    <row r="187" spans="1:17" x14ac:dyDescent="0.25">
      <c r="A187" s="16">
        <v>45559</v>
      </c>
      <c r="B187" s="2" t="s">
        <v>119</v>
      </c>
      <c r="C187" s="2">
        <v>650</v>
      </c>
      <c r="D187" s="11">
        <v>0.34499999999999997</v>
      </c>
      <c r="E187" s="2">
        <f t="shared" si="11"/>
        <v>0.65</v>
      </c>
      <c r="F187" s="10">
        <v>0.02</v>
      </c>
      <c r="G187" s="10">
        <v>7.0000000000000007E-2</v>
      </c>
      <c r="H187" s="12">
        <f t="shared" si="12"/>
        <v>0.25529999999999997</v>
      </c>
      <c r="I187" s="12">
        <f t="shared" si="13"/>
        <v>0.99529999999999996</v>
      </c>
      <c r="J187" s="10"/>
      <c r="K187" s="10"/>
      <c r="L187" s="10"/>
      <c r="M187" s="10">
        <f>I187*750</f>
        <v>746.47500000000002</v>
      </c>
      <c r="N187" s="10"/>
      <c r="O187" s="10"/>
      <c r="P187" s="10"/>
      <c r="Q187" s="28">
        <f t="shared" si="14"/>
        <v>25.650557620817843</v>
      </c>
    </row>
    <row r="188" spans="1:17" x14ac:dyDescent="0.25">
      <c r="A188" s="16">
        <v>45559</v>
      </c>
      <c r="B188" s="2" t="s">
        <v>127</v>
      </c>
      <c r="C188" s="2">
        <v>650</v>
      </c>
      <c r="D188" s="11">
        <v>0.35</v>
      </c>
      <c r="E188" s="2">
        <f t="shared" si="11"/>
        <v>0.65</v>
      </c>
      <c r="F188" s="10">
        <v>0.02</v>
      </c>
      <c r="G188" s="10">
        <v>7.0000000000000007E-2</v>
      </c>
      <c r="H188" s="12">
        <f t="shared" si="12"/>
        <v>0.25900000000000001</v>
      </c>
      <c r="I188" s="12">
        <f t="shared" si="13"/>
        <v>0.999</v>
      </c>
      <c r="J188" s="10"/>
      <c r="K188" s="10"/>
      <c r="L188" s="10">
        <f>I188*500</f>
        <v>499.5</v>
      </c>
      <c r="M188" s="10"/>
      <c r="N188" s="10"/>
      <c r="O188" s="10"/>
      <c r="P188" s="10"/>
      <c r="Q188" s="28">
        <f t="shared" si="14"/>
        <v>25.925925925925924</v>
      </c>
    </row>
    <row r="189" spans="1:17" hidden="1" x14ac:dyDescent="0.25">
      <c r="A189" s="16">
        <v>45559</v>
      </c>
      <c r="B189" s="2" t="s">
        <v>98</v>
      </c>
      <c r="C189" s="2">
        <v>500</v>
      </c>
      <c r="D189" s="11">
        <v>0.4</v>
      </c>
      <c r="E189" s="10">
        <f t="shared" si="11"/>
        <v>0.5</v>
      </c>
      <c r="F189" s="10">
        <v>0.02</v>
      </c>
      <c r="G189" s="10">
        <v>7.0000000000000007E-2</v>
      </c>
      <c r="H189" s="12">
        <f t="shared" si="12"/>
        <v>0.23600000000000004</v>
      </c>
      <c r="I189" s="12">
        <f t="shared" si="13"/>
        <v>0.82600000000000007</v>
      </c>
      <c r="J189" s="10"/>
      <c r="K189" s="10"/>
      <c r="L189" s="10"/>
      <c r="M189" s="10">
        <f>I189*750</f>
        <v>619.5</v>
      </c>
      <c r="N189" s="2"/>
      <c r="O189" s="10"/>
      <c r="P189" s="10"/>
      <c r="Q189" s="28">
        <f t="shared" si="14"/>
        <v>28.571428571428577</v>
      </c>
    </row>
    <row r="190" spans="1:17" hidden="1" x14ac:dyDescent="0.25">
      <c r="A190" s="16">
        <v>45559</v>
      </c>
      <c r="B190" s="2" t="s">
        <v>149</v>
      </c>
      <c r="C190" s="2">
        <v>1450</v>
      </c>
      <c r="D190" s="11">
        <v>0.38100000000000001</v>
      </c>
      <c r="E190" s="2">
        <f t="shared" si="11"/>
        <v>1.45</v>
      </c>
      <c r="F190" s="10">
        <v>0.02</v>
      </c>
      <c r="G190" s="10">
        <v>7.0000000000000007E-2</v>
      </c>
      <c r="H190" s="12">
        <f t="shared" si="12"/>
        <v>0.58674000000000004</v>
      </c>
      <c r="I190" s="12">
        <f t="shared" si="13"/>
        <v>2.1267399999999999</v>
      </c>
      <c r="J190" s="2"/>
      <c r="K190" s="2"/>
      <c r="L190" s="2"/>
      <c r="M190" s="2">
        <f>I190*750</f>
        <v>1595.0549999999998</v>
      </c>
      <c r="N190" s="2">
        <f>I190*1000</f>
        <v>2126.7399999999998</v>
      </c>
      <c r="O190" s="2"/>
      <c r="P190" s="2"/>
      <c r="Q190" s="28">
        <f t="shared" si="14"/>
        <v>27.5887038377987</v>
      </c>
    </row>
    <row r="191" spans="1:17" hidden="1" x14ac:dyDescent="0.25">
      <c r="A191" s="16">
        <v>45559</v>
      </c>
      <c r="B191" s="2" t="s">
        <v>85</v>
      </c>
      <c r="C191" s="2">
        <v>820</v>
      </c>
      <c r="D191" s="11">
        <v>0.37</v>
      </c>
      <c r="E191" s="2">
        <f t="shared" si="11"/>
        <v>0.82</v>
      </c>
      <c r="F191" s="10">
        <v>0.02</v>
      </c>
      <c r="G191" s="10">
        <v>7.0000000000000007E-2</v>
      </c>
      <c r="H191" s="12">
        <f t="shared" si="12"/>
        <v>0.33669999999999994</v>
      </c>
      <c r="I191" s="12">
        <f t="shared" si="13"/>
        <v>1.2466999999999999</v>
      </c>
      <c r="J191" s="2"/>
      <c r="K191" s="2">
        <f>I191*300</f>
        <v>374.01</v>
      </c>
      <c r="L191" s="2"/>
      <c r="M191" s="2"/>
      <c r="N191" s="2"/>
      <c r="O191" s="2"/>
      <c r="P191" s="2"/>
      <c r="Q191" s="28">
        <f t="shared" si="14"/>
        <v>27.007299270072991</v>
      </c>
    </row>
    <row r="192" spans="1:17" x14ac:dyDescent="0.25">
      <c r="A192" s="16">
        <v>45560</v>
      </c>
      <c r="B192" s="2" t="s">
        <v>119</v>
      </c>
      <c r="C192" s="2">
        <v>730</v>
      </c>
      <c r="D192" s="11">
        <v>0.21199999999999999</v>
      </c>
      <c r="E192" s="2">
        <f t="shared" si="11"/>
        <v>0.73</v>
      </c>
      <c r="F192" s="10">
        <v>0.02</v>
      </c>
      <c r="G192" s="10">
        <v>7.0000000000000007E-2</v>
      </c>
      <c r="H192" s="12">
        <f t="shared" si="12"/>
        <v>0.17383999999999999</v>
      </c>
      <c r="I192" s="12">
        <f t="shared" si="13"/>
        <v>0.99384000000000006</v>
      </c>
      <c r="J192" s="2"/>
      <c r="K192" s="2"/>
      <c r="L192" s="2"/>
      <c r="M192" s="2">
        <f>I192*750</f>
        <v>745.38</v>
      </c>
      <c r="N192" s="2"/>
      <c r="O192" s="2"/>
      <c r="P192" s="2"/>
      <c r="Q192" s="28">
        <f t="shared" si="14"/>
        <v>17.491749174917491</v>
      </c>
    </row>
    <row r="193" spans="1:17" hidden="1" x14ac:dyDescent="0.25">
      <c r="A193" s="16">
        <v>45560</v>
      </c>
      <c r="B193" s="2" t="s">
        <v>84</v>
      </c>
      <c r="C193" s="2">
        <v>650</v>
      </c>
      <c r="D193" s="11">
        <v>7.0000000000000007E-2</v>
      </c>
      <c r="E193" s="2">
        <f t="shared" si="11"/>
        <v>0.65</v>
      </c>
      <c r="F193" s="10">
        <v>0.02</v>
      </c>
      <c r="G193" s="10">
        <v>7.0000000000000007E-2</v>
      </c>
      <c r="H193" s="12">
        <f t="shared" si="12"/>
        <v>5.1800000000000006E-2</v>
      </c>
      <c r="I193" s="12">
        <f t="shared" si="13"/>
        <v>0.79179999999999995</v>
      </c>
      <c r="J193" s="2"/>
      <c r="K193" s="2"/>
      <c r="L193" s="2">
        <f>I193*500</f>
        <v>395.9</v>
      </c>
      <c r="M193" s="2"/>
      <c r="N193" s="2"/>
      <c r="O193" s="2"/>
      <c r="P193" s="2"/>
      <c r="Q193" s="28">
        <f t="shared" si="14"/>
        <v>6.5420560747663563</v>
      </c>
    </row>
    <row r="194" spans="1:17" hidden="1" x14ac:dyDescent="0.25">
      <c r="A194" s="16">
        <v>45560</v>
      </c>
      <c r="B194" s="2" t="s">
        <v>139</v>
      </c>
      <c r="C194" s="2">
        <v>1000</v>
      </c>
      <c r="D194" s="11">
        <v>0.43</v>
      </c>
      <c r="E194" s="2">
        <f t="shared" si="11"/>
        <v>1</v>
      </c>
      <c r="F194" s="10">
        <v>0.02</v>
      </c>
      <c r="G194" s="10">
        <v>7.0000000000000007E-2</v>
      </c>
      <c r="H194" s="12">
        <f t="shared" si="12"/>
        <v>0.46870000000000001</v>
      </c>
      <c r="I194" s="12">
        <f t="shared" si="13"/>
        <v>1.5587</v>
      </c>
      <c r="J194" s="2"/>
      <c r="K194" s="2">
        <f>I194*350</f>
        <v>545.54499999999996</v>
      </c>
      <c r="L194" s="2"/>
      <c r="M194" s="2"/>
      <c r="N194" s="2"/>
      <c r="O194" s="2"/>
      <c r="P194" s="2"/>
      <c r="Q194" s="28">
        <f t="shared" si="14"/>
        <v>30.06993006993007</v>
      </c>
    </row>
    <row r="195" spans="1:17" hidden="1" x14ac:dyDescent="0.25">
      <c r="A195" s="16">
        <v>45560</v>
      </c>
      <c r="B195" s="2" t="s">
        <v>86</v>
      </c>
      <c r="C195" s="2">
        <v>1000</v>
      </c>
      <c r="D195" s="11">
        <v>0.19500000000000001</v>
      </c>
      <c r="E195" s="2">
        <f t="shared" si="11"/>
        <v>1</v>
      </c>
      <c r="F195" s="10">
        <v>0.02</v>
      </c>
      <c r="G195" s="10">
        <v>7.0000000000000007E-2</v>
      </c>
      <c r="H195" s="12">
        <f t="shared" si="12"/>
        <v>0.21255000000000002</v>
      </c>
      <c r="I195" s="12">
        <f t="shared" si="13"/>
        <v>1.3025500000000001</v>
      </c>
      <c r="J195" s="2">
        <f>I195*250</f>
        <v>325.63750000000005</v>
      </c>
      <c r="K195" s="2"/>
      <c r="L195" s="2"/>
      <c r="M195" s="2"/>
      <c r="N195" s="2"/>
      <c r="O195" s="2"/>
      <c r="P195" s="2"/>
      <c r="Q195" s="28">
        <f t="shared" si="14"/>
        <v>16.317991631799163</v>
      </c>
    </row>
    <row r="196" spans="1:17" hidden="1" x14ac:dyDescent="0.25">
      <c r="A196" s="16">
        <v>45560</v>
      </c>
      <c r="B196" s="2" t="s">
        <v>96</v>
      </c>
      <c r="C196" s="2">
        <v>1400</v>
      </c>
      <c r="D196" s="11">
        <v>0</v>
      </c>
      <c r="E196" s="2">
        <f t="shared" ref="E196:E259" si="15">C196/1000</f>
        <v>1.4</v>
      </c>
      <c r="F196" s="10">
        <v>0.02</v>
      </c>
      <c r="G196" s="10">
        <v>7.0000000000000007E-2</v>
      </c>
      <c r="H196" s="12">
        <f t="shared" ref="H196:H259" si="16">SUM(E196:G196)*D196</f>
        <v>0</v>
      </c>
      <c r="I196" s="12">
        <f t="shared" ref="I196:I259" si="17">SUM(E196:H196)</f>
        <v>1.49</v>
      </c>
      <c r="J196" s="2"/>
      <c r="K196" s="2"/>
      <c r="L196" s="2">
        <f>I196*500</f>
        <v>745</v>
      </c>
      <c r="M196" s="2"/>
      <c r="N196" s="2">
        <f>I196*1000</f>
        <v>1490</v>
      </c>
      <c r="O196" s="2"/>
      <c r="P196" s="2"/>
      <c r="Q196" s="28">
        <f t="shared" si="14"/>
        <v>0</v>
      </c>
    </row>
    <row r="197" spans="1:17" hidden="1" x14ac:dyDescent="0.25">
      <c r="A197" s="16">
        <v>45561</v>
      </c>
      <c r="B197" s="2" t="s">
        <v>149</v>
      </c>
      <c r="C197" s="2">
        <v>1400</v>
      </c>
      <c r="D197" s="11">
        <v>0.20399999999999999</v>
      </c>
      <c r="E197" s="2">
        <f t="shared" si="15"/>
        <v>1.4</v>
      </c>
      <c r="F197" s="10">
        <v>0.02</v>
      </c>
      <c r="G197" s="10">
        <v>7.0000000000000007E-2</v>
      </c>
      <c r="H197" s="12">
        <f t="shared" si="16"/>
        <v>0.30395999999999995</v>
      </c>
      <c r="I197" s="12">
        <f t="shared" si="17"/>
        <v>1.79396</v>
      </c>
      <c r="J197" s="2"/>
      <c r="K197" s="2"/>
      <c r="L197" s="2"/>
      <c r="M197" s="2">
        <f>I197*750</f>
        <v>1345.47</v>
      </c>
      <c r="N197" s="2">
        <f>I197*1000</f>
        <v>1793.96</v>
      </c>
      <c r="O197" s="2"/>
      <c r="P197" s="2"/>
      <c r="Q197" s="28">
        <f t="shared" si="14"/>
        <v>16.943521594684384</v>
      </c>
    </row>
    <row r="198" spans="1:17" hidden="1" x14ac:dyDescent="0.25">
      <c r="A198" s="16">
        <v>45561</v>
      </c>
      <c r="B198" s="2" t="s">
        <v>86</v>
      </c>
      <c r="C198" s="2">
        <v>930</v>
      </c>
      <c r="D198" s="11">
        <v>0.27500000000000002</v>
      </c>
      <c r="E198" s="2">
        <f t="shared" si="15"/>
        <v>0.93</v>
      </c>
      <c r="F198" s="10">
        <v>0.02</v>
      </c>
      <c r="G198" s="10">
        <v>7.0000000000000007E-2</v>
      </c>
      <c r="H198" s="12">
        <f t="shared" si="16"/>
        <v>0.28050000000000003</v>
      </c>
      <c r="I198" s="12">
        <f t="shared" si="17"/>
        <v>1.3005</v>
      </c>
      <c r="J198" s="2">
        <f>I198*250</f>
        <v>325.125</v>
      </c>
      <c r="K198" s="2"/>
      <c r="L198" s="2"/>
      <c r="M198" s="2"/>
      <c r="N198" s="2"/>
      <c r="O198" s="2"/>
      <c r="P198" s="2"/>
      <c r="Q198" s="28">
        <f t="shared" si="14"/>
        <v>21.568627450980397</v>
      </c>
    </row>
    <row r="199" spans="1:17" hidden="1" x14ac:dyDescent="0.25">
      <c r="A199" s="16">
        <v>45561</v>
      </c>
      <c r="B199" s="2" t="s">
        <v>85</v>
      </c>
      <c r="C199" s="2">
        <v>800</v>
      </c>
      <c r="D199" s="11">
        <v>0.29199999999999998</v>
      </c>
      <c r="E199" s="2">
        <f t="shared" si="15"/>
        <v>0.8</v>
      </c>
      <c r="F199" s="10">
        <v>0.02</v>
      </c>
      <c r="G199" s="10">
        <v>7.0000000000000007E-2</v>
      </c>
      <c r="H199" s="12">
        <f t="shared" si="16"/>
        <v>0.25988</v>
      </c>
      <c r="I199" s="12">
        <f t="shared" si="17"/>
        <v>1.14988</v>
      </c>
      <c r="J199" s="2"/>
      <c r="K199" s="2">
        <f>I199*300</f>
        <v>344.964</v>
      </c>
      <c r="L199" s="2"/>
      <c r="M199" s="2"/>
      <c r="N199" s="2"/>
      <c r="O199" s="2"/>
      <c r="P199" s="2"/>
      <c r="Q199" s="28">
        <f t="shared" si="14"/>
        <v>22.600619195046441</v>
      </c>
    </row>
    <row r="200" spans="1:17" hidden="1" x14ac:dyDescent="0.25">
      <c r="A200" s="16">
        <v>45562</v>
      </c>
      <c r="B200" s="2" t="s">
        <v>109</v>
      </c>
      <c r="C200" s="10">
        <v>500</v>
      </c>
      <c r="D200" s="11">
        <v>0.43280000000000002</v>
      </c>
      <c r="E200" s="10">
        <f t="shared" si="15"/>
        <v>0.5</v>
      </c>
      <c r="F200" s="10">
        <v>0.02</v>
      </c>
      <c r="G200" s="10">
        <v>7.0000000000000007E-2</v>
      </c>
      <c r="H200" s="12">
        <f t="shared" si="16"/>
        <v>0.25535200000000002</v>
      </c>
      <c r="I200" s="12">
        <f t="shared" si="17"/>
        <v>0.8453520000000001</v>
      </c>
      <c r="J200" s="10"/>
      <c r="K200" s="10"/>
      <c r="L200" s="10"/>
      <c r="M200" s="10"/>
      <c r="N200" s="2">
        <f>I200*1000</f>
        <v>845.35200000000009</v>
      </c>
      <c r="O200" s="10"/>
      <c r="P200" s="10"/>
      <c r="Q200" s="28">
        <f t="shared" si="14"/>
        <v>30.206588498045786</v>
      </c>
    </row>
    <row r="201" spans="1:17" hidden="1" x14ac:dyDescent="0.25">
      <c r="A201" s="16">
        <v>45562</v>
      </c>
      <c r="B201" s="2" t="s">
        <v>98</v>
      </c>
      <c r="C201" s="2">
        <v>500</v>
      </c>
      <c r="D201" s="11">
        <v>0.68500000000000005</v>
      </c>
      <c r="E201" s="2">
        <f t="shared" si="15"/>
        <v>0.5</v>
      </c>
      <c r="F201" s="10">
        <v>0.02</v>
      </c>
      <c r="G201" s="10">
        <v>7.0000000000000007E-2</v>
      </c>
      <c r="H201" s="12">
        <f t="shared" si="16"/>
        <v>0.40415000000000006</v>
      </c>
      <c r="I201" s="12">
        <f t="shared" si="17"/>
        <v>0.99415000000000009</v>
      </c>
      <c r="J201" s="2"/>
      <c r="K201" s="2"/>
      <c r="L201" s="2"/>
      <c r="M201" s="2">
        <f>I201*750</f>
        <v>745.61250000000007</v>
      </c>
      <c r="N201" s="2"/>
      <c r="O201" s="2"/>
      <c r="P201" s="2"/>
      <c r="Q201" s="28">
        <f t="shared" si="14"/>
        <v>40.652818991097924</v>
      </c>
    </row>
    <row r="202" spans="1:17" hidden="1" x14ac:dyDescent="0.25">
      <c r="A202" s="16">
        <v>45562</v>
      </c>
      <c r="B202" s="2" t="s">
        <v>85</v>
      </c>
      <c r="C202" s="2">
        <v>800</v>
      </c>
      <c r="D202" s="11">
        <v>0.29199999999999998</v>
      </c>
      <c r="E202" s="2">
        <f t="shared" si="15"/>
        <v>0.8</v>
      </c>
      <c r="F202" s="10">
        <v>0.02</v>
      </c>
      <c r="G202" s="10">
        <v>7.0000000000000007E-2</v>
      </c>
      <c r="H202" s="12">
        <f t="shared" si="16"/>
        <v>0.25988</v>
      </c>
      <c r="I202" s="12">
        <f t="shared" si="17"/>
        <v>1.14988</v>
      </c>
      <c r="J202" s="2"/>
      <c r="K202" s="2">
        <f>I202*300</f>
        <v>344.964</v>
      </c>
      <c r="L202" s="2"/>
      <c r="M202" s="2"/>
      <c r="N202" s="2"/>
      <c r="O202" s="2"/>
      <c r="P202" s="2"/>
      <c r="Q202" s="28">
        <f t="shared" si="14"/>
        <v>22.600619195046441</v>
      </c>
    </row>
    <row r="203" spans="1:17" hidden="1" x14ac:dyDescent="0.25">
      <c r="A203" s="16">
        <v>45562</v>
      </c>
      <c r="B203" s="2" t="s">
        <v>161</v>
      </c>
      <c r="C203" s="2">
        <v>1400</v>
      </c>
      <c r="D203" s="11">
        <v>0.18</v>
      </c>
      <c r="E203" s="2">
        <f t="shared" si="15"/>
        <v>1.4</v>
      </c>
      <c r="F203" s="10">
        <v>0.02</v>
      </c>
      <c r="G203" s="10">
        <v>7.0000000000000007E-2</v>
      </c>
      <c r="H203" s="12">
        <f t="shared" si="16"/>
        <v>0.26819999999999999</v>
      </c>
      <c r="I203" s="12">
        <f t="shared" si="17"/>
        <v>1.7582</v>
      </c>
      <c r="J203" s="2"/>
      <c r="K203" s="2"/>
      <c r="L203" s="2"/>
      <c r="M203" s="2">
        <f>I203*850</f>
        <v>1494.47</v>
      </c>
      <c r="N203" s="2"/>
      <c r="O203" s="2"/>
      <c r="P203" s="2"/>
      <c r="Q203" s="28">
        <f t="shared" si="14"/>
        <v>15.254237288135592</v>
      </c>
    </row>
    <row r="204" spans="1:17" x14ac:dyDescent="0.25">
      <c r="A204" s="16">
        <v>45563</v>
      </c>
      <c r="B204" s="2" t="s">
        <v>119</v>
      </c>
      <c r="C204" s="2">
        <v>600</v>
      </c>
      <c r="D204" s="11">
        <v>0.30499999999999999</v>
      </c>
      <c r="E204" s="2">
        <f t="shared" si="15"/>
        <v>0.6</v>
      </c>
      <c r="F204" s="10">
        <v>0.02</v>
      </c>
      <c r="G204" s="10">
        <v>7.0000000000000007E-2</v>
      </c>
      <c r="H204" s="12">
        <f t="shared" si="16"/>
        <v>0.21044999999999997</v>
      </c>
      <c r="I204" s="12">
        <f t="shared" si="17"/>
        <v>0.90044999999999997</v>
      </c>
      <c r="J204" s="2"/>
      <c r="K204" s="2"/>
      <c r="L204" s="2"/>
      <c r="M204" s="2">
        <f>I204*750</f>
        <v>675.33749999999998</v>
      </c>
      <c r="N204" s="2">
        <f>I204*1000</f>
        <v>900.44999999999993</v>
      </c>
      <c r="O204" s="2"/>
      <c r="P204" s="2"/>
      <c r="Q204" s="28">
        <f t="shared" si="14"/>
        <v>23.371647509578541</v>
      </c>
    </row>
    <row r="205" spans="1:17" x14ac:dyDescent="0.25">
      <c r="A205" s="16">
        <v>45563</v>
      </c>
      <c r="B205" s="2" t="s">
        <v>127</v>
      </c>
      <c r="C205" s="2">
        <v>600</v>
      </c>
      <c r="D205" s="11">
        <v>0.28999999999999998</v>
      </c>
      <c r="E205" s="2">
        <f t="shared" si="15"/>
        <v>0.6</v>
      </c>
      <c r="F205" s="10">
        <v>0.02</v>
      </c>
      <c r="G205" s="10">
        <v>7.0000000000000007E-2</v>
      </c>
      <c r="H205" s="12">
        <f t="shared" si="16"/>
        <v>0.20009999999999997</v>
      </c>
      <c r="I205" s="12">
        <f t="shared" si="17"/>
        <v>0.89009999999999989</v>
      </c>
      <c r="J205" s="2"/>
      <c r="K205" s="2"/>
      <c r="L205" s="2">
        <f>I205*500</f>
        <v>445.04999999999995</v>
      </c>
      <c r="M205" s="2"/>
      <c r="N205" s="2">
        <f>I205*1000</f>
        <v>890.09999999999991</v>
      </c>
      <c r="O205" s="2"/>
      <c r="P205" s="2"/>
      <c r="Q205" s="28">
        <f t="shared" si="14"/>
        <v>22.480620155038757</v>
      </c>
    </row>
    <row r="206" spans="1:17" hidden="1" x14ac:dyDescent="0.25">
      <c r="A206" s="16">
        <v>45563</v>
      </c>
      <c r="B206" s="2" t="s">
        <v>109</v>
      </c>
      <c r="C206" s="2">
        <v>480</v>
      </c>
      <c r="D206" s="11">
        <v>0.36</v>
      </c>
      <c r="E206" s="2">
        <f t="shared" si="15"/>
        <v>0.48</v>
      </c>
      <c r="F206" s="10">
        <v>0.02</v>
      </c>
      <c r="G206" s="10">
        <v>7.0000000000000007E-2</v>
      </c>
      <c r="H206" s="12">
        <f t="shared" si="16"/>
        <v>0.20520000000000002</v>
      </c>
      <c r="I206" s="12">
        <f t="shared" si="17"/>
        <v>0.77520000000000011</v>
      </c>
      <c r="J206" s="2"/>
      <c r="K206" s="2"/>
      <c r="L206" s="2"/>
      <c r="M206" s="2"/>
      <c r="N206" s="2">
        <f>I206*1000</f>
        <v>775.20000000000016</v>
      </c>
      <c r="O206" s="2"/>
      <c r="P206" s="2"/>
      <c r="Q206" s="28">
        <f t="shared" si="14"/>
        <v>26.470588235294116</v>
      </c>
    </row>
    <row r="207" spans="1:17" hidden="1" x14ac:dyDescent="0.25">
      <c r="A207" s="16">
        <v>45563</v>
      </c>
      <c r="B207" s="2" t="s">
        <v>98</v>
      </c>
      <c r="C207" s="2">
        <v>480</v>
      </c>
      <c r="D207" s="11">
        <v>0.34599999999999997</v>
      </c>
      <c r="E207" s="2">
        <f t="shared" si="15"/>
        <v>0.48</v>
      </c>
      <c r="F207" s="10">
        <v>0.02</v>
      </c>
      <c r="G207" s="10">
        <v>7.0000000000000007E-2</v>
      </c>
      <c r="H207" s="12">
        <f t="shared" si="16"/>
        <v>0.19722000000000001</v>
      </c>
      <c r="I207" s="12">
        <f t="shared" si="17"/>
        <v>0.76722000000000001</v>
      </c>
      <c r="J207" s="2"/>
      <c r="K207" s="2"/>
      <c r="L207" s="2"/>
      <c r="M207" s="2">
        <f>I207*750</f>
        <v>575.41499999999996</v>
      </c>
      <c r="N207" s="2"/>
      <c r="O207" s="2"/>
      <c r="P207" s="2"/>
      <c r="Q207" s="28">
        <f t="shared" si="14"/>
        <v>25.705794947994054</v>
      </c>
    </row>
    <row r="208" spans="1:17" hidden="1" x14ac:dyDescent="0.25">
      <c r="A208" s="16">
        <v>45563</v>
      </c>
      <c r="B208" s="2" t="s">
        <v>139</v>
      </c>
      <c r="C208" s="2">
        <v>0</v>
      </c>
      <c r="D208" s="11">
        <v>0</v>
      </c>
      <c r="E208" s="2">
        <f t="shared" si="15"/>
        <v>0</v>
      </c>
      <c r="F208" s="10">
        <v>0.02</v>
      </c>
      <c r="G208" s="10">
        <v>7.0000000000000007E-2</v>
      </c>
      <c r="H208" s="12">
        <f t="shared" si="16"/>
        <v>0</v>
      </c>
      <c r="I208" s="12">
        <f t="shared" si="17"/>
        <v>9.0000000000000011E-2</v>
      </c>
      <c r="J208" s="2"/>
      <c r="K208" s="2">
        <f>I208*350</f>
        <v>31.500000000000004</v>
      </c>
      <c r="L208" s="2"/>
      <c r="M208" s="2"/>
      <c r="N208" s="2"/>
      <c r="O208" s="2"/>
      <c r="P208" s="2"/>
      <c r="Q208" s="28">
        <f t="shared" si="14"/>
        <v>0</v>
      </c>
    </row>
    <row r="209" spans="1:17" x14ac:dyDescent="0.25">
      <c r="A209" s="16">
        <v>45564</v>
      </c>
      <c r="B209" s="2" t="s">
        <v>119</v>
      </c>
      <c r="C209" s="2">
        <v>650</v>
      </c>
      <c r="D209" s="11">
        <v>0.218</v>
      </c>
      <c r="E209" s="2">
        <f t="shared" si="15"/>
        <v>0.65</v>
      </c>
      <c r="F209" s="10">
        <v>0.02</v>
      </c>
      <c r="G209" s="10">
        <v>7.0000000000000007E-2</v>
      </c>
      <c r="H209" s="12">
        <f t="shared" si="16"/>
        <v>0.16131999999999999</v>
      </c>
      <c r="I209" s="12">
        <f t="shared" si="17"/>
        <v>0.90132000000000001</v>
      </c>
      <c r="J209" s="2"/>
      <c r="K209" s="2"/>
      <c r="L209" s="2"/>
      <c r="M209" s="2">
        <f>I209*750</f>
        <v>675.99</v>
      </c>
      <c r="N209" s="2">
        <f>I209*1000</f>
        <v>901.32</v>
      </c>
      <c r="O209" s="2"/>
      <c r="P209" s="2"/>
      <c r="Q209" s="28">
        <f t="shared" si="14"/>
        <v>17.898193760262725</v>
      </c>
    </row>
    <row r="210" spans="1:17" x14ac:dyDescent="0.25">
      <c r="A210" s="16">
        <v>45564</v>
      </c>
      <c r="B210" s="2" t="s">
        <v>127</v>
      </c>
      <c r="C210" s="2">
        <v>650</v>
      </c>
      <c r="D210" s="11">
        <v>0.20300000000000001</v>
      </c>
      <c r="E210" s="2">
        <f t="shared" si="15"/>
        <v>0.65</v>
      </c>
      <c r="F210" s="10">
        <v>0.02</v>
      </c>
      <c r="G210" s="10">
        <v>7.0000000000000007E-2</v>
      </c>
      <c r="H210" s="12">
        <f t="shared" si="16"/>
        <v>0.15022000000000002</v>
      </c>
      <c r="I210" s="12">
        <f t="shared" si="17"/>
        <v>0.89022000000000001</v>
      </c>
      <c r="J210" s="2"/>
      <c r="K210" s="2"/>
      <c r="L210" s="2">
        <f>I210*500</f>
        <v>445.11</v>
      </c>
      <c r="M210" s="2"/>
      <c r="N210" s="2">
        <f>I210*1000</f>
        <v>890.22</v>
      </c>
      <c r="O210" s="2"/>
      <c r="P210" s="2"/>
      <c r="Q210" s="28">
        <f t="shared" si="14"/>
        <v>16.874480465502909</v>
      </c>
    </row>
    <row r="211" spans="1:17" hidden="1" x14ac:dyDescent="0.25">
      <c r="A211" s="16">
        <v>45564</v>
      </c>
      <c r="B211" s="2" t="s">
        <v>109</v>
      </c>
      <c r="C211" s="2">
        <v>520</v>
      </c>
      <c r="D211" s="11">
        <v>0.26989999999999997</v>
      </c>
      <c r="E211" s="2">
        <f t="shared" si="15"/>
        <v>0.52</v>
      </c>
      <c r="F211" s="10">
        <v>0.02</v>
      </c>
      <c r="G211" s="10">
        <v>7.0000000000000007E-2</v>
      </c>
      <c r="H211" s="12">
        <f t="shared" si="16"/>
        <v>0.16463900000000001</v>
      </c>
      <c r="I211" s="12">
        <f t="shared" si="17"/>
        <v>0.77463900000000008</v>
      </c>
      <c r="J211" s="2"/>
      <c r="K211" s="2"/>
      <c r="L211" s="2"/>
      <c r="M211" s="2"/>
      <c r="N211" s="2">
        <f>I211*1000</f>
        <v>774.63900000000012</v>
      </c>
      <c r="O211" s="2"/>
      <c r="P211" s="2"/>
      <c r="Q211" s="28">
        <f t="shared" si="14"/>
        <v>21.253642019056617</v>
      </c>
    </row>
    <row r="212" spans="1:17" hidden="1" x14ac:dyDescent="0.25">
      <c r="A212" s="16">
        <v>45564</v>
      </c>
      <c r="B212" s="2" t="s">
        <v>123</v>
      </c>
      <c r="C212" s="2">
        <v>1250</v>
      </c>
      <c r="D212" s="11">
        <v>0.35</v>
      </c>
      <c r="E212" s="2">
        <f t="shared" si="15"/>
        <v>1.25</v>
      </c>
      <c r="F212" s="10">
        <v>0.02</v>
      </c>
      <c r="G212" s="10">
        <v>7.0000000000000007E-2</v>
      </c>
      <c r="H212" s="12">
        <f t="shared" si="16"/>
        <v>0.46899999999999997</v>
      </c>
      <c r="I212" s="12">
        <f t="shared" si="17"/>
        <v>1.8090000000000002</v>
      </c>
      <c r="J212" s="2"/>
      <c r="K212" s="2"/>
      <c r="L212" s="2">
        <f>I212*550</f>
        <v>994.95</v>
      </c>
      <c r="M212" s="2"/>
      <c r="N212" s="2"/>
      <c r="O212" s="2"/>
      <c r="P212" s="2"/>
      <c r="Q212" s="28">
        <f t="shared" si="14"/>
        <v>25.92592592592592</v>
      </c>
    </row>
    <row r="213" spans="1:17" hidden="1" x14ac:dyDescent="0.25">
      <c r="A213" s="16">
        <v>45564</v>
      </c>
      <c r="B213" s="2" t="s">
        <v>86</v>
      </c>
      <c r="C213" s="2">
        <v>950</v>
      </c>
      <c r="D213" s="11">
        <v>0.33</v>
      </c>
      <c r="E213" s="2">
        <f t="shared" si="15"/>
        <v>0.95</v>
      </c>
      <c r="F213" s="10">
        <v>0.02</v>
      </c>
      <c r="G213" s="10">
        <v>7.0000000000000007E-2</v>
      </c>
      <c r="H213" s="12">
        <f t="shared" si="16"/>
        <v>0.34320000000000001</v>
      </c>
      <c r="I213" s="12">
        <f t="shared" si="17"/>
        <v>1.3832</v>
      </c>
      <c r="J213" s="2">
        <f>I213*250</f>
        <v>345.8</v>
      </c>
      <c r="K213" s="2"/>
      <c r="L213" s="2"/>
      <c r="M213" s="2"/>
      <c r="N213" s="2"/>
      <c r="O213" s="2"/>
      <c r="P213" s="2"/>
      <c r="Q213" s="28">
        <f t="shared" si="14"/>
        <v>24.81203007518797</v>
      </c>
    </row>
    <row r="214" spans="1:17" hidden="1" x14ac:dyDescent="0.25">
      <c r="A214" s="16">
        <v>45564</v>
      </c>
      <c r="B214" s="2" t="s">
        <v>85</v>
      </c>
      <c r="C214" s="2">
        <v>850</v>
      </c>
      <c r="D214" s="11">
        <v>0.22500000000000001</v>
      </c>
      <c r="E214" s="2">
        <f t="shared" si="15"/>
        <v>0.85</v>
      </c>
      <c r="F214" s="10">
        <v>0.02</v>
      </c>
      <c r="G214" s="10">
        <v>7.0000000000000007E-2</v>
      </c>
      <c r="H214" s="12">
        <f t="shared" si="16"/>
        <v>0.21149999999999999</v>
      </c>
      <c r="I214" s="12">
        <f t="shared" si="17"/>
        <v>1.1515</v>
      </c>
      <c r="J214" s="2"/>
      <c r="K214" s="2">
        <f>I214*300</f>
        <v>345.45</v>
      </c>
      <c r="L214" s="2"/>
      <c r="M214" s="2"/>
      <c r="N214" s="2"/>
      <c r="O214" s="2"/>
      <c r="P214" s="2"/>
      <c r="Q214" s="28">
        <f t="shared" si="14"/>
        <v>18.367346938775512</v>
      </c>
    </row>
    <row r="215" spans="1:17" hidden="1" x14ac:dyDescent="0.25">
      <c r="A215" s="16">
        <v>45566</v>
      </c>
      <c r="B215" s="2" t="s">
        <v>109</v>
      </c>
      <c r="C215" s="10">
        <v>480</v>
      </c>
      <c r="D215" s="11">
        <v>0.36</v>
      </c>
      <c r="E215" s="10">
        <f t="shared" si="15"/>
        <v>0.48</v>
      </c>
      <c r="F215" s="10">
        <v>0.02</v>
      </c>
      <c r="G215" s="10">
        <v>7.0000000000000007E-2</v>
      </c>
      <c r="H215" s="12">
        <f t="shared" si="16"/>
        <v>0.20520000000000002</v>
      </c>
      <c r="I215" s="12">
        <f t="shared" si="17"/>
        <v>0.77520000000000011</v>
      </c>
      <c r="J215" s="10"/>
      <c r="K215" s="10"/>
      <c r="L215" s="10"/>
      <c r="M215" s="10"/>
      <c r="N215" s="2">
        <f>I215*1000</f>
        <v>775.20000000000016</v>
      </c>
      <c r="O215" s="10"/>
      <c r="P215" s="10"/>
      <c r="Q215" s="28">
        <f t="shared" si="14"/>
        <v>26.470588235294116</v>
      </c>
    </row>
    <row r="216" spans="1:17" hidden="1" x14ac:dyDescent="0.25">
      <c r="A216" s="16">
        <v>45566</v>
      </c>
      <c r="B216" s="2" t="s">
        <v>98</v>
      </c>
      <c r="C216" s="2">
        <v>480</v>
      </c>
      <c r="D216" s="11">
        <v>0.34599999999999997</v>
      </c>
      <c r="E216" s="2">
        <f t="shared" si="15"/>
        <v>0.48</v>
      </c>
      <c r="F216" s="10">
        <v>0.02</v>
      </c>
      <c r="G216" s="10">
        <v>7.0000000000000007E-2</v>
      </c>
      <c r="H216" s="12">
        <f t="shared" si="16"/>
        <v>0.19722000000000001</v>
      </c>
      <c r="I216" s="12">
        <f t="shared" si="17"/>
        <v>0.76722000000000001</v>
      </c>
      <c r="J216" s="2"/>
      <c r="K216" s="2"/>
      <c r="L216" s="2"/>
      <c r="M216" s="2">
        <f>I216*750</f>
        <v>575.41499999999996</v>
      </c>
      <c r="N216" s="2"/>
      <c r="O216" s="2"/>
      <c r="P216" s="2"/>
      <c r="Q216" s="28">
        <f t="shared" si="14"/>
        <v>25.705794947994054</v>
      </c>
    </row>
    <row r="217" spans="1:17" hidden="1" x14ac:dyDescent="0.25">
      <c r="A217" s="16">
        <v>45566</v>
      </c>
      <c r="B217" s="2" t="s">
        <v>86</v>
      </c>
      <c r="C217" s="2">
        <v>980</v>
      </c>
      <c r="D217" s="11">
        <v>0.28999999999999998</v>
      </c>
      <c r="E217" s="2">
        <f t="shared" si="15"/>
        <v>0.98</v>
      </c>
      <c r="F217" s="10">
        <v>0.02</v>
      </c>
      <c r="G217" s="10">
        <v>7.0000000000000007E-2</v>
      </c>
      <c r="H217" s="12">
        <f t="shared" si="16"/>
        <v>0.31030000000000002</v>
      </c>
      <c r="I217" s="12">
        <f t="shared" si="17"/>
        <v>1.3803000000000001</v>
      </c>
      <c r="J217" s="2">
        <f>I217*250</f>
        <v>345.07500000000005</v>
      </c>
      <c r="K217" s="2"/>
      <c r="L217" s="2"/>
      <c r="M217" s="2"/>
      <c r="N217" s="2"/>
      <c r="O217" s="2"/>
      <c r="P217" s="2"/>
      <c r="Q217" s="28">
        <f t="shared" si="14"/>
        <v>22.480620155038761</v>
      </c>
    </row>
    <row r="218" spans="1:17" hidden="1" x14ac:dyDescent="0.25">
      <c r="A218" s="16">
        <v>45566</v>
      </c>
      <c r="B218" s="2" t="s">
        <v>85</v>
      </c>
      <c r="C218" s="2">
        <v>980</v>
      </c>
      <c r="D218" s="11">
        <v>7.4999999999999997E-2</v>
      </c>
      <c r="E218" s="2">
        <f t="shared" si="15"/>
        <v>0.98</v>
      </c>
      <c r="F218" s="10">
        <v>0.02</v>
      </c>
      <c r="G218" s="10">
        <v>7.0000000000000007E-2</v>
      </c>
      <c r="H218" s="12">
        <f t="shared" si="16"/>
        <v>8.0250000000000002E-2</v>
      </c>
      <c r="I218" s="12">
        <f t="shared" si="17"/>
        <v>1.15025</v>
      </c>
      <c r="J218" s="2"/>
      <c r="K218" s="2">
        <f>I218*300</f>
        <v>345.07499999999999</v>
      </c>
      <c r="L218" s="2"/>
      <c r="M218" s="2"/>
      <c r="N218" s="2"/>
      <c r="O218" s="2"/>
      <c r="P218" s="2"/>
      <c r="Q218" s="28">
        <f t="shared" si="14"/>
        <v>6.9767441860465116</v>
      </c>
    </row>
    <row r="219" spans="1:17" x14ac:dyDescent="0.25">
      <c r="A219" s="16">
        <v>45567</v>
      </c>
      <c r="B219" s="2" t="s">
        <v>127</v>
      </c>
      <c r="C219" s="2">
        <v>750</v>
      </c>
      <c r="D219" s="11">
        <v>0.06</v>
      </c>
      <c r="E219" s="2">
        <f t="shared" si="15"/>
        <v>0.75</v>
      </c>
      <c r="F219" s="10">
        <v>0.02</v>
      </c>
      <c r="G219" s="10">
        <v>7.0000000000000007E-2</v>
      </c>
      <c r="H219" s="12">
        <f t="shared" si="16"/>
        <v>5.04E-2</v>
      </c>
      <c r="I219" s="12">
        <f t="shared" si="17"/>
        <v>0.89040000000000008</v>
      </c>
      <c r="J219" s="2"/>
      <c r="K219" s="2"/>
      <c r="L219" s="2">
        <f>I219*500</f>
        <v>445.20000000000005</v>
      </c>
      <c r="M219" s="2"/>
      <c r="N219" s="2"/>
      <c r="O219" s="2"/>
      <c r="P219" s="2"/>
      <c r="Q219" s="28">
        <f t="shared" si="14"/>
        <v>5.6603773584905657</v>
      </c>
    </row>
    <row r="220" spans="1:17" hidden="1" x14ac:dyDescent="0.25">
      <c r="A220" s="16">
        <v>45567</v>
      </c>
      <c r="B220" s="2" t="s">
        <v>122</v>
      </c>
      <c r="C220" s="2">
        <v>530</v>
      </c>
      <c r="D220" s="11">
        <v>0.27500000000000002</v>
      </c>
      <c r="E220" s="2">
        <f t="shared" si="15"/>
        <v>0.53</v>
      </c>
      <c r="F220" s="10">
        <v>0.02</v>
      </c>
      <c r="G220" s="10">
        <v>7.0000000000000007E-2</v>
      </c>
      <c r="H220" s="12">
        <f t="shared" si="16"/>
        <v>0.17050000000000004</v>
      </c>
      <c r="I220" s="12">
        <f t="shared" si="17"/>
        <v>0.7905000000000002</v>
      </c>
      <c r="J220" s="2"/>
      <c r="K220" s="2"/>
      <c r="L220" s="2">
        <f>I220*500</f>
        <v>395.25000000000011</v>
      </c>
      <c r="M220" s="2"/>
      <c r="N220" s="2"/>
      <c r="O220" s="2"/>
      <c r="P220" s="2"/>
      <c r="Q220" s="28">
        <f t="shared" si="14"/>
        <v>21.56862745098039</v>
      </c>
    </row>
    <row r="221" spans="1:17" hidden="1" x14ac:dyDescent="0.25">
      <c r="A221" s="16">
        <v>45567</v>
      </c>
      <c r="B221" s="2" t="s">
        <v>86</v>
      </c>
      <c r="C221" s="2">
        <v>950</v>
      </c>
      <c r="D221" s="11">
        <v>0.33</v>
      </c>
      <c r="E221" s="2">
        <f t="shared" si="15"/>
        <v>0.95</v>
      </c>
      <c r="F221" s="10">
        <v>0.02</v>
      </c>
      <c r="G221" s="10">
        <v>7.0000000000000007E-2</v>
      </c>
      <c r="H221" s="12">
        <f t="shared" si="16"/>
        <v>0.34320000000000001</v>
      </c>
      <c r="I221" s="12">
        <f t="shared" si="17"/>
        <v>1.3832</v>
      </c>
      <c r="J221" s="2">
        <f>I221*250</f>
        <v>345.8</v>
      </c>
      <c r="K221" s="2"/>
      <c r="L221" s="2"/>
      <c r="M221" s="2"/>
      <c r="N221" s="2"/>
      <c r="O221" s="2"/>
      <c r="P221" s="2"/>
      <c r="Q221" s="28">
        <f t="shared" si="14"/>
        <v>24.81203007518797</v>
      </c>
    </row>
    <row r="222" spans="1:17" hidden="1" x14ac:dyDescent="0.25">
      <c r="A222" s="16">
        <v>45567</v>
      </c>
      <c r="B222" s="2" t="s">
        <v>85</v>
      </c>
      <c r="C222" s="2">
        <v>800</v>
      </c>
      <c r="D222" s="11">
        <v>0.29499999999999998</v>
      </c>
      <c r="E222" s="2">
        <f t="shared" si="15"/>
        <v>0.8</v>
      </c>
      <c r="F222" s="10">
        <v>0.02</v>
      </c>
      <c r="G222" s="10">
        <v>7.0000000000000007E-2</v>
      </c>
      <c r="H222" s="12">
        <f t="shared" si="16"/>
        <v>0.26255000000000001</v>
      </c>
      <c r="I222" s="12">
        <f t="shared" si="17"/>
        <v>1.1525500000000002</v>
      </c>
      <c r="J222" s="2"/>
      <c r="K222" s="2">
        <f>I222*300</f>
        <v>345.76500000000004</v>
      </c>
      <c r="L222" s="2"/>
      <c r="M222" s="2"/>
      <c r="N222" s="2"/>
      <c r="O222" s="2"/>
      <c r="P222" s="2"/>
      <c r="Q222" s="28">
        <f t="shared" si="14"/>
        <v>22.779922779922778</v>
      </c>
    </row>
    <row r="223" spans="1:17" x14ac:dyDescent="0.25">
      <c r="A223" s="16">
        <v>45568</v>
      </c>
      <c r="B223" s="2" t="s">
        <v>119</v>
      </c>
      <c r="C223" s="2">
        <v>630</v>
      </c>
      <c r="D223" s="11">
        <v>0.1</v>
      </c>
      <c r="E223" s="2">
        <f t="shared" si="15"/>
        <v>0.63</v>
      </c>
      <c r="F223" s="10">
        <v>0.02</v>
      </c>
      <c r="G223" s="10">
        <v>7.0000000000000007E-2</v>
      </c>
      <c r="H223" s="12">
        <f t="shared" si="16"/>
        <v>7.1999999999999995E-2</v>
      </c>
      <c r="I223" s="12">
        <f t="shared" si="17"/>
        <v>0.79199999999999993</v>
      </c>
      <c r="J223" s="2"/>
      <c r="K223" s="2"/>
      <c r="L223" s="2">
        <f>I223*500</f>
        <v>395.99999999999994</v>
      </c>
      <c r="M223" s="2">
        <f>I223*750</f>
        <v>594</v>
      </c>
      <c r="N223" s="2"/>
      <c r="O223" s="2"/>
      <c r="P223" s="2"/>
      <c r="Q223" s="28">
        <f t="shared" si="14"/>
        <v>9.0909090909090899</v>
      </c>
    </row>
    <row r="224" spans="1:17" hidden="1" x14ac:dyDescent="0.25">
      <c r="A224" s="16">
        <v>45568</v>
      </c>
      <c r="B224" s="2" t="s">
        <v>98</v>
      </c>
      <c r="C224" s="2">
        <v>480</v>
      </c>
      <c r="D224" s="11">
        <v>0.112</v>
      </c>
      <c r="E224" s="2">
        <f t="shared" si="15"/>
        <v>0.48</v>
      </c>
      <c r="F224" s="10">
        <v>0.02</v>
      </c>
      <c r="G224" s="10">
        <v>7.0000000000000007E-2</v>
      </c>
      <c r="H224" s="12">
        <f t="shared" si="16"/>
        <v>6.3840000000000008E-2</v>
      </c>
      <c r="I224" s="12">
        <f t="shared" si="17"/>
        <v>0.63384000000000007</v>
      </c>
      <c r="J224" s="2"/>
      <c r="K224" s="2"/>
      <c r="L224" s="2"/>
      <c r="M224" s="2">
        <f>I224*750</f>
        <v>475.38000000000005</v>
      </c>
      <c r="N224" s="2">
        <f>I224*1000</f>
        <v>633.84</v>
      </c>
      <c r="O224" s="2"/>
      <c r="P224" s="2"/>
      <c r="Q224" s="28">
        <f t="shared" si="14"/>
        <v>10.071942446043165</v>
      </c>
    </row>
    <row r="225" spans="1:17" hidden="1" x14ac:dyDescent="0.25">
      <c r="A225" s="16">
        <v>45568</v>
      </c>
      <c r="B225" s="2" t="s">
        <v>85</v>
      </c>
      <c r="C225" s="2">
        <v>800</v>
      </c>
      <c r="D225" s="11">
        <v>0.1</v>
      </c>
      <c r="E225" s="2">
        <f t="shared" si="15"/>
        <v>0.8</v>
      </c>
      <c r="F225" s="10">
        <v>0.02</v>
      </c>
      <c r="G225" s="10">
        <v>7.0000000000000007E-2</v>
      </c>
      <c r="H225" s="12">
        <f t="shared" si="16"/>
        <v>8.9000000000000024E-2</v>
      </c>
      <c r="I225" s="12">
        <f t="shared" si="17"/>
        <v>0.97900000000000009</v>
      </c>
      <c r="J225" s="2"/>
      <c r="K225" s="2">
        <f>I225*300</f>
        <v>293.70000000000005</v>
      </c>
      <c r="L225" s="2"/>
      <c r="M225" s="2"/>
      <c r="N225" s="2"/>
      <c r="O225" s="2"/>
      <c r="P225" s="2"/>
      <c r="Q225" s="28">
        <f t="shared" si="14"/>
        <v>9.0909090909090935</v>
      </c>
    </row>
    <row r="226" spans="1:17" x14ac:dyDescent="0.25">
      <c r="A226" s="16">
        <v>45569</v>
      </c>
      <c r="B226" s="2" t="s">
        <v>127</v>
      </c>
      <c r="C226" s="2">
        <v>630</v>
      </c>
      <c r="D226" s="11">
        <v>9.8000000000000004E-2</v>
      </c>
      <c r="E226" s="2">
        <f t="shared" si="15"/>
        <v>0.63</v>
      </c>
      <c r="F226" s="10">
        <v>0.02</v>
      </c>
      <c r="G226" s="10">
        <v>7.0000000000000007E-2</v>
      </c>
      <c r="H226" s="12">
        <f t="shared" si="16"/>
        <v>7.0559999999999998E-2</v>
      </c>
      <c r="I226" s="12">
        <f t="shared" si="17"/>
        <v>0.79055999999999993</v>
      </c>
      <c r="J226" s="2"/>
      <c r="K226" s="2"/>
      <c r="L226" s="2">
        <f>I226*500</f>
        <v>395.28</v>
      </c>
      <c r="M226" s="2"/>
      <c r="N226" s="2"/>
      <c r="O226" s="2"/>
      <c r="P226" s="2"/>
      <c r="Q226" s="28">
        <f t="shared" si="14"/>
        <v>8.9253187613843359</v>
      </c>
    </row>
    <row r="227" spans="1:17" hidden="1" x14ac:dyDescent="0.25">
      <c r="A227" s="16">
        <v>45569</v>
      </c>
      <c r="B227" s="2" t="s">
        <v>84</v>
      </c>
      <c r="C227" s="10">
        <v>600</v>
      </c>
      <c r="D227" s="11">
        <v>0.14499999999999999</v>
      </c>
      <c r="E227" s="2">
        <f t="shared" si="15"/>
        <v>0.6</v>
      </c>
      <c r="F227" s="10">
        <v>0.02</v>
      </c>
      <c r="G227" s="10">
        <v>7.0000000000000007E-2</v>
      </c>
      <c r="H227" s="12">
        <f t="shared" si="16"/>
        <v>0.10004999999999999</v>
      </c>
      <c r="I227" s="12">
        <f t="shared" si="17"/>
        <v>0.79004999999999992</v>
      </c>
      <c r="J227" s="10"/>
      <c r="K227" s="10"/>
      <c r="L227" s="10">
        <f>I227*500</f>
        <v>395.02499999999998</v>
      </c>
      <c r="M227" s="10"/>
      <c r="N227" s="10"/>
      <c r="O227" s="10"/>
      <c r="P227" s="10"/>
      <c r="Q227" s="28">
        <f t="shared" si="14"/>
        <v>12.663755458515283</v>
      </c>
    </row>
    <row r="228" spans="1:17" hidden="1" x14ac:dyDescent="0.25">
      <c r="A228" s="16">
        <v>45569</v>
      </c>
      <c r="B228" s="2" t="s">
        <v>139</v>
      </c>
      <c r="C228" s="2">
        <v>1000</v>
      </c>
      <c r="D228" s="11">
        <v>0.246</v>
      </c>
      <c r="E228" s="2">
        <f t="shared" si="15"/>
        <v>1</v>
      </c>
      <c r="F228" s="10">
        <v>0.02</v>
      </c>
      <c r="G228" s="10">
        <v>7.0000000000000007E-2</v>
      </c>
      <c r="H228" s="12">
        <f t="shared" si="16"/>
        <v>0.26813999999999999</v>
      </c>
      <c r="I228" s="12">
        <f t="shared" si="17"/>
        <v>1.3581400000000001</v>
      </c>
      <c r="J228" s="2"/>
      <c r="K228" s="2">
        <f>I228*350</f>
        <v>475.34900000000005</v>
      </c>
      <c r="L228" s="2"/>
      <c r="M228" s="2"/>
      <c r="N228" s="2"/>
      <c r="O228" s="2"/>
      <c r="P228" s="2"/>
      <c r="Q228" s="28">
        <f t="shared" si="14"/>
        <v>19.743178170144461</v>
      </c>
    </row>
    <row r="229" spans="1:17" hidden="1" x14ac:dyDescent="0.25">
      <c r="A229" s="16">
        <v>45569</v>
      </c>
      <c r="B229" s="2" t="s">
        <v>86</v>
      </c>
      <c r="C229" s="2">
        <v>1000</v>
      </c>
      <c r="D229" s="11">
        <v>0.19500000000000001</v>
      </c>
      <c r="E229" s="2">
        <f t="shared" si="15"/>
        <v>1</v>
      </c>
      <c r="F229" s="10">
        <v>0.02</v>
      </c>
      <c r="G229" s="10">
        <v>7.0000000000000007E-2</v>
      </c>
      <c r="H229" s="12">
        <f t="shared" si="16"/>
        <v>0.21255000000000002</v>
      </c>
      <c r="I229" s="12">
        <f t="shared" si="17"/>
        <v>1.3025500000000001</v>
      </c>
      <c r="J229" s="2">
        <f>I229*250</f>
        <v>325.63750000000005</v>
      </c>
      <c r="K229" s="2"/>
      <c r="L229" s="2"/>
      <c r="M229" s="2"/>
      <c r="N229" s="2"/>
      <c r="O229" s="2"/>
      <c r="P229" s="2"/>
      <c r="Q229" s="28">
        <f t="shared" ref="Q229:Q292" si="18">H229/I229%</f>
        <v>16.317991631799163</v>
      </c>
    </row>
    <row r="230" spans="1:17" hidden="1" x14ac:dyDescent="0.25">
      <c r="A230" s="16">
        <v>45570</v>
      </c>
      <c r="B230" s="2" t="s">
        <v>84</v>
      </c>
      <c r="C230" s="2">
        <v>600</v>
      </c>
      <c r="D230" s="11">
        <v>0.14499999999999999</v>
      </c>
      <c r="E230" s="2">
        <f t="shared" si="15"/>
        <v>0.6</v>
      </c>
      <c r="F230" s="10">
        <v>0.02</v>
      </c>
      <c r="G230" s="10">
        <v>7.0000000000000007E-2</v>
      </c>
      <c r="H230" s="12">
        <f t="shared" si="16"/>
        <v>0.10004999999999999</v>
      </c>
      <c r="I230" s="12">
        <f t="shared" si="17"/>
        <v>0.79004999999999992</v>
      </c>
      <c r="J230" s="2"/>
      <c r="K230" s="2"/>
      <c r="L230" s="2">
        <f>I230*500</f>
        <v>395.02499999999998</v>
      </c>
      <c r="M230" s="2"/>
      <c r="N230" s="2"/>
      <c r="O230" s="2"/>
      <c r="P230" s="2"/>
      <c r="Q230" s="28">
        <f t="shared" si="18"/>
        <v>12.663755458515283</v>
      </c>
    </row>
    <row r="231" spans="1:17" hidden="1" x14ac:dyDescent="0.25">
      <c r="A231" s="16">
        <v>45570</v>
      </c>
      <c r="B231" s="2" t="s">
        <v>123</v>
      </c>
      <c r="C231" s="2">
        <v>1200</v>
      </c>
      <c r="D231" s="11">
        <v>0.125</v>
      </c>
      <c r="E231" s="2">
        <f t="shared" si="15"/>
        <v>1.2</v>
      </c>
      <c r="F231" s="10">
        <v>0.02</v>
      </c>
      <c r="G231" s="10">
        <v>7.0000000000000007E-2</v>
      </c>
      <c r="H231" s="12">
        <f t="shared" si="16"/>
        <v>0.16125</v>
      </c>
      <c r="I231" s="12">
        <f t="shared" si="17"/>
        <v>1.4512499999999999</v>
      </c>
      <c r="J231" s="2"/>
      <c r="K231" s="2"/>
      <c r="L231" s="2">
        <f>I231*500</f>
        <v>725.625</v>
      </c>
      <c r="M231" s="2"/>
      <c r="N231" s="2"/>
      <c r="O231" s="2"/>
      <c r="P231" s="2"/>
      <c r="Q231" s="28">
        <f t="shared" si="18"/>
        <v>11.111111111111112</v>
      </c>
    </row>
    <row r="232" spans="1:17" hidden="1" x14ac:dyDescent="0.25">
      <c r="A232" s="16">
        <v>45570</v>
      </c>
      <c r="B232" s="2" t="s">
        <v>86</v>
      </c>
      <c r="C232" s="2">
        <v>970</v>
      </c>
      <c r="D232" s="11">
        <v>0</v>
      </c>
      <c r="E232" s="2">
        <f t="shared" si="15"/>
        <v>0.97</v>
      </c>
      <c r="F232" s="10">
        <v>0.02</v>
      </c>
      <c r="G232" s="10">
        <v>7.0000000000000007E-2</v>
      </c>
      <c r="H232" s="12">
        <f t="shared" si="16"/>
        <v>0</v>
      </c>
      <c r="I232" s="12">
        <f t="shared" si="17"/>
        <v>1.06</v>
      </c>
      <c r="J232" s="2">
        <f>I232*250</f>
        <v>265</v>
      </c>
      <c r="K232" s="2"/>
      <c r="L232" s="2"/>
      <c r="M232" s="2"/>
      <c r="N232" s="2"/>
      <c r="O232" s="2"/>
      <c r="P232" s="2"/>
      <c r="Q232" s="28">
        <f t="shared" si="18"/>
        <v>0</v>
      </c>
    </row>
    <row r="233" spans="1:17" hidden="1" x14ac:dyDescent="0.25">
      <c r="A233" s="16">
        <v>45570</v>
      </c>
      <c r="B233" s="2" t="s">
        <v>85</v>
      </c>
      <c r="C233" s="2">
        <v>800</v>
      </c>
      <c r="D233" s="11">
        <v>0</v>
      </c>
      <c r="E233" s="2">
        <f t="shared" si="15"/>
        <v>0.8</v>
      </c>
      <c r="F233" s="10">
        <v>0.02</v>
      </c>
      <c r="G233" s="10">
        <v>7.0000000000000007E-2</v>
      </c>
      <c r="H233" s="12">
        <f t="shared" si="16"/>
        <v>0</v>
      </c>
      <c r="I233" s="12">
        <f t="shared" si="17"/>
        <v>0.89000000000000012</v>
      </c>
      <c r="J233" s="2"/>
      <c r="K233" s="2">
        <f>I233*300</f>
        <v>267.00000000000006</v>
      </c>
      <c r="L233" s="2"/>
      <c r="M233" s="2"/>
      <c r="N233" s="2"/>
      <c r="O233" s="2"/>
      <c r="P233" s="2"/>
      <c r="Q233" s="28">
        <f t="shared" si="18"/>
        <v>0</v>
      </c>
    </row>
    <row r="234" spans="1:17" x14ac:dyDescent="0.25">
      <c r="A234" s="16">
        <v>45573</v>
      </c>
      <c r="B234" s="2" t="s">
        <v>119</v>
      </c>
      <c r="C234" s="2">
        <v>580</v>
      </c>
      <c r="D234" s="11">
        <v>0.183</v>
      </c>
      <c r="E234" s="2">
        <f t="shared" si="15"/>
        <v>0.57999999999999996</v>
      </c>
      <c r="F234" s="10">
        <v>0.02</v>
      </c>
      <c r="G234" s="10">
        <v>7.0000000000000007E-2</v>
      </c>
      <c r="H234" s="12">
        <f t="shared" si="16"/>
        <v>0.12260999999999998</v>
      </c>
      <c r="I234" s="12">
        <f t="shared" si="17"/>
        <v>0.79260999999999993</v>
      </c>
      <c r="J234" s="2"/>
      <c r="K234" s="2"/>
      <c r="L234" s="2">
        <f>I234*500</f>
        <v>396.30499999999995</v>
      </c>
      <c r="M234" s="2">
        <f>I234*750</f>
        <v>594.45749999999998</v>
      </c>
      <c r="N234" s="2"/>
      <c r="O234" s="2"/>
      <c r="P234" s="2"/>
      <c r="Q234" s="28">
        <f t="shared" si="18"/>
        <v>15.469146238377009</v>
      </c>
    </row>
    <row r="235" spans="1:17" hidden="1" x14ac:dyDescent="0.25">
      <c r="A235" s="16">
        <v>45573</v>
      </c>
      <c r="B235" s="2" t="s">
        <v>123</v>
      </c>
      <c r="C235" s="2">
        <v>1050</v>
      </c>
      <c r="D235" s="11">
        <v>0.27300000000000002</v>
      </c>
      <c r="E235" s="2">
        <f t="shared" si="15"/>
        <v>1.05</v>
      </c>
      <c r="F235" s="10">
        <v>0.02</v>
      </c>
      <c r="G235" s="10">
        <v>7.0000000000000007E-2</v>
      </c>
      <c r="H235" s="12">
        <f t="shared" si="16"/>
        <v>0.31122000000000005</v>
      </c>
      <c r="I235" s="12">
        <f t="shared" si="17"/>
        <v>1.4512200000000002</v>
      </c>
      <c r="J235" s="2"/>
      <c r="K235" s="2"/>
      <c r="L235" s="2">
        <f>I235*500</f>
        <v>725.61000000000013</v>
      </c>
      <c r="M235" s="2"/>
      <c r="N235" s="2"/>
      <c r="O235" s="2"/>
      <c r="P235" s="2"/>
      <c r="Q235" s="28">
        <f t="shared" si="18"/>
        <v>21.445404556166537</v>
      </c>
    </row>
    <row r="236" spans="1:17" hidden="1" x14ac:dyDescent="0.25">
      <c r="A236" s="16">
        <v>45573</v>
      </c>
      <c r="B236" s="2" t="s">
        <v>85</v>
      </c>
      <c r="C236" s="2">
        <v>750</v>
      </c>
      <c r="D236" s="11">
        <v>0.17</v>
      </c>
      <c r="E236" s="2">
        <f t="shared" si="15"/>
        <v>0.75</v>
      </c>
      <c r="F236" s="10">
        <v>0.02</v>
      </c>
      <c r="G236" s="10">
        <v>7.0000000000000007E-2</v>
      </c>
      <c r="H236" s="12">
        <f t="shared" si="16"/>
        <v>0.14280000000000001</v>
      </c>
      <c r="I236" s="12">
        <f t="shared" si="17"/>
        <v>0.98280000000000012</v>
      </c>
      <c r="J236" s="2"/>
      <c r="K236" s="2">
        <f>I236*300</f>
        <v>294.84000000000003</v>
      </c>
      <c r="L236" s="2"/>
      <c r="M236" s="2"/>
      <c r="N236" s="2"/>
      <c r="O236" s="2"/>
      <c r="P236" s="2"/>
      <c r="Q236" s="28">
        <f t="shared" si="18"/>
        <v>14.529914529914528</v>
      </c>
    </row>
    <row r="237" spans="1:17" hidden="1" x14ac:dyDescent="0.25">
      <c r="A237" s="16">
        <v>45574</v>
      </c>
      <c r="B237" s="2" t="s">
        <v>161</v>
      </c>
      <c r="C237" s="2">
        <v>1500</v>
      </c>
      <c r="D237" s="11">
        <v>0.152</v>
      </c>
      <c r="E237" s="2">
        <f t="shared" si="15"/>
        <v>1.5</v>
      </c>
      <c r="F237" s="10">
        <v>0.02</v>
      </c>
      <c r="G237" s="10">
        <v>7.0000000000000007E-2</v>
      </c>
      <c r="H237" s="12">
        <f t="shared" si="16"/>
        <v>0.24168000000000001</v>
      </c>
      <c r="I237" s="12">
        <f t="shared" si="17"/>
        <v>1.83168</v>
      </c>
      <c r="J237" s="2"/>
      <c r="K237" s="2"/>
      <c r="L237" s="2"/>
      <c r="M237" s="2">
        <f>I237*680</f>
        <v>1245.5424</v>
      </c>
      <c r="N237" s="2">
        <f>I237*1000</f>
        <v>1831.68</v>
      </c>
      <c r="O237" s="2"/>
      <c r="P237" s="2"/>
      <c r="Q237" s="28">
        <f t="shared" si="18"/>
        <v>13.194444444444445</v>
      </c>
    </row>
    <row r="238" spans="1:17" hidden="1" x14ac:dyDescent="0.25">
      <c r="A238" s="16">
        <v>45575</v>
      </c>
      <c r="B238" s="2" t="s">
        <v>139</v>
      </c>
      <c r="C238" s="2">
        <v>1200</v>
      </c>
      <c r="D238" s="11">
        <v>0.15</v>
      </c>
      <c r="E238" s="2">
        <f t="shared" si="15"/>
        <v>1.2</v>
      </c>
      <c r="F238" s="10">
        <v>0.02</v>
      </c>
      <c r="G238" s="10">
        <v>7.0000000000000007E-2</v>
      </c>
      <c r="H238" s="12">
        <f t="shared" si="16"/>
        <v>0.19350000000000001</v>
      </c>
      <c r="I238" s="12">
        <f t="shared" si="17"/>
        <v>1.4835</v>
      </c>
      <c r="J238" s="2"/>
      <c r="K238" s="2">
        <f>I238*300</f>
        <v>445.05</v>
      </c>
      <c r="L238" s="2"/>
      <c r="M238" s="2"/>
      <c r="N238" s="2"/>
      <c r="O238" s="2"/>
      <c r="P238" s="2"/>
      <c r="Q238" s="28">
        <f t="shared" si="18"/>
        <v>13.043478260869565</v>
      </c>
    </row>
    <row r="239" spans="1:17" hidden="1" x14ac:dyDescent="0.25">
      <c r="A239" s="16">
        <v>45575</v>
      </c>
      <c r="B239" s="2" t="s">
        <v>96</v>
      </c>
      <c r="C239" s="2">
        <v>1500</v>
      </c>
      <c r="D239" s="11">
        <v>0.126</v>
      </c>
      <c r="E239" s="2">
        <f t="shared" si="15"/>
        <v>1.5</v>
      </c>
      <c r="F239" s="10">
        <v>0.02</v>
      </c>
      <c r="G239" s="10">
        <v>7.0000000000000007E-2</v>
      </c>
      <c r="H239" s="12">
        <f t="shared" si="16"/>
        <v>0.20034000000000002</v>
      </c>
      <c r="I239" s="12">
        <f t="shared" si="17"/>
        <v>1.79034</v>
      </c>
      <c r="J239" s="2"/>
      <c r="K239" s="2"/>
      <c r="L239" s="2">
        <f>I239*500</f>
        <v>895.17000000000007</v>
      </c>
      <c r="M239" s="2"/>
      <c r="N239" s="2">
        <f>I239*1000</f>
        <v>1790.3400000000001</v>
      </c>
      <c r="O239" s="2"/>
      <c r="P239" s="2"/>
      <c r="Q239" s="28">
        <f t="shared" si="18"/>
        <v>11.19005328596803</v>
      </c>
    </row>
    <row r="240" spans="1:17" x14ac:dyDescent="0.25">
      <c r="A240" s="16">
        <v>45576</v>
      </c>
      <c r="B240" s="2" t="s">
        <v>136</v>
      </c>
      <c r="C240" s="2">
        <v>580</v>
      </c>
      <c r="D240" s="11">
        <v>0.187</v>
      </c>
      <c r="E240" s="2">
        <f t="shared" si="15"/>
        <v>0.57999999999999996</v>
      </c>
      <c r="F240" s="10">
        <v>0.02</v>
      </c>
      <c r="G240" s="10">
        <v>7.0000000000000007E-2</v>
      </c>
      <c r="H240" s="12">
        <f t="shared" si="16"/>
        <v>0.12528999999999998</v>
      </c>
      <c r="I240" s="12">
        <f t="shared" si="17"/>
        <v>0.79528999999999994</v>
      </c>
      <c r="J240" s="2"/>
      <c r="K240" s="2"/>
      <c r="L240" s="2"/>
      <c r="M240" s="2"/>
      <c r="N240" s="2">
        <f>I240*1000</f>
        <v>795.29</v>
      </c>
      <c r="O240" s="2"/>
      <c r="P240" s="2"/>
      <c r="Q240" s="28">
        <f t="shared" si="18"/>
        <v>15.754001684919967</v>
      </c>
    </row>
    <row r="241" spans="1:17" x14ac:dyDescent="0.25">
      <c r="A241" s="16">
        <v>45576</v>
      </c>
      <c r="B241" s="2" t="s">
        <v>119</v>
      </c>
      <c r="C241" s="2">
        <v>580</v>
      </c>
      <c r="D241" s="11">
        <v>0.185</v>
      </c>
      <c r="E241" s="2">
        <f t="shared" si="15"/>
        <v>0.57999999999999996</v>
      </c>
      <c r="F241" s="10">
        <v>0.02</v>
      </c>
      <c r="G241" s="10">
        <v>7.0000000000000007E-2</v>
      </c>
      <c r="H241" s="12">
        <f t="shared" si="16"/>
        <v>0.12394999999999999</v>
      </c>
      <c r="I241" s="12">
        <f t="shared" si="17"/>
        <v>0.79394999999999993</v>
      </c>
      <c r="J241" s="2"/>
      <c r="K241" s="2"/>
      <c r="L241" s="2"/>
      <c r="M241" s="2">
        <f>I241*750</f>
        <v>595.46249999999998</v>
      </c>
      <c r="N241" s="2"/>
      <c r="O241" s="2"/>
      <c r="P241" s="2"/>
      <c r="Q241" s="28">
        <f t="shared" si="18"/>
        <v>15.611814345991563</v>
      </c>
    </row>
    <row r="242" spans="1:17" hidden="1" x14ac:dyDescent="0.25">
      <c r="A242" s="16">
        <v>45576</v>
      </c>
      <c r="B242" s="2" t="s">
        <v>123</v>
      </c>
      <c r="C242" s="2">
        <v>1050</v>
      </c>
      <c r="D242" s="11">
        <v>0.27300000000000002</v>
      </c>
      <c r="E242" s="2">
        <f t="shared" si="15"/>
        <v>1.05</v>
      </c>
      <c r="F242" s="10">
        <v>0.02</v>
      </c>
      <c r="G242" s="10">
        <v>7.0000000000000007E-2</v>
      </c>
      <c r="H242" s="12">
        <f t="shared" si="16"/>
        <v>0.31122000000000005</v>
      </c>
      <c r="I242" s="12">
        <f t="shared" si="17"/>
        <v>1.4512200000000002</v>
      </c>
      <c r="J242" s="2"/>
      <c r="K242" s="2"/>
      <c r="L242" s="2">
        <f>I242*500</f>
        <v>725.61000000000013</v>
      </c>
      <c r="M242" s="2"/>
      <c r="N242" s="2"/>
      <c r="O242" s="2"/>
      <c r="P242" s="2"/>
      <c r="Q242" s="28">
        <f t="shared" si="18"/>
        <v>21.445404556166537</v>
      </c>
    </row>
    <row r="243" spans="1:17" hidden="1" x14ac:dyDescent="0.25">
      <c r="A243" s="16">
        <v>45576</v>
      </c>
      <c r="B243" s="2" t="s">
        <v>86</v>
      </c>
      <c r="C243" s="2">
        <v>900</v>
      </c>
      <c r="D243" s="11">
        <v>0.314</v>
      </c>
      <c r="E243" s="2">
        <f t="shared" si="15"/>
        <v>0.9</v>
      </c>
      <c r="F243" s="10">
        <v>0.02</v>
      </c>
      <c r="G243" s="10">
        <v>7.0000000000000007E-2</v>
      </c>
      <c r="H243" s="12">
        <f t="shared" si="16"/>
        <v>0.31086000000000003</v>
      </c>
      <c r="I243" s="12">
        <f t="shared" si="17"/>
        <v>1.3008600000000001</v>
      </c>
      <c r="J243" s="2">
        <f>I243*250</f>
        <v>325.21500000000003</v>
      </c>
      <c r="K243" s="2"/>
      <c r="L243" s="2"/>
      <c r="M243" s="2"/>
      <c r="N243" s="2"/>
      <c r="O243" s="2"/>
      <c r="P243" s="2"/>
      <c r="Q243" s="28">
        <f t="shared" si="18"/>
        <v>23.896499238964992</v>
      </c>
    </row>
    <row r="244" spans="1:17" hidden="1" x14ac:dyDescent="0.25">
      <c r="A244" s="16">
        <v>45577</v>
      </c>
      <c r="B244" s="2" t="s">
        <v>164</v>
      </c>
      <c r="C244" s="10">
        <v>450</v>
      </c>
      <c r="D244" s="11">
        <v>0.34599999999999997</v>
      </c>
      <c r="E244" s="10">
        <f t="shared" si="15"/>
        <v>0.45</v>
      </c>
      <c r="F244" s="10">
        <v>0.02</v>
      </c>
      <c r="G244" s="10">
        <v>7.0000000000000007E-2</v>
      </c>
      <c r="H244" s="12">
        <f t="shared" si="16"/>
        <v>0.18684000000000001</v>
      </c>
      <c r="I244" s="12">
        <f t="shared" si="17"/>
        <v>0.72684000000000004</v>
      </c>
      <c r="J244" s="10"/>
      <c r="K244" s="10"/>
      <c r="L244" s="10"/>
      <c r="M244" s="10">
        <f>I244*750</f>
        <v>545.13</v>
      </c>
      <c r="N244" s="10"/>
      <c r="O244" s="10"/>
      <c r="P244" s="10" t="s">
        <v>72</v>
      </c>
      <c r="Q244" s="28">
        <f t="shared" si="18"/>
        <v>25.705794947994058</v>
      </c>
    </row>
    <row r="245" spans="1:17" hidden="1" x14ac:dyDescent="0.25">
      <c r="A245" s="16">
        <v>45577</v>
      </c>
      <c r="B245" s="2" t="s">
        <v>100</v>
      </c>
      <c r="C245" s="2">
        <v>400</v>
      </c>
      <c r="D245" s="11">
        <v>0.41</v>
      </c>
      <c r="E245" s="2">
        <f t="shared" si="15"/>
        <v>0.4</v>
      </c>
      <c r="F245" s="10">
        <v>0.02</v>
      </c>
      <c r="G245" s="10">
        <v>7.0000000000000007E-2</v>
      </c>
      <c r="H245" s="12">
        <f t="shared" si="16"/>
        <v>0.2009</v>
      </c>
      <c r="I245" s="12">
        <f t="shared" si="17"/>
        <v>0.69090000000000007</v>
      </c>
      <c r="J245" s="2"/>
      <c r="K245" s="2"/>
      <c r="L245" s="2">
        <f>I245*500</f>
        <v>345.45000000000005</v>
      </c>
      <c r="M245" s="2"/>
      <c r="N245" s="2"/>
      <c r="O245" s="2"/>
      <c r="P245" s="2"/>
      <c r="Q245" s="28">
        <f t="shared" si="18"/>
        <v>29.078014184397158</v>
      </c>
    </row>
    <row r="246" spans="1:17" hidden="1" x14ac:dyDescent="0.25">
      <c r="A246" s="16">
        <v>45577</v>
      </c>
      <c r="B246" s="2" t="s">
        <v>163</v>
      </c>
      <c r="C246" s="10">
        <v>400</v>
      </c>
      <c r="D246" s="11">
        <v>0.20499999999999999</v>
      </c>
      <c r="E246" s="2">
        <f t="shared" si="15"/>
        <v>0.4</v>
      </c>
      <c r="F246" s="10">
        <v>0.02</v>
      </c>
      <c r="G246" s="10">
        <v>7.0000000000000007E-2</v>
      </c>
      <c r="H246" s="12">
        <f t="shared" si="16"/>
        <v>0.10045</v>
      </c>
      <c r="I246" s="12">
        <f t="shared" si="17"/>
        <v>0.59045000000000003</v>
      </c>
      <c r="J246" s="10"/>
      <c r="K246" s="10"/>
      <c r="L246" s="10">
        <f>I246*500</f>
        <v>295.22500000000002</v>
      </c>
      <c r="M246" s="10"/>
      <c r="N246" s="10"/>
      <c r="O246" s="10"/>
      <c r="P246" s="10"/>
      <c r="Q246" s="28">
        <f t="shared" si="18"/>
        <v>17.012448132780083</v>
      </c>
    </row>
    <row r="247" spans="1:17" hidden="1" x14ac:dyDescent="0.25">
      <c r="A247" s="16">
        <v>45577</v>
      </c>
      <c r="B247" s="2" t="s">
        <v>98</v>
      </c>
      <c r="C247" s="2">
        <v>470</v>
      </c>
      <c r="D247" s="11">
        <v>0.41699999999999998</v>
      </c>
      <c r="E247" s="2">
        <f t="shared" si="15"/>
        <v>0.47</v>
      </c>
      <c r="F247" s="10">
        <v>0.02</v>
      </c>
      <c r="G247" s="10">
        <v>7.0000000000000007E-2</v>
      </c>
      <c r="H247" s="12">
        <f t="shared" si="16"/>
        <v>0.23352000000000001</v>
      </c>
      <c r="I247" s="12">
        <f t="shared" si="17"/>
        <v>0.79352</v>
      </c>
      <c r="J247" s="2"/>
      <c r="K247" s="2"/>
      <c r="L247" s="2"/>
      <c r="M247" s="2">
        <f>I247*750</f>
        <v>595.14</v>
      </c>
      <c r="N247" s="2"/>
      <c r="O247" s="2"/>
      <c r="P247" s="2"/>
      <c r="Q247" s="28">
        <f t="shared" si="18"/>
        <v>29.428369795342274</v>
      </c>
    </row>
    <row r="248" spans="1:17" hidden="1" x14ac:dyDescent="0.25">
      <c r="A248" s="16">
        <v>45577</v>
      </c>
      <c r="B248" s="2" t="s">
        <v>122</v>
      </c>
      <c r="C248" s="2">
        <v>470</v>
      </c>
      <c r="D248" s="11">
        <v>0.23499999999999999</v>
      </c>
      <c r="E248" s="2">
        <f t="shared" si="15"/>
        <v>0.47</v>
      </c>
      <c r="F248" s="10">
        <v>0.02</v>
      </c>
      <c r="G248" s="10">
        <v>7.0000000000000007E-2</v>
      </c>
      <c r="H248" s="12">
        <f t="shared" si="16"/>
        <v>0.13159999999999999</v>
      </c>
      <c r="I248" s="12">
        <f t="shared" si="17"/>
        <v>0.69159999999999999</v>
      </c>
      <c r="J248" s="2"/>
      <c r="K248" s="2"/>
      <c r="L248" s="2">
        <f>I248*500</f>
        <v>345.8</v>
      </c>
      <c r="M248" s="2"/>
      <c r="N248" s="2"/>
      <c r="O248" s="2"/>
      <c r="P248" s="2"/>
      <c r="Q248" s="28">
        <f t="shared" si="18"/>
        <v>19.02834008097166</v>
      </c>
    </row>
    <row r="249" spans="1:17" hidden="1" x14ac:dyDescent="0.25">
      <c r="A249" s="16">
        <v>45577</v>
      </c>
      <c r="B249" s="10" t="s">
        <v>89</v>
      </c>
      <c r="C249" s="10">
        <v>530</v>
      </c>
      <c r="D249" s="11">
        <v>0.34499999999999997</v>
      </c>
      <c r="E249" s="10">
        <f t="shared" si="15"/>
        <v>0.53</v>
      </c>
      <c r="F249" s="10">
        <v>0.02</v>
      </c>
      <c r="G249" s="10">
        <v>7.0000000000000007E-2</v>
      </c>
      <c r="H249" s="12">
        <f t="shared" si="16"/>
        <v>0.21390000000000001</v>
      </c>
      <c r="I249" s="12">
        <f t="shared" si="17"/>
        <v>0.83390000000000009</v>
      </c>
      <c r="J249" s="10"/>
      <c r="K249" s="10"/>
      <c r="L249" s="10"/>
      <c r="M249" s="10">
        <f>I249*750</f>
        <v>625.42500000000007</v>
      </c>
      <c r="N249" s="10"/>
      <c r="O249" s="10"/>
      <c r="P249" s="10"/>
      <c r="Q249" s="28">
        <f t="shared" si="18"/>
        <v>25.650557620817843</v>
      </c>
    </row>
    <row r="250" spans="1:17" hidden="1" x14ac:dyDescent="0.25">
      <c r="A250" s="16">
        <v>45577</v>
      </c>
      <c r="B250" s="2" t="s">
        <v>123</v>
      </c>
      <c r="C250" s="2">
        <v>1100</v>
      </c>
      <c r="D250" s="11">
        <v>0.47199999999999998</v>
      </c>
      <c r="E250" s="2">
        <f t="shared" si="15"/>
        <v>1.1000000000000001</v>
      </c>
      <c r="F250" s="10">
        <v>0.02</v>
      </c>
      <c r="G250" s="10">
        <v>7.0000000000000007E-2</v>
      </c>
      <c r="H250" s="12">
        <f t="shared" si="16"/>
        <v>0.56168000000000007</v>
      </c>
      <c r="I250" s="12">
        <f t="shared" si="17"/>
        <v>1.7516800000000003</v>
      </c>
      <c r="J250" s="2"/>
      <c r="K250" s="2"/>
      <c r="L250" s="2">
        <f>I250*500</f>
        <v>875.84000000000015</v>
      </c>
      <c r="M250" s="2"/>
      <c r="N250" s="2"/>
      <c r="O250" s="2"/>
      <c r="P250" s="2"/>
      <c r="Q250" s="28">
        <f t="shared" si="18"/>
        <v>32.065217391304344</v>
      </c>
    </row>
    <row r="251" spans="1:17" hidden="1" x14ac:dyDescent="0.25">
      <c r="A251" s="16">
        <v>45577</v>
      </c>
      <c r="B251" s="2" t="s">
        <v>131</v>
      </c>
      <c r="C251" s="10">
        <v>1100</v>
      </c>
      <c r="D251" s="11">
        <v>0.38200000000000001</v>
      </c>
      <c r="E251" s="10">
        <f t="shared" si="15"/>
        <v>1.1000000000000001</v>
      </c>
      <c r="F251" s="10">
        <v>0.02</v>
      </c>
      <c r="G251" s="10">
        <v>7.0000000000000007E-2</v>
      </c>
      <c r="H251" s="12">
        <f t="shared" si="16"/>
        <v>0.4545800000000001</v>
      </c>
      <c r="I251" s="12">
        <f t="shared" si="17"/>
        <v>1.6445800000000004</v>
      </c>
      <c r="J251" s="10"/>
      <c r="K251" s="10">
        <f>I251*350</f>
        <v>575.60300000000018</v>
      </c>
      <c r="L251" s="10"/>
      <c r="M251" s="10"/>
      <c r="N251" s="10"/>
      <c r="O251" s="10"/>
      <c r="P251" s="10"/>
      <c r="Q251" s="28">
        <f t="shared" si="18"/>
        <v>27.641099855282199</v>
      </c>
    </row>
    <row r="252" spans="1:17" hidden="1" x14ac:dyDescent="0.25">
      <c r="A252" s="16">
        <v>45577</v>
      </c>
      <c r="B252" s="2" t="s">
        <v>85</v>
      </c>
      <c r="C252" s="2">
        <v>620</v>
      </c>
      <c r="D252" s="11">
        <v>0.38500000000000001</v>
      </c>
      <c r="E252" s="2">
        <f t="shared" si="15"/>
        <v>0.62</v>
      </c>
      <c r="F252" s="10">
        <v>0.02</v>
      </c>
      <c r="G252" s="10">
        <v>7.0000000000000007E-2</v>
      </c>
      <c r="H252" s="12">
        <f t="shared" si="16"/>
        <v>0.27334999999999998</v>
      </c>
      <c r="I252" s="12">
        <f t="shared" si="17"/>
        <v>0.98334999999999995</v>
      </c>
      <c r="J252" s="2"/>
      <c r="K252" s="2">
        <f>I252*300</f>
        <v>295.005</v>
      </c>
      <c r="L252" s="2"/>
      <c r="M252" s="2"/>
      <c r="N252" s="2"/>
      <c r="O252" s="2"/>
      <c r="P252" s="2"/>
      <c r="Q252" s="28">
        <f t="shared" si="18"/>
        <v>27.797833935018048</v>
      </c>
    </row>
    <row r="253" spans="1:17" x14ac:dyDescent="0.25">
      <c r="A253" s="16">
        <v>45578</v>
      </c>
      <c r="B253" s="2" t="s">
        <v>127</v>
      </c>
      <c r="C253" s="2">
        <v>580</v>
      </c>
      <c r="D253" s="11">
        <v>0.18</v>
      </c>
      <c r="E253" s="2">
        <f t="shared" si="15"/>
        <v>0.57999999999999996</v>
      </c>
      <c r="F253" s="10">
        <v>0.02</v>
      </c>
      <c r="G253" s="10">
        <v>7.0000000000000007E-2</v>
      </c>
      <c r="H253" s="12">
        <f t="shared" si="16"/>
        <v>0.12059999999999998</v>
      </c>
      <c r="I253" s="12">
        <f t="shared" si="17"/>
        <v>0.79059999999999997</v>
      </c>
      <c r="J253" s="2"/>
      <c r="K253" s="2"/>
      <c r="L253" s="2">
        <f>I253*500</f>
        <v>395.3</v>
      </c>
      <c r="M253" s="2"/>
      <c r="N253" s="2"/>
      <c r="O253" s="2"/>
      <c r="P253" s="2"/>
      <c r="Q253" s="28">
        <f t="shared" si="18"/>
        <v>15.254237288135592</v>
      </c>
    </row>
    <row r="254" spans="1:17" ht="14.25" customHeight="1" x14ac:dyDescent="0.25">
      <c r="A254" s="16">
        <v>45580</v>
      </c>
      <c r="B254" s="2" t="s">
        <v>136</v>
      </c>
      <c r="C254" s="2">
        <v>620</v>
      </c>
      <c r="D254" s="11">
        <v>0.26100000000000001</v>
      </c>
      <c r="E254" s="2">
        <f t="shared" si="15"/>
        <v>0.62</v>
      </c>
      <c r="F254" s="10">
        <v>0.02</v>
      </c>
      <c r="G254" s="10">
        <v>7.0000000000000007E-2</v>
      </c>
      <c r="H254" s="12">
        <f t="shared" si="16"/>
        <v>0.18531</v>
      </c>
      <c r="I254" s="12">
        <f t="shared" si="17"/>
        <v>0.89530999999999994</v>
      </c>
      <c r="J254" s="2"/>
      <c r="K254" s="2"/>
      <c r="L254" s="2"/>
      <c r="M254" s="2"/>
      <c r="N254" s="2">
        <f>I254*1000</f>
        <v>895.31</v>
      </c>
      <c r="O254" s="2"/>
      <c r="P254" s="2"/>
      <c r="Q254" s="28">
        <f t="shared" si="18"/>
        <v>20.697858842188744</v>
      </c>
    </row>
    <row r="255" spans="1:17" x14ac:dyDescent="0.25">
      <c r="A255" s="16">
        <v>45580</v>
      </c>
      <c r="B255" s="2" t="s">
        <v>119</v>
      </c>
      <c r="C255" s="2">
        <v>620</v>
      </c>
      <c r="D255" s="11">
        <v>0.30599999999999999</v>
      </c>
      <c r="E255" s="2">
        <f t="shared" si="15"/>
        <v>0.62</v>
      </c>
      <c r="F255" s="10">
        <v>0.02</v>
      </c>
      <c r="G255" s="10">
        <v>7.0000000000000007E-2</v>
      </c>
      <c r="H255" s="12">
        <f t="shared" si="16"/>
        <v>0.21725999999999998</v>
      </c>
      <c r="I255" s="12">
        <f t="shared" si="17"/>
        <v>0.92725999999999997</v>
      </c>
      <c r="J255" s="2"/>
      <c r="K255" s="2"/>
      <c r="L255" s="2"/>
      <c r="M255" s="2">
        <f>I255*750</f>
        <v>695.44499999999994</v>
      </c>
      <c r="N255" s="2"/>
      <c r="O255" s="2"/>
      <c r="P255" s="2"/>
      <c r="Q255" s="28">
        <f t="shared" si="18"/>
        <v>23.43032159264931</v>
      </c>
    </row>
    <row r="256" spans="1:17" x14ac:dyDescent="0.25">
      <c r="A256" s="16">
        <v>45580</v>
      </c>
      <c r="B256" s="2" t="s">
        <v>127</v>
      </c>
      <c r="C256" s="2">
        <v>620</v>
      </c>
      <c r="D256" s="11">
        <v>0.39500000000000002</v>
      </c>
      <c r="E256" s="2">
        <f t="shared" si="15"/>
        <v>0.62</v>
      </c>
      <c r="F256" s="10">
        <v>0.02</v>
      </c>
      <c r="G256" s="10">
        <v>7.0000000000000007E-2</v>
      </c>
      <c r="H256" s="12">
        <f t="shared" si="16"/>
        <v>0.28044999999999998</v>
      </c>
      <c r="I256" s="12">
        <f t="shared" si="17"/>
        <v>0.99044999999999994</v>
      </c>
      <c r="J256" s="2"/>
      <c r="K256" s="2"/>
      <c r="L256" s="2">
        <f>I256*500</f>
        <v>495.22499999999997</v>
      </c>
      <c r="M256" s="2"/>
      <c r="N256" s="2"/>
      <c r="O256" s="2"/>
      <c r="P256" s="2"/>
      <c r="Q256" s="28">
        <f t="shared" si="18"/>
        <v>28.315412186379927</v>
      </c>
    </row>
    <row r="257" spans="1:17" hidden="1" x14ac:dyDescent="0.25">
      <c r="A257" s="16">
        <v>45580</v>
      </c>
      <c r="B257" s="2" t="s">
        <v>141</v>
      </c>
      <c r="C257" s="10">
        <v>500</v>
      </c>
      <c r="D257" s="11">
        <v>0.34799999999999998</v>
      </c>
      <c r="E257" s="2">
        <f t="shared" si="15"/>
        <v>0.5</v>
      </c>
      <c r="F257" s="10">
        <v>0.02</v>
      </c>
      <c r="G257" s="10">
        <v>7.0000000000000007E-2</v>
      </c>
      <c r="H257" s="12">
        <f t="shared" si="16"/>
        <v>0.20532</v>
      </c>
      <c r="I257" s="12">
        <f t="shared" si="17"/>
        <v>0.79532000000000003</v>
      </c>
      <c r="J257" s="10"/>
      <c r="K257" s="10"/>
      <c r="L257" s="10"/>
      <c r="M257" s="10"/>
      <c r="N257" s="10">
        <f>I257*1000</f>
        <v>795.32</v>
      </c>
      <c r="O257" s="10"/>
      <c r="P257" s="10"/>
      <c r="Q257" s="28">
        <f t="shared" si="18"/>
        <v>25.816023738872403</v>
      </c>
    </row>
    <row r="258" spans="1:17" hidden="1" x14ac:dyDescent="0.25">
      <c r="A258" s="16">
        <v>45580</v>
      </c>
      <c r="B258" s="2" t="s">
        <v>164</v>
      </c>
      <c r="C258" s="10">
        <v>500</v>
      </c>
      <c r="D258" s="11">
        <v>0.34499999999999997</v>
      </c>
      <c r="E258" s="2">
        <f t="shared" si="15"/>
        <v>0.5</v>
      </c>
      <c r="F258" s="10">
        <v>0.02</v>
      </c>
      <c r="G258" s="10">
        <v>7.0000000000000007E-2</v>
      </c>
      <c r="H258" s="12">
        <f t="shared" si="16"/>
        <v>0.20355000000000001</v>
      </c>
      <c r="I258" s="12">
        <f t="shared" si="17"/>
        <v>0.79355000000000009</v>
      </c>
      <c r="J258" s="10"/>
      <c r="K258" s="10"/>
      <c r="L258" s="10"/>
      <c r="M258" s="10">
        <f>I258*750</f>
        <v>595.16250000000002</v>
      </c>
      <c r="N258" s="10" t="s">
        <v>72</v>
      </c>
      <c r="O258" s="10"/>
      <c r="P258" s="10" t="s">
        <v>72</v>
      </c>
      <c r="Q258" s="28">
        <f t="shared" si="18"/>
        <v>25.650557620817839</v>
      </c>
    </row>
    <row r="259" spans="1:17" hidden="1" x14ac:dyDescent="0.25">
      <c r="A259" s="16">
        <v>45580</v>
      </c>
      <c r="B259" s="2" t="s">
        <v>144</v>
      </c>
      <c r="C259" s="10">
        <v>600</v>
      </c>
      <c r="D259" s="11">
        <v>0.14799999999999999</v>
      </c>
      <c r="E259" s="2">
        <f t="shared" si="15"/>
        <v>0.6</v>
      </c>
      <c r="F259" s="10">
        <v>0.02</v>
      </c>
      <c r="G259" s="10">
        <v>7.0000000000000007E-2</v>
      </c>
      <c r="H259" s="12">
        <f t="shared" si="16"/>
        <v>0.10211999999999999</v>
      </c>
      <c r="I259" s="12">
        <f t="shared" si="17"/>
        <v>0.79211999999999994</v>
      </c>
      <c r="J259" s="2"/>
      <c r="K259" s="2"/>
      <c r="L259" s="10">
        <f>I259*600</f>
        <v>475.27199999999993</v>
      </c>
      <c r="M259" s="2"/>
      <c r="N259" s="2"/>
      <c r="O259" s="2"/>
      <c r="P259" s="2"/>
      <c r="Q259" s="28">
        <f t="shared" si="18"/>
        <v>12.89198606271777</v>
      </c>
    </row>
    <row r="260" spans="1:17" hidden="1" x14ac:dyDescent="0.25">
      <c r="A260" s="16">
        <v>45580</v>
      </c>
      <c r="B260" s="2" t="s">
        <v>98</v>
      </c>
      <c r="C260" s="2">
        <v>460</v>
      </c>
      <c r="D260" s="11">
        <v>0.39300000000000002</v>
      </c>
      <c r="E260" s="2">
        <f t="shared" ref="E260:E323" si="19">C260/1000</f>
        <v>0.46</v>
      </c>
      <c r="F260" s="10">
        <v>0.02</v>
      </c>
      <c r="G260" s="10">
        <v>7.0000000000000007E-2</v>
      </c>
      <c r="H260" s="12">
        <f t="shared" ref="H260:H323" si="20">SUM(E260:G260)*D260</f>
        <v>0.21615000000000004</v>
      </c>
      <c r="I260" s="12">
        <f t="shared" ref="I260:I323" si="21">SUM(E260:H260)</f>
        <v>0.76615000000000011</v>
      </c>
      <c r="J260" s="2"/>
      <c r="K260" s="2"/>
      <c r="L260" s="2"/>
      <c r="M260" s="2">
        <f>I260*750</f>
        <v>574.61250000000007</v>
      </c>
      <c r="N260" s="2" t="s">
        <v>72</v>
      </c>
      <c r="O260" s="2"/>
      <c r="P260" s="2"/>
      <c r="Q260" s="28">
        <f t="shared" si="18"/>
        <v>28.212491026561381</v>
      </c>
    </row>
    <row r="261" spans="1:17" hidden="1" x14ac:dyDescent="0.25">
      <c r="A261" s="16">
        <v>45580</v>
      </c>
      <c r="B261" s="2" t="s">
        <v>122</v>
      </c>
      <c r="C261" s="2">
        <v>460</v>
      </c>
      <c r="D261" s="11">
        <v>0.36499999999999999</v>
      </c>
      <c r="E261" s="2">
        <f t="shared" si="19"/>
        <v>0.46</v>
      </c>
      <c r="F261" s="10">
        <v>0.02</v>
      </c>
      <c r="G261" s="10">
        <v>7.0000000000000007E-2</v>
      </c>
      <c r="H261" s="12">
        <f t="shared" si="20"/>
        <v>0.20075000000000001</v>
      </c>
      <c r="I261" s="12">
        <f t="shared" si="21"/>
        <v>0.75075000000000003</v>
      </c>
      <c r="J261" s="2"/>
      <c r="K261" s="2"/>
      <c r="L261" s="2">
        <f>I261*500</f>
        <v>375.375</v>
      </c>
      <c r="M261" s="2"/>
      <c r="N261" s="2" t="s">
        <v>72</v>
      </c>
      <c r="O261" s="2"/>
      <c r="P261" s="2"/>
      <c r="Q261" s="28">
        <f t="shared" si="18"/>
        <v>26.739926739926741</v>
      </c>
    </row>
    <row r="262" spans="1:17" hidden="1" x14ac:dyDescent="0.25">
      <c r="A262" s="16">
        <v>45580</v>
      </c>
      <c r="B262" s="2" t="s">
        <v>123</v>
      </c>
      <c r="C262" s="2">
        <v>1050</v>
      </c>
      <c r="D262" s="11">
        <v>0.39600000000000002</v>
      </c>
      <c r="E262" s="2">
        <f t="shared" si="19"/>
        <v>1.05</v>
      </c>
      <c r="F262" s="10">
        <v>0.02</v>
      </c>
      <c r="G262" s="10">
        <v>7.0000000000000007E-2</v>
      </c>
      <c r="H262" s="12">
        <f t="shared" si="20"/>
        <v>0.45144000000000006</v>
      </c>
      <c r="I262" s="12">
        <f t="shared" si="21"/>
        <v>1.5914400000000002</v>
      </c>
      <c r="J262" s="2"/>
      <c r="K262" s="2"/>
      <c r="L262" s="2">
        <f>I262*500</f>
        <v>795.72000000000014</v>
      </c>
      <c r="M262" s="2"/>
      <c r="N262" s="2" t="s">
        <v>72</v>
      </c>
      <c r="O262" s="2"/>
      <c r="P262" s="2"/>
      <c r="Q262" s="28">
        <f t="shared" si="18"/>
        <v>28.366762177650429</v>
      </c>
    </row>
    <row r="263" spans="1:17" hidden="1" x14ac:dyDescent="0.25">
      <c r="A263" s="16">
        <v>45580</v>
      </c>
      <c r="B263" s="2" t="s">
        <v>131</v>
      </c>
      <c r="C263" s="10">
        <v>1050</v>
      </c>
      <c r="D263" s="11">
        <v>0.36699999999999999</v>
      </c>
      <c r="E263" s="10">
        <f t="shared" si="19"/>
        <v>1.05</v>
      </c>
      <c r="F263" s="10">
        <v>0.02</v>
      </c>
      <c r="G263" s="10">
        <v>7.0000000000000007E-2</v>
      </c>
      <c r="H263" s="12">
        <f t="shared" si="20"/>
        <v>0.41838000000000003</v>
      </c>
      <c r="I263" s="12">
        <f t="shared" si="21"/>
        <v>1.5583800000000001</v>
      </c>
      <c r="J263" s="10"/>
      <c r="K263" s="10">
        <f>I263*350</f>
        <v>545.43299999999999</v>
      </c>
      <c r="L263" s="10"/>
      <c r="M263" s="10"/>
      <c r="N263" s="10" t="s">
        <v>72</v>
      </c>
      <c r="O263" s="10"/>
      <c r="P263" s="10"/>
      <c r="Q263" s="28">
        <f t="shared" si="18"/>
        <v>26.847110460863203</v>
      </c>
    </row>
    <row r="264" spans="1:17" hidden="1" x14ac:dyDescent="0.25">
      <c r="A264" s="16">
        <v>45580</v>
      </c>
      <c r="B264" s="2" t="s">
        <v>139</v>
      </c>
      <c r="C264" s="2">
        <v>1280</v>
      </c>
      <c r="D264" s="11">
        <v>0.4</v>
      </c>
      <c r="E264" s="2">
        <f t="shared" si="19"/>
        <v>1.28</v>
      </c>
      <c r="F264" s="10">
        <v>0.02</v>
      </c>
      <c r="G264" s="10">
        <v>7.0000000000000007E-2</v>
      </c>
      <c r="H264" s="12">
        <f t="shared" si="20"/>
        <v>0.54800000000000004</v>
      </c>
      <c r="I264" s="12">
        <f t="shared" si="21"/>
        <v>1.9180000000000001</v>
      </c>
      <c r="J264" s="2"/>
      <c r="K264" s="2">
        <f>I264*300</f>
        <v>575.40000000000009</v>
      </c>
      <c r="L264" s="2"/>
      <c r="M264" s="2"/>
      <c r="N264" s="2"/>
      <c r="O264" s="2"/>
      <c r="P264" s="2"/>
      <c r="Q264" s="28">
        <f t="shared" si="18"/>
        <v>28.571428571428569</v>
      </c>
    </row>
    <row r="265" spans="1:17" hidden="1" x14ac:dyDescent="0.25">
      <c r="A265" s="16">
        <v>45581</v>
      </c>
      <c r="B265" s="2" t="s">
        <v>123</v>
      </c>
      <c r="C265" s="2">
        <v>1300</v>
      </c>
      <c r="D265" s="11">
        <v>0.188</v>
      </c>
      <c r="E265" s="2">
        <f t="shared" si="19"/>
        <v>1.3</v>
      </c>
      <c r="F265" s="10">
        <v>0.02</v>
      </c>
      <c r="G265" s="10">
        <v>7.0000000000000007E-2</v>
      </c>
      <c r="H265" s="12">
        <f t="shared" si="20"/>
        <v>0.26132</v>
      </c>
      <c r="I265" s="12">
        <f t="shared" si="21"/>
        <v>1.6513200000000001</v>
      </c>
      <c r="J265" s="2"/>
      <c r="K265" s="2"/>
      <c r="L265" s="2">
        <f>I265*500</f>
        <v>825.66000000000008</v>
      </c>
      <c r="M265" s="2"/>
      <c r="N265" s="2"/>
      <c r="O265" s="2"/>
      <c r="P265" s="2"/>
      <c r="Q265" s="28">
        <f t="shared" si="18"/>
        <v>15.824915824915823</v>
      </c>
    </row>
    <row r="266" spans="1:17" hidden="1" x14ac:dyDescent="0.25">
      <c r="A266" s="16">
        <v>45581</v>
      </c>
      <c r="B266" s="2" t="s">
        <v>86</v>
      </c>
      <c r="C266" s="2">
        <v>1000</v>
      </c>
      <c r="D266" s="11">
        <v>0</v>
      </c>
      <c r="E266" s="2">
        <f t="shared" si="19"/>
        <v>1</v>
      </c>
      <c r="F266" s="10">
        <v>0.02</v>
      </c>
      <c r="G266" s="10">
        <v>7.0000000000000007E-2</v>
      </c>
      <c r="H266" s="12">
        <f t="shared" si="20"/>
        <v>0</v>
      </c>
      <c r="I266" s="12">
        <f t="shared" si="21"/>
        <v>1.0900000000000001</v>
      </c>
      <c r="J266" s="2">
        <f>I266*250</f>
        <v>272.5</v>
      </c>
      <c r="K266" s="2"/>
      <c r="L266" s="2"/>
      <c r="M266" s="2"/>
      <c r="N266" s="2"/>
      <c r="O266" s="2"/>
      <c r="P266" s="2"/>
      <c r="Q266" s="28">
        <f t="shared" si="18"/>
        <v>0</v>
      </c>
    </row>
    <row r="267" spans="1:17" hidden="1" x14ac:dyDescent="0.25">
      <c r="A267" s="16">
        <v>45581</v>
      </c>
      <c r="B267" s="2" t="s">
        <v>85</v>
      </c>
      <c r="C267" s="2">
        <v>750</v>
      </c>
      <c r="D267" s="11">
        <v>0</v>
      </c>
      <c r="E267" s="2">
        <f t="shared" si="19"/>
        <v>0.75</v>
      </c>
      <c r="F267" s="10">
        <v>0.02</v>
      </c>
      <c r="G267" s="10">
        <v>7.0000000000000007E-2</v>
      </c>
      <c r="H267" s="12">
        <f t="shared" si="20"/>
        <v>0</v>
      </c>
      <c r="I267" s="12">
        <f t="shared" si="21"/>
        <v>0.84000000000000008</v>
      </c>
      <c r="J267" s="2"/>
      <c r="K267" s="2">
        <f>I267*300</f>
        <v>252.00000000000003</v>
      </c>
      <c r="L267" s="2"/>
      <c r="M267" s="2"/>
      <c r="N267" s="2"/>
      <c r="O267" s="2"/>
      <c r="P267" s="2"/>
      <c r="Q267" s="28">
        <f t="shared" si="18"/>
        <v>0</v>
      </c>
    </row>
    <row r="268" spans="1:17" hidden="1" x14ac:dyDescent="0.25">
      <c r="A268" s="16">
        <v>45582</v>
      </c>
      <c r="B268" s="2" t="s">
        <v>98</v>
      </c>
      <c r="C268" s="2">
        <v>450</v>
      </c>
      <c r="D268" s="11">
        <v>0.42</v>
      </c>
      <c r="E268" s="2">
        <f t="shared" si="19"/>
        <v>0.45</v>
      </c>
      <c r="F268" s="10">
        <v>0.02</v>
      </c>
      <c r="G268" s="10">
        <v>7.0000000000000007E-2</v>
      </c>
      <c r="H268" s="12">
        <f t="shared" si="20"/>
        <v>0.2268</v>
      </c>
      <c r="I268" s="12">
        <f t="shared" si="21"/>
        <v>0.76680000000000004</v>
      </c>
      <c r="J268" s="2"/>
      <c r="K268" s="2"/>
      <c r="L268" s="2"/>
      <c r="M268" s="2">
        <f>I268*750</f>
        <v>575.1</v>
      </c>
      <c r="N268" s="2" t="s">
        <v>72</v>
      </c>
      <c r="O268" s="2"/>
      <c r="P268" s="2"/>
      <c r="Q268" s="28">
        <f t="shared" si="18"/>
        <v>29.577464788732392</v>
      </c>
    </row>
    <row r="269" spans="1:17" x14ac:dyDescent="0.25">
      <c r="A269" s="16">
        <v>45583</v>
      </c>
      <c r="B269" s="2" t="s">
        <v>119</v>
      </c>
      <c r="C269" s="2">
        <v>630</v>
      </c>
      <c r="D269" s="11">
        <v>0.28699999999999998</v>
      </c>
      <c r="E269" s="2">
        <f t="shared" si="19"/>
        <v>0.63</v>
      </c>
      <c r="F269" s="10">
        <v>0.02</v>
      </c>
      <c r="G269" s="10">
        <v>7.0000000000000007E-2</v>
      </c>
      <c r="H269" s="12">
        <f t="shared" si="20"/>
        <v>0.20663999999999996</v>
      </c>
      <c r="I269" s="12">
        <f t="shared" si="21"/>
        <v>0.92663999999999991</v>
      </c>
      <c r="J269" s="2"/>
      <c r="K269" s="2"/>
      <c r="L269" s="2"/>
      <c r="M269" s="2">
        <f>I269*750</f>
        <v>694.9799999999999</v>
      </c>
      <c r="N269" s="2"/>
      <c r="O269" s="2"/>
      <c r="P269" s="2"/>
      <c r="Q269" s="28">
        <f t="shared" si="18"/>
        <v>22.299922299922297</v>
      </c>
    </row>
    <row r="270" spans="1:17" hidden="1" x14ac:dyDescent="0.25">
      <c r="A270" s="16">
        <v>45583</v>
      </c>
      <c r="B270" s="2" t="s">
        <v>135</v>
      </c>
      <c r="C270" s="2">
        <v>600</v>
      </c>
      <c r="D270" s="11">
        <v>0.36899999999999999</v>
      </c>
      <c r="E270" s="2">
        <f t="shared" si="19"/>
        <v>0.6</v>
      </c>
      <c r="F270" s="10">
        <v>0.02</v>
      </c>
      <c r="G270" s="10">
        <v>7.0000000000000007E-2</v>
      </c>
      <c r="H270" s="12">
        <f t="shared" si="20"/>
        <v>0.25461</v>
      </c>
      <c r="I270" s="12">
        <f t="shared" si="21"/>
        <v>0.94460999999999995</v>
      </c>
      <c r="J270" s="2"/>
      <c r="K270" s="2"/>
      <c r="L270" s="2"/>
      <c r="M270" s="2"/>
      <c r="N270" s="2">
        <f>I270*1000</f>
        <v>944.6099999999999</v>
      </c>
      <c r="O270" s="2"/>
      <c r="P270" s="2"/>
      <c r="Q270" s="28">
        <f t="shared" si="18"/>
        <v>26.953981008035065</v>
      </c>
    </row>
    <row r="271" spans="1:17" hidden="1" x14ac:dyDescent="0.25">
      <c r="A271" s="16">
        <v>45583</v>
      </c>
      <c r="B271" s="2" t="s">
        <v>123</v>
      </c>
      <c r="C271" s="2">
        <v>1150</v>
      </c>
      <c r="D271" s="11">
        <v>0.33100000000000002</v>
      </c>
      <c r="E271" s="2">
        <f t="shared" si="19"/>
        <v>1.1499999999999999</v>
      </c>
      <c r="F271" s="10">
        <v>0.02</v>
      </c>
      <c r="G271" s="10">
        <v>7.0000000000000007E-2</v>
      </c>
      <c r="H271" s="12">
        <f t="shared" si="20"/>
        <v>0.41044000000000003</v>
      </c>
      <c r="I271" s="12">
        <f t="shared" si="21"/>
        <v>1.6504400000000001</v>
      </c>
      <c r="J271" s="2"/>
      <c r="K271" s="2"/>
      <c r="L271" s="2">
        <f>I271*500</f>
        <v>825.22</v>
      </c>
      <c r="M271" s="2"/>
      <c r="N271" s="2"/>
      <c r="O271" s="2"/>
      <c r="P271" s="2"/>
      <c r="Q271" s="28">
        <f t="shared" si="18"/>
        <v>24.86851990984222</v>
      </c>
    </row>
    <row r="272" spans="1:17" hidden="1" x14ac:dyDescent="0.25">
      <c r="A272" s="16">
        <v>45583</v>
      </c>
      <c r="B272" s="2" t="s">
        <v>131</v>
      </c>
      <c r="C272" s="2">
        <v>1150</v>
      </c>
      <c r="D272" s="11">
        <v>0.25600000000000001</v>
      </c>
      <c r="E272" s="2">
        <f t="shared" si="19"/>
        <v>1.1499999999999999</v>
      </c>
      <c r="F272" s="10">
        <v>0.02</v>
      </c>
      <c r="G272" s="10">
        <v>7.0000000000000007E-2</v>
      </c>
      <c r="H272" s="12">
        <f t="shared" si="20"/>
        <v>0.31744</v>
      </c>
      <c r="I272" s="12">
        <f t="shared" si="21"/>
        <v>1.5574399999999999</v>
      </c>
      <c r="J272" s="2"/>
      <c r="K272" s="2">
        <f>I272*350</f>
        <v>545.10399999999993</v>
      </c>
      <c r="L272" s="2"/>
      <c r="M272" s="2"/>
      <c r="N272" s="2"/>
      <c r="O272" s="2"/>
      <c r="P272" s="2"/>
      <c r="Q272" s="28">
        <f t="shared" si="18"/>
        <v>20.382165605095544</v>
      </c>
    </row>
    <row r="273" spans="1:17" hidden="1" x14ac:dyDescent="0.25">
      <c r="A273" s="16">
        <v>45583</v>
      </c>
      <c r="B273" s="2" t="s">
        <v>86</v>
      </c>
      <c r="C273" s="2">
        <v>950</v>
      </c>
      <c r="D273" s="11">
        <v>0.25</v>
      </c>
      <c r="E273" s="2">
        <f t="shared" si="19"/>
        <v>0.95</v>
      </c>
      <c r="F273" s="10">
        <v>0.02</v>
      </c>
      <c r="G273" s="10">
        <v>7.0000000000000007E-2</v>
      </c>
      <c r="H273" s="12">
        <f t="shared" si="20"/>
        <v>0.26</v>
      </c>
      <c r="I273" s="12">
        <f t="shared" si="21"/>
        <v>1.3</v>
      </c>
      <c r="J273" s="2">
        <f>I273*250</f>
        <v>325</v>
      </c>
      <c r="K273" s="2"/>
      <c r="L273" s="2"/>
      <c r="M273" s="2"/>
      <c r="N273" s="2"/>
      <c r="O273" s="2"/>
      <c r="P273" s="2"/>
      <c r="Q273" s="28">
        <f t="shared" si="18"/>
        <v>20</v>
      </c>
    </row>
    <row r="274" spans="1:17" x14ac:dyDescent="0.25">
      <c r="A274" s="16">
        <v>45584</v>
      </c>
      <c r="B274" s="2" t="s">
        <v>119</v>
      </c>
      <c r="C274" s="2">
        <v>680</v>
      </c>
      <c r="D274" s="11">
        <v>0.20399999999999999</v>
      </c>
      <c r="E274" s="2">
        <f t="shared" si="19"/>
        <v>0.68</v>
      </c>
      <c r="F274" s="10">
        <v>0.02</v>
      </c>
      <c r="G274" s="10">
        <v>7.0000000000000007E-2</v>
      </c>
      <c r="H274" s="12">
        <f t="shared" si="20"/>
        <v>0.15708</v>
      </c>
      <c r="I274" s="12">
        <f t="shared" si="21"/>
        <v>0.92708000000000002</v>
      </c>
      <c r="J274" s="2"/>
      <c r="K274" s="2"/>
      <c r="L274" s="2"/>
      <c r="M274" s="2">
        <f>I274*750</f>
        <v>695.31000000000006</v>
      </c>
      <c r="N274" s="2"/>
      <c r="O274" s="2"/>
      <c r="P274" s="2"/>
      <c r="Q274" s="28">
        <f t="shared" si="18"/>
        <v>16.943521594684384</v>
      </c>
    </row>
    <row r="275" spans="1:17" x14ac:dyDescent="0.25">
      <c r="A275" s="16">
        <v>45584</v>
      </c>
      <c r="B275" s="2" t="s">
        <v>127</v>
      </c>
      <c r="C275" s="2">
        <v>680</v>
      </c>
      <c r="D275" s="11">
        <v>0.155</v>
      </c>
      <c r="E275" s="2">
        <f t="shared" si="19"/>
        <v>0.68</v>
      </c>
      <c r="F275" s="10">
        <v>0.02</v>
      </c>
      <c r="G275" s="10">
        <v>7.0000000000000007E-2</v>
      </c>
      <c r="H275" s="12">
        <f t="shared" si="20"/>
        <v>0.11935</v>
      </c>
      <c r="I275" s="12">
        <f t="shared" si="21"/>
        <v>0.88934999999999997</v>
      </c>
      <c r="J275" s="2"/>
      <c r="K275" s="2"/>
      <c r="L275" s="2">
        <f>I275*500</f>
        <v>444.67500000000001</v>
      </c>
      <c r="M275" s="2"/>
      <c r="N275" s="2"/>
      <c r="O275" s="2"/>
      <c r="P275" s="2"/>
      <c r="Q275" s="28">
        <f t="shared" si="18"/>
        <v>13.419913419913419</v>
      </c>
    </row>
    <row r="276" spans="1:17" hidden="1" x14ac:dyDescent="0.25">
      <c r="A276" s="16">
        <v>45584</v>
      </c>
      <c r="B276" s="2" t="s">
        <v>167</v>
      </c>
      <c r="C276" s="2">
        <v>680</v>
      </c>
      <c r="D276" s="11">
        <v>3.4000000000000002E-2</v>
      </c>
      <c r="E276" s="2">
        <f t="shared" si="19"/>
        <v>0.68</v>
      </c>
      <c r="F276" s="10">
        <v>0.02</v>
      </c>
      <c r="G276" s="10">
        <v>7.0000000000000007E-2</v>
      </c>
      <c r="H276" s="12">
        <f t="shared" si="20"/>
        <v>2.6180000000000002E-2</v>
      </c>
      <c r="I276" s="12">
        <f t="shared" si="21"/>
        <v>0.79618</v>
      </c>
      <c r="J276" s="2"/>
      <c r="K276" s="2"/>
      <c r="L276" s="2"/>
      <c r="M276" s="2"/>
      <c r="N276" s="2"/>
      <c r="O276" s="2">
        <f>I276*1250</f>
        <v>995.22500000000002</v>
      </c>
      <c r="P276" s="2"/>
      <c r="Q276" s="28">
        <f t="shared" si="18"/>
        <v>3.2882011605415866</v>
      </c>
    </row>
    <row r="277" spans="1:17" hidden="1" x14ac:dyDescent="0.25">
      <c r="A277" s="16">
        <v>45584</v>
      </c>
      <c r="B277" s="2" t="s">
        <v>181</v>
      </c>
      <c r="C277" s="2">
        <v>600</v>
      </c>
      <c r="D277" s="11">
        <v>0</v>
      </c>
      <c r="E277" s="2">
        <f t="shared" si="19"/>
        <v>0.6</v>
      </c>
      <c r="F277" s="10">
        <v>0.02</v>
      </c>
      <c r="G277" s="10">
        <v>7.0000000000000007E-2</v>
      </c>
      <c r="H277" s="12">
        <f t="shared" si="20"/>
        <v>0</v>
      </c>
      <c r="I277" s="12">
        <f t="shared" si="21"/>
        <v>0.69</v>
      </c>
      <c r="J277" s="2"/>
      <c r="K277" s="2"/>
      <c r="L277" s="2">
        <f>I277*500</f>
        <v>345</v>
      </c>
      <c r="M277" s="2"/>
      <c r="N277" s="2"/>
      <c r="O277" s="2"/>
      <c r="P277" s="2"/>
      <c r="Q277" s="28">
        <f t="shared" si="18"/>
        <v>0</v>
      </c>
    </row>
    <row r="278" spans="1:17" hidden="1" x14ac:dyDescent="0.25">
      <c r="A278" s="16">
        <v>45584</v>
      </c>
      <c r="B278" s="2" t="s">
        <v>98</v>
      </c>
      <c r="C278" s="2">
        <v>540</v>
      </c>
      <c r="D278" s="11">
        <v>0.217</v>
      </c>
      <c r="E278" s="2">
        <f t="shared" si="19"/>
        <v>0.54</v>
      </c>
      <c r="F278" s="10">
        <v>0.02</v>
      </c>
      <c r="G278" s="10">
        <v>7.0000000000000007E-2</v>
      </c>
      <c r="H278" s="12">
        <f t="shared" si="20"/>
        <v>0.13671000000000003</v>
      </c>
      <c r="I278" s="12">
        <f t="shared" si="21"/>
        <v>0.76671000000000011</v>
      </c>
      <c r="J278" s="2"/>
      <c r="K278" s="2"/>
      <c r="L278" s="2"/>
      <c r="M278" s="2">
        <f>I278*750</f>
        <v>575.03250000000014</v>
      </c>
      <c r="N278" s="2"/>
      <c r="O278" s="2"/>
      <c r="P278" s="2"/>
      <c r="Q278" s="28">
        <f t="shared" si="18"/>
        <v>17.830731306491373</v>
      </c>
    </row>
    <row r="279" spans="1:17" hidden="1" x14ac:dyDescent="0.25">
      <c r="A279" s="16">
        <v>45584</v>
      </c>
      <c r="B279" s="2" t="s">
        <v>122</v>
      </c>
      <c r="C279" s="2">
        <v>540</v>
      </c>
      <c r="D279" s="11">
        <v>0.192</v>
      </c>
      <c r="E279" s="2">
        <f t="shared" si="19"/>
        <v>0.54</v>
      </c>
      <c r="F279" s="10">
        <v>0.02</v>
      </c>
      <c r="G279" s="10">
        <v>7.0000000000000007E-2</v>
      </c>
      <c r="H279" s="12">
        <f t="shared" si="20"/>
        <v>0.12096000000000003</v>
      </c>
      <c r="I279" s="12">
        <f t="shared" si="21"/>
        <v>0.75096000000000018</v>
      </c>
      <c r="J279" s="2"/>
      <c r="K279" s="2"/>
      <c r="L279" s="2">
        <f>I279*500</f>
        <v>375.48000000000008</v>
      </c>
      <c r="M279" s="2"/>
      <c r="N279" s="2"/>
      <c r="O279" s="2"/>
      <c r="P279" s="2"/>
      <c r="Q279" s="28">
        <f t="shared" si="18"/>
        <v>16.107382550335569</v>
      </c>
    </row>
    <row r="280" spans="1:17" hidden="1" x14ac:dyDescent="0.25">
      <c r="A280" s="16">
        <v>45585</v>
      </c>
      <c r="B280" s="2" t="s">
        <v>131</v>
      </c>
      <c r="C280" s="2">
        <v>1100</v>
      </c>
      <c r="D280" s="11">
        <v>0.31</v>
      </c>
      <c r="E280" s="2">
        <f t="shared" si="19"/>
        <v>1.1000000000000001</v>
      </c>
      <c r="F280" s="10">
        <v>0.02</v>
      </c>
      <c r="G280" s="10">
        <v>7.0000000000000007E-2</v>
      </c>
      <c r="H280" s="12">
        <f t="shared" si="20"/>
        <v>0.36890000000000006</v>
      </c>
      <c r="I280" s="12">
        <f t="shared" si="21"/>
        <v>1.5589000000000002</v>
      </c>
      <c r="J280" s="2"/>
      <c r="K280" s="2">
        <f>I280*350</f>
        <v>545.61500000000001</v>
      </c>
      <c r="L280" s="2"/>
      <c r="M280" s="2"/>
      <c r="N280" s="2"/>
      <c r="O280" s="2"/>
      <c r="P280" s="2"/>
      <c r="Q280" s="28">
        <f t="shared" si="18"/>
        <v>23.664122137404579</v>
      </c>
    </row>
    <row r="281" spans="1:17" hidden="1" x14ac:dyDescent="0.25">
      <c r="A281" s="16">
        <v>45587</v>
      </c>
      <c r="B281" s="2" t="s">
        <v>164</v>
      </c>
      <c r="C281" s="10">
        <v>500</v>
      </c>
      <c r="D281" s="11">
        <v>0.34499999999999997</v>
      </c>
      <c r="E281" s="2">
        <f t="shared" si="19"/>
        <v>0.5</v>
      </c>
      <c r="F281" s="10">
        <v>0.02</v>
      </c>
      <c r="G281" s="10">
        <v>7.0000000000000007E-2</v>
      </c>
      <c r="H281" s="12">
        <f t="shared" si="20"/>
        <v>0.20355000000000001</v>
      </c>
      <c r="I281" s="12">
        <f t="shared" si="21"/>
        <v>0.79355000000000009</v>
      </c>
      <c r="J281" s="10"/>
      <c r="K281" s="10"/>
      <c r="L281" s="10"/>
      <c r="M281" s="10">
        <f>I281*750</f>
        <v>595.16250000000002</v>
      </c>
      <c r="N281" s="10" t="s">
        <v>72</v>
      </c>
      <c r="O281" s="10"/>
      <c r="P281" s="10" t="s">
        <v>72</v>
      </c>
      <c r="Q281" s="28">
        <f t="shared" si="18"/>
        <v>25.650557620817839</v>
      </c>
    </row>
    <row r="282" spans="1:17" hidden="1" x14ac:dyDescent="0.25">
      <c r="A282" s="16">
        <v>45587</v>
      </c>
      <c r="B282" s="2" t="s">
        <v>171</v>
      </c>
      <c r="C282" s="10">
        <v>500</v>
      </c>
      <c r="D282" s="11">
        <v>0.34499999999999997</v>
      </c>
      <c r="E282" s="2">
        <f t="shared" si="19"/>
        <v>0.5</v>
      </c>
      <c r="F282" s="10">
        <v>0.02</v>
      </c>
      <c r="G282" s="10">
        <v>7.0000000000000007E-2</v>
      </c>
      <c r="H282" s="12">
        <f t="shared" si="20"/>
        <v>0.20355000000000001</v>
      </c>
      <c r="I282" s="12">
        <f t="shared" si="21"/>
        <v>0.79355000000000009</v>
      </c>
      <c r="J282" s="2"/>
      <c r="K282" s="2"/>
      <c r="L282" s="2">
        <f>I282*500</f>
        <v>396.77500000000003</v>
      </c>
      <c r="M282" s="2"/>
      <c r="N282" s="2"/>
      <c r="O282" s="2"/>
      <c r="P282" s="2"/>
      <c r="Q282" s="28">
        <f t="shared" si="18"/>
        <v>25.650557620817839</v>
      </c>
    </row>
    <row r="283" spans="1:17" hidden="1" x14ac:dyDescent="0.25">
      <c r="A283" s="16">
        <v>45587</v>
      </c>
      <c r="B283" s="2" t="s">
        <v>123</v>
      </c>
      <c r="C283" s="2">
        <v>1150</v>
      </c>
      <c r="D283" s="11">
        <v>0.36299999999999999</v>
      </c>
      <c r="E283" s="2">
        <f t="shared" si="19"/>
        <v>1.1499999999999999</v>
      </c>
      <c r="F283" s="10">
        <v>0.02</v>
      </c>
      <c r="G283" s="10">
        <v>7.0000000000000007E-2</v>
      </c>
      <c r="H283" s="12">
        <f t="shared" si="20"/>
        <v>0.45011999999999996</v>
      </c>
      <c r="I283" s="12">
        <f t="shared" si="21"/>
        <v>1.6901199999999998</v>
      </c>
      <c r="J283" s="2"/>
      <c r="K283" s="2"/>
      <c r="L283" s="2">
        <f>I283*500</f>
        <v>845.06</v>
      </c>
      <c r="M283" s="2"/>
      <c r="N283" s="2"/>
      <c r="O283" s="2"/>
      <c r="P283" s="2"/>
      <c r="Q283" s="28">
        <f t="shared" si="18"/>
        <v>26.632428466617757</v>
      </c>
    </row>
    <row r="284" spans="1:17" hidden="1" x14ac:dyDescent="0.25">
      <c r="A284" s="16">
        <v>45587</v>
      </c>
      <c r="B284" s="2" t="s">
        <v>139</v>
      </c>
      <c r="C284" s="2">
        <v>1150</v>
      </c>
      <c r="D284" s="11">
        <v>0.46500000000000002</v>
      </c>
      <c r="E284" s="2">
        <f t="shared" si="19"/>
        <v>1.1499999999999999</v>
      </c>
      <c r="F284" s="10">
        <v>0.02</v>
      </c>
      <c r="G284" s="10">
        <v>7.0000000000000007E-2</v>
      </c>
      <c r="H284" s="12">
        <f t="shared" si="20"/>
        <v>0.5766</v>
      </c>
      <c r="I284" s="12">
        <f t="shared" si="21"/>
        <v>1.8166</v>
      </c>
      <c r="J284" s="2"/>
      <c r="K284" s="2">
        <f>I284*300</f>
        <v>544.98</v>
      </c>
      <c r="L284" s="2"/>
      <c r="M284" s="2"/>
      <c r="N284" s="2"/>
      <c r="O284" s="2"/>
      <c r="P284" s="2"/>
      <c r="Q284" s="28">
        <f t="shared" si="18"/>
        <v>31.740614334470987</v>
      </c>
    </row>
    <row r="285" spans="1:17" hidden="1" x14ac:dyDescent="0.25">
      <c r="A285" s="16">
        <v>45587</v>
      </c>
      <c r="B285" s="2" t="s">
        <v>86</v>
      </c>
      <c r="C285" s="2">
        <v>850</v>
      </c>
      <c r="D285" s="11">
        <v>0.255</v>
      </c>
      <c r="E285" s="2">
        <f t="shared" si="19"/>
        <v>0.85</v>
      </c>
      <c r="F285" s="10">
        <v>0.02</v>
      </c>
      <c r="G285" s="10">
        <v>7.0000000000000007E-2</v>
      </c>
      <c r="H285" s="12">
        <f t="shared" si="20"/>
        <v>0.2397</v>
      </c>
      <c r="I285" s="12">
        <f t="shared" si="21"/>
        <v>1.1797</v>
      </c>
      <c r="J285" s="2">
        <f>I285*250</f>
        <v>294.92500000000001</v>
      </c>
      <c r="K285" s="2"/>
      <c r="L285" s="2"/>
      <c r="M285" s="2"/>
      <c r="N285" s="2"/>
      <c r="O285" s="2"/>
      <c r="P285" s="2"/>
      <c r="Q285" s="28">
        <f t="shared" si="18"/>
        <v>20.318725099601593</v>
      </c>
    </row>
    <row r="286" spans="1:17" hidden="1" x14ac:dyDescent="0.25">
      <c r="A286" s="16">
        <v>45588</v>
      </c>
      <c r="B286" s="2" t="s">
        <v>123</v>
      </c>
      <c r="C286" s="2">
        <v>1200</v>
      </c>
      <c r="D286" s="11">
        <v>0.35699999999999998</v>
      </c>
      <c r="E286" s="2">
        <f t="shared" si="19"/>
        <v>1.2</v>
      </c>
      <c r="F286" s="10">
        <v>0.02</v>
      </c>
      <c r="G286" s="10">
        <v>7.0000000000000007E-2</v>
      </c>
      <c r="H286" s="12">
        <f t="shared" si="20"/>
        <v>0.46052999999999999</v>
      </c>
      <c r="I286" s="12">
        <f t="shared" si="21"/>
        <v>1.7505299999999999</v>
      </c>
      <c r="J286" s="2"/>
      <c r="K286" s="2"/>
      <c r="L286" s="2">
        <f>I286*500</f>
        <v>875.26499999999999</v>
      </c>
      <c r="M286" s="2"/>
      <c r="N286" s="2"/>
      <c r="O286" s="2"/>
      <c r="P286" s="2"/>
      <c r="Q286" s="28">
        <f t="shared" si="18"/>
        <v>26.308032424465736</v>
      </c>
    </row>
    <row r="287" spans="1:17" hidden="1" x14ac:dyDescent="0.25">
      <c r="A287" s="16">
        <v>45588</v>
      </c>
      <c r="B287" s="2" t="s">
        <v>139</v>
      </c>
      <c r="C287" s="2">
        <v>960</v>
      </c>
      <c r="D287" s="11">
        <v>0.46500000000000002</v>
      </c>
      <c r="E287" s="2">
        <f t="shared" si="19"/>
        <v>0.96</v>
      </c>
      <c r="F287" s="10">
        <v>0.02</v>
      </c>
      <c r="G287" s="10">
        <v>7.0000000000000007E-2</v>
      </c>
      <c r="H287" s="12">
        <f t="shared" si="20"/>
        <v>0.48825000000000007</v>
      </c>
      <c r="I287" s="12">
        <f t="shared" si="21"/>
        <v>1.5382500000000001</v>
      </c>
      <c r="J287" s="2"/>
      <c r="K287" s="2">
        <f>I287*300</f>
        <v>461.47500000000002</v>
      </c>
      <c r="L287" s="2"/>
      <c r="M287" s="2"/>
      <c r="N287" s="2"/>
      <c r="O287" s="2"/>
      <c r="P287" s="2"/>
      <c r="Q287" s="28">
        <f t="shared" si="18"/>
        <v>31.740614334470994</v>
      </c>
    </row>
    <row r="288" spans="1:17" hidden="1" x14ac:dyDescent="0.25">
      <c r="A288" s="16">
        <v>45588</v>
      </c>
      <c r="B288" s="2" t="s">
        <v>86</v>
      </c>
      <c r="C288" s="2">
        <v>960</v>
      </c>
      <c r="D288" s="11">
        <v>0.24</v>
      </c>
      <c r="E288" s="2">
        <f t="shared" si="19"/>
        <v>0.96</v>
      </c>
      <c r="F288" s="10">
        <v>0.02</v>
      </c>
      <c r="G288" s="10">
        <v>7.0000000000000007E-2</v>
      </c>
      <c r="H288" s="12">
        <f t="shared" si="20"/>
        <v>0.252</v>
      </c>
      <c r="I288" s="12">
        <f t="shared" si="21"/>
        <v>1.302</v>
      </c>
      <c r="J288" s="2">
        <f>I288*250</f>
        <v>325.5</v>
      </c>
      <c r="K288" s="2"/>
      <c r="L288" s="2"/>
      <c r="M288" s="2"/>
      <c r="N288" s="2"/>
      <c r="O288" s="2"/>
      <c r="P288" s="2"/>
      <c r="Q288" s="28">
        <f t="shared" si="18"/>
        <v>19.35483870967742</v>
      </c>
    </row>
    <row r="289" spans="1:17" hidden="1" x14ac:dyDescent="0.25">
      <c r="A289" s="16">
        <v>45588</v>
      </c>
      <c r="B289" s="2" t="s">
        <v>85</v>
      </c>
      <c r="C289" s="2">
        <v>800</v>
      </c>
      <c r="D289" s="11">
        <v>0.22</v>
      </c>
      <c r="E289" s="2">
        <f t="shared" si="19"/>
        <v>0.8</v>
      </c>
      <c r="F289" s="10">
        <v>0.02</v>
      </c>
      <c r="G289" s="10">
        <v>7.0000000000000007E-2</v>
      </c>
      <c r="H289" s="12">
        <f t="shared" si="20"/>
        <v>0.19580000000000003</v>
      </c>
      <c r="I289" s="12">
        <f t="shared" si="21"/>
        <v>1.0858000000000001</v>
      </c>
      <c r="J289" s="2"/>
      <c r="K289" s="2">
        <f>I289*300</f>
        <v>325.74</v>
      </c>
      <c r="L289" s="2"/>
      <c r="M289" s="2"/>
      <c r="N289" s="2"/>
      <c r="O289" s="2"/>
      <c r="P289" s="2"/>
      <c r="Q289" s="28">
        <f t="shared" si="18"/>
        <v>18.032786885245901</v>
      </c>
    </row>
    <row r="290" spans="1:17" x14ac:dyDescent="0.25">
      <c r="A290" s="16">
        <v>45589</v>
      </c>
      <c r="B290" s="2" t="s">
        <v>136</v>
      </c>
      <c r="C290" s="2">
        <v>620</v>
      </c>
      <c r="D290" s="11">
        <v>0.26100000000000001</v>
      </c>
      <c r="E290" s="2">
        <f t="shared" si="19"/>
        <v>0.62</v>
      </c>
      <c r="F290" s="10">
        <v>0.02</v>
      </c>
      <c r="G290" s="10">
        <v>7.0000000000000007E-2</v>
      </c>
      <c r="H290" s="12">
        <f t="shared" si="20"/>
        <v>0.18531</v>
      </c>
      <c r="I290" s="12">
        <f t="shared" si="21"/>
        <v>0.89530999999999994</v>
      </c>
      <c r="J290" s="2"/>
      <c r="K290" s="2"/>
      <c r="L290" s="2"/>
      <c r="M290" s="2"/>
      <c r="N290" s="2">
        <f>I290*1000</f>
        <v>895.31</v>
      </c>
      <c r="O290" s="2"/>
      <c r="P290" s="2"/>
      <c r="Q290" s="28">
        <f t="shared" si="18"/>
        <v>20.697858842188744</v>
      </c>
    </row>
    <row r="291" spans="1:17" x14ac:dyDescent="0.25">
      <c r="A291" s="16">
        <v>45589</v>
      </c>
      <c r="B291" s="2" t="s">
        <v>119</v>
      </c>
      <c r="C291" s="2">
        <v>620</v>
      </c>
      <c r="D291" s="11">
        <v>0.307</v>
      </c>
      <c r="E291" s="2">
        <f t="shared" si="19"/>
        <v>0.62</v>
      </c>
      <c r="F291" s="10">
        <v>0.02</v>
      </c>
      <c r="G291" s="10">
        <v>7.0000000000000007E-2</v>
      </c>
      <c r="H291" s="12">
        <f t="shared" si="20"/>
        <v>0.21797</v>
      </c>
      <c r="I291" s="12">
        <f t="shared" si="21"/>
        <v>0.92796999999999996</v>
      </c>
      <c r="J291" s="2"/>
      <c r="K291" s="2"/>
      <c r="L291" s="2"/>
      <c r="M291" s="2">
        <f>I291*750</f>
        <v>695.97749999999996</v>
      </c>
      <c r="N291" s="2"/>
      <c r="O291" s="2"/>
      <c r="P291" s="2"/>
      <c r="Q291" s="28">
        <f t="shared" si="18"/>
        <v>23.488905891354246</v>
      </c>
    </row>
    <row r="292" spans="1:17" hidden="1" x14ac:dyDescent="0.25">
      <c r="A292" s="16">
        <v>45589</v>
      </c>
      <c r="B292" s="2" t="s">
        <v>164</v>
      </c>
      <c r="C292" s="10">
        <v>450</v>
      </c>
      <c r="D292" s="11">
        <v>0.34499999999999997</v>
      </c>
      <c r="E292" s="2">
        <f t="shared" si="19"/>
        <v>0.45</v>
      </c>
      <c r="F292" s="10">
        <v>0.02</v>
      </c>
      <c r="G292" s="10">
        <v>7.0000000000000007E-2</v>
      </c>
      <c r="H292" s="12">
        <f t="shared" si="20"/>
        <v>0.18629999999999999</v>
      </c>
      <c r="I292" s="12">
        <f t="shared" si="21"/>
        <v>0.72630000000000006</v>
      </c>
      <c r="J292" s="10"/>
      <c r="K292" s="10"/>
      <c r="L292" s="10"/>
      <c r="M292" s="10">
        <f>I292*750</f>
        <v>544.72500000000002</v>
      </c>
      <c r="N292" s="10" t="s">
        <v>72</v>
      </c>
      <c r="O292" s="10"/>
      <c r="P292" s="10" t="s">
        <v>72</v>
      </c>
      <c r="Q292" s="28">
        <f t="shared" si="18"/>
        <v>25.650557620817843</v>
      </c>
    </row>
    <row r="293" spans="1:17" hidden="1" x14ac:dyDescent="0.25">
      <c r="A293" s="16">
        <v>45589</v>
      </c>
      <c r="B293" s="2" t="s">
        <v>171</v>
      </c>
      <c r="C293" s="10">
        <v>450</v>
      </c>
      <c r="D293" s="11">
        <v>0.39</v>
      </c>
      <c r="E293" s="2">
        <f t="shared" si="19"/>
        <v>0.45</v>
      </c>
      <c r="F293" s="10">
        <v>0.02</v>
      </c>
      <c r="G293" s="10">
        <v>7.0000000000000007E-2</v>
      </c>
      <c r="H293" s="12">
        <f t="shared" si="20"/>
        <v>0.21060000000000001</v>
      </c>
      <c r="I293" s="12">
        <f t="shared" si="21"/>
        <v>0.75060000000000004</v>
      </c>
      <c r="J293" s="2"/>
      <c r="K293" s="2"/>
      <c r="L293" s="2">
        <f>I293*500</f>
        <v>375.3</v>
      </c>
      <c r="M293" s="2"/>
      <c r="N293" s="2"/>
      <c r="O293" s="2"/>
      <c r="P293" s="2"/>
      <c r="Q293" s="28">
        <f t="shared" ref="Q293:Q356" si="22">H293/I293%</f>
        <v>28.057553956834532</v>
      </c>
    </row>
    <row r="294" spans="1:17" ht="14.25" hidden="1" customHeight="1" x14ac:dyDescent="0.25">
      <c r="A294" s="16">
        <v>45589</v>
      </c>
      <c r="B294" s="2" t="s">
        <v>101</v>
      </c>
      <c r="C294" s="10">
        <v>160</v>
      </c>
      <c r="D294" s="11">
        <v>0.1</v>
      </c>
      <c r="E294" s="10">
        <f t="shared" si="19"/>
        <v>0.16</v>
      </c>
      <c r="F294" s="10">
        <v>0.02</v>
      </c>
      <c r="G294" s="10">
        <v>7.0000000000000007E-2</v>
      </c>
      <c r="H294" s="12">
        <f t="shared" si="20"/>
        <v>2.5000000000000001E-2</v>
      </c>
      <c r="I294" s="12">
        <f t="shared" si="21"/>
        <v>0.27500000000000002</v>
      </c>
      <c r="J294" s="10"/>
      <c r="K294" s="10"/>
      <c r="L294" s="10"/>
      <c r="M294" s="10"/>
      <c r="N294" s="10">
        <f>I294*1000</f>
        <v>275</v>
      </c>
      <c r="O294" s="10"/>
      <c r="P294" s="10">
        <f>I294*1400</f>
        <v>385.00000000000006</v>
      </c>
      <c r="Q294" s="28">
        <f t="shared" si="22"/>
        <v>9.0909090909090899</v>
      </c>
    </row>
    <row r="295" spans="1:17" hidden="1" x14ac:dyDescent="0.25">
      <c r="A295" s="16">
        <v>45589</v>
      </c>
      <c r="B295" s="2" t="s">
        <v>139</v>
      </c>
      <c r="C295" s="2">
        <v>1180</v>
      </c>
      <c r="D295" s="11">
        <v>0.43</v>
      </c>
      <c r="E295" s="2">
        <f t="shared" si="19"/>
        <v>1.18</v>
      </c>
      <c r="F295" s="10">
        <v>0.02</v>
      </c>
      <c r="G295" s="10">
        <v>7.0000000000000007E-2</v>
      </c>
      <c r="H295" s="12">
        <f t="shared" si="20"/>
        <v>0.54610000000000003</v>
      </c>
      <c r="I295" s="12">
        <f t="shared" si="21"/>
        <v>1.8161</v>
      </c>
      <c r="J295" s="2"/>
      <c r="K295" s="2">
        <f>I295*300</f>
        <v>544.83000000000004</v>
      </c>
      <c r="L295" s="2"/>
      <c r="M295" s="2"/>
      <c r="N295" s="2"/>
      <c r="O295" s="2"/>
      <c r="P295" s="2"/>
      <c r="Q295" s="28">
        <f t="shared" si="22"/>
        <v>30.06993006993007</v>
      </c>
    </row>
    <row r="296" spans="1:17" hidden="1" x14ac:dyDescent="0.25">
      <c r="A296" s="16">
        <v>45589</v>
      </c>
      <c r="B296" s="2" t="s">
        <v>86</v>
      </c>
      <c r="C296" s="2">
        <v>800</v>
      </c>
      <c r="D296" s="11">
        <v>0.46200000000000002</v>
      </c>
      <c r="E296" s="2">
        <f t="shared" si="19"/>
        <v>0.8</v>
      </c>
      <c r="F296" s="10">
        <v>0.02</v>
      </c>
      <c r="G296" s="10">
        <v>7.0000000000000007E-2</v>
      </c>
      <c r="H296" s="12">
        <f t="shared" si="20"/>
        <v>0.4111800000000001</v>
      </c>
      <c r="I296" s="12">
        <f t="shared" si="21"/>
        <v>1.3011800000000002</v>
      </c>
      <c r="J296" s="2">
        <f>I296*250</f>
        <v>325.29500000000007</v>
      </c>
      <c r="K296" s="2"/>
      <c r="L296" s="2"/>
      <c r="M296" s="2"/>
      <c r="N296" s="2"/>
      <c r="O296" s="2"/>
      <c r="P296" s="2"/>
      <c r="Q296" s="28">
        <f t="shared" si="22"/>
        <v>31.600547195622436</v>
      </c>
    </row>
    <row r="297" spans="1:17" hidden="1" x14ac:dyDescent="0.25">
      <c r="A297" s="16">
        <v>45589</v>
      </c>
      <c r="B297" s="2" t="s">
        <v>85</v>
      </c>
      <c r="C297" s="2">
        <v>800</v>
      </c>
      <c r="D297" s="11">
        <v>0.218</v>
      </c>
      <c r="E297" s="2">
        <f t="shared" si="19"/>
        <v>0.8</v>
      </c>
      <c r="F297" s="10">
        <v>0.02</v>
      </c>
      <c r="G297" s="10">
        <v>7.0000000000000007E-2</v>
      </c>
      <c r="H297" s="12">
        <f t="shared" si="20"/>
        <v>0.19402000000000003</v>
      </c>
      <c r="I297" s="12">
        <f t="shared" si="21"/>
        <v>1.0840200000000002</v>
      </c>
      <c r="J297" s="2"/>
      <c r="K297" s="2">
        <f>I297*300</f>
        <v>325.20600000000007</v>
      </c>
      <c r="L297" s="2"/>
      <c r="M297" s="2"/>
      <c r="N297" s="2"/>
      <c r="O297" s="2"/>
      <c r="P297" s="2"/>
      <c r="Q297" s="28">
        <f t="shared" si="22"/>
        <v>17.898193760262725</v>
      </c>
    </row>
    <row r="298" spans="1:17" hidden="1" x14ac:dyDescent="0.25">
      <c r="A298" s="16">
        <v>45590</v>
      </c>
      <c r="B298" s="2" t="s">
        <v>84</v>
      </c>
      <c r="C298" s="2">
        <v>0</v>
      </c>
      <c r="D298" s="11">
        <v>0.14499999999999999</v>
      </c>
      <c r="E298" s="2">
        <f t="shared" si="19"/>
        <v>0</v>
      </c>
      <c r="F298" s="10">
        <v>0.02</v>
      </c>
      <c r="G298" s="10">
        <v>7.0000000000000007E-2</v>
      </c>
      <c r="H298" s="12">
        <f t="shared" si="20"/>
        <v>1.3050000000000001E-2</v>
      </c>
      <c r="I298" s="12">
        <f t="shared" si="21"/>
        <v>0.10305000000000002</v>
      </c>
      <c r="J298" s="2"/>
      <c r="K298" s="2"/>
      <c r="L298" s="2">
        <f>I298*500</f>
        <v>51.525000000000006</v>
      </c>
      <c r="M298" s="2"/>
      <c r="N298" s="2"/>
      <c r="O298" s="2"/>
      <c r="P298" s="2"/>
      <c r="Q298" s="28">
        <f t="shared" si="22"/>
        <v>12.663755458515283</v>
      </c>
    </row>
    <row r="299" spans="1:17" hidden="1" x14ac:dyDescent="0.25">
      <c r="A299" s="16">
        <v>45590</v>
      </c>
      <c r="B299" s="2" t="s">
        <v>98</v>
      </c>
      <c r="C299" s="2">
        <v>550</v>
      </c>
      <c r="D299" s="11">
        <v>0.19800000000000001</v>
      </c>
      <c r="E299" s="2">
        <f t="shared" si="19"/>
        <v>0.55000000000000004</v>
      </c>
      <c r="F299" s="10">
        <v>0.02</v>
      </c>
      <c r="G299" s="10">
        <v>7.0000000000000007E-2</v>
      </c>
      <c r="H299" s="12">
        <f t="shared" si="20"/>
        <v>0.12672000000000003</v>
      </c>
      <c r="I299" s="12">
        <f t="shared" si="21"/>
        <v>0.76672000000000018</v>
      </c>
      <c r="J299" s="2"/>
      <c r="K299" s="2"/>
      <c r="L299" s="2"/>
      <c r="M299" s="2">
        <f>I299*750</f>
        <v>575.04000000000019</v>
      </c>
      <c r="N299" s="2"/>
      <c r="O299" s="2"/>
      <c r="P299" s="2"/>
      <c r="Q299" s="28">
        <f t="shared" si="22"/>
        <v>16.527545909849749</v>
      </c>
    </row>
    <row r="300" spans="1:17" hidden="1" x14ac:dyDescent="0.25">
      <c r="A300" s="16">
        <v>45590</v>
      </c>
      <c r="B300" s="2" t="s">
        <v>122</v>
      </c>
      <c r="C300" s="2">
        <v>550</v>
      </c>
      <c r="D300" s="11">
        <v>0.17199999999999999</v>
      </c>
      <c r="E300" s="2">
        <f t="shared" si="19"/>
        <v>0.55000000000000004</v>
      </c>
      <c r="F300" s="10">
        <v>0.02</v>
      </c>
      <c r="G300" s="10">
        <v>7.0000000000000007E-2</v>
      </c>
      <c r="H300" s="12">
        <f t="shared" si="20"/>
        <v>0.11008000000000001</v>
      </c>
      <c r="I300" s="12">
        <f t="shared" si="21"/>
        <v>0.75008000000000008</v>
      </c>
      <c r="J300" s="2"/>
      <c r="K300" s="2"/>
      <c r="L300" s="2">
        <f>I300*500</f>
        <v>375.04</v>
      </c>
      <c r="M300" s="2"/>
      <c r="N300" s="2"/>
      <c r="O300" s="2"/>
      <c r="P300" s="2"/>
      <c r="Q300" s="28">
        <f t="shared" si="22"/>
        <v>14.675767918088736</v>
      </c>
    </row>
    <row r="301" spans="1:17" hidden="1" x14ac:dyDescent="0.25">
      <c r="A301" s="16">
        <v>45590</v>
      </c>
      <c r="B301" s="2" t="s">
        <v>123</v>
      </c>
      <c r="C301" s="2">
        <v>1250</v>
      </c>
      <c r="D301" s="11">
        <v>0.26</v>
      </c>
      <c r="E301" s="2">
        <f t="shared" si="19"/>
        <v>1.25</v>
      </c>
      <c r="F301" s="10">
        <v>0.02</v>
      </c>
      <c r="G301" s="10">
        <v>7.0000000000000007E-2</v>
      </c>
      <c r="H301" s="12">
        <f t="shared" si="20"/>
        <v>0.34840000000000004</v>
      </c>
      <c r="I301" s="12">
        <f t="shared" si="21"/>
        <v>1.6884000000000001</v>
      </c>
      <c r="J301" s="2"/>
      <c r="K301" s="2"/>
      <c r="L301" s="2">
        <f>I301*500</f>
        <v>844.2</v>
      </c>
      <c r="M301" s="2"/>
      <c r="N301" s="2">
        <f>I301*1000</f>
        <v>1688.4</v>
      </c>
      <c r="O301" s="2"/>
      <c r="P301" s="2"/>
      <c r="Q301" s="28">
        <f t="shared" si="22"/>
        <v>20.634920634920636</v>
      </c>
    </row>
    <row r="302" spans="1:17" hidden="1" x14ac:dyDescent="0.25">
      <c r="A302" s="16">
        <v>45591</v>
      </c>
      <c r="B302" s="2" t="s">
        <v>139</v>
      </c>
      <c r="C302" s="2">
        <v>1200</v>
      </c>
      <c r="D302" s="11">
        <v>0.20799999999999999</v>
      </c>
      <c r="E302" s="2">
        <f t="shared" si="19"/>
        <v>1.2</v>
      </c>
      <c r="F302" s="10">
        <v>0.02</v>
      </c>
      <c r="G302" s="10">
        <v>7.0000000000000007E-2</v>
      </c>
      <c r="H302" s="12">
        <f t="shared" si="20"/>
        <v>0.26832</v>
      </c>
      <c r="I302" s="12">
        <f t="shared" si="21"/>
        <v>1.5583200000000001</v>
      </c>
      <c r="J302" s="2"/>
      <c r="K302" s="2">
        <f>I302*350</f>
        <v>545.41200000000003</v>
      </c>
      <c r="L302" s="2"/>
      <c r="M302" s="2"/>
      <c r="N302" s="2"/>
      <c r="O302" s="2"/>
      <c r="P302" s="2"/>
      <c r="Q302" s="28">
        <f t="shared" si="22"/>
        <v>17.218543046357613</v>
      </c>
    </row>
    <row r="303" spans="1:17" x14ac:dyDescent="0.25">
      <c r="A303" s="16">
        <v>45592</v>
      </c>
      <c r="B303" s="2" t="s">
        <v>119</v>
      </c>
      <c r="C303" s="2">
        <v>700</v>
      </c>
      <c r="D303" s="11">
        <v>0.17299999999999999</v>
      </c>
      <c r="E303" s="2">
        <f t="shared" si="19"/>
        <v>0.7</v>
      </c>
      <c r="F303" s="10">
        <v>0.02</v>
      </c>
      <c r="G303" s="10">
        <v>7.0000000000000007E-2</v>
      </c>
      <c r="H303" s="12">
        <f t="shared" si="20"/>
        <v>0.13666999999999999</v>
      </c>
      <c r="I303" s="12">
        <f t="shared" si="21"/>
        <v>0.92666999999999999</v>
      </c>
      <c r="J303" s="2"/>
      <c r="K303" s="2"/>
      <c r="L303" s="2"/>
      <c r="M303" s="2">
        <f>I303*750</f>
        <v>695.00249999999994</v>
      </c>
      <c r="N303" s="2"/>
      <c r="O303" s="2"/>
      <c r="P303" s="2"/>
      <c r="Q303" s="28">
        <f t="shared" si="22"/>
        <v>14.74850809889173</v>
      </c>
    </row>
    <row r="304" spans="1:17" hidden="1" x14ac:dyDescent="0.25">
      <c r="A304" s="16">
        <v>45592</v>
      </c>
      <c r="B304" s="2" t="s">
        <v>139</v>
      </c>
      <c r="C304" s="2">
        <v>1200</v>
      </c>
      <c r="D304" s="11">
        <v>0.22600000000000001</v>
      </c>
      <c r="E304" s="2">
        <f t="shared" si="19"/>
        <v>1.2</v>
      </c>
      <c r="F304" s="10">
        <v>0.02</v>
      </c>
      <c r="G304" s="10">
        <v>7.0000000000000007E-2</v>
      </c>
      <c r="H304" s="12">
        <f t="shared" si="20"/>
        <v>0.29154000000000002</v>
      </c>
      <c r="I304" s="12">
        <f t="shared" si="21"/>
        <v>1.5815399999999999</v>
      </c>
      <c r="J304" s="2"/>
      <c r="K304" s="2">
        <f>I304*350</f>
        <v>553.53899999999999</v>
      </c>
      <c r="L304" s="2"/>
      <c r="M304" s="2"/>
      <c r="N304" s="2"/>
      <c r="O304" s="2"/>
      <c r="P304" s="2"/>
      <c r="Q304" s="28">
        <f t="shared" si="22"/>
        <v>18.433931484502448</v>
      </c>
    </row>
    <row r="305" spans="1:17" hidden="1" x14ac:dyDescent="0.25">
      <c r="A305" s="16">
        <v>45592</v>
      </c>
      <c r="B305" s="2" t="s">
        <v>85</v>
      </c>
      <c r="C305" s="2">
        <v>800</v>
      </c>
      <c r="D305" s="11">
        <v>0.22</v>
      </c>
      <c r="E305" s="2">
        <f t="shared" si="19"/>
        <v>0.8</v>
      </c>
      <c r="F305" s="10">
        <v>0.02</v>
      </c>
      <c r="G305" s="10">
        <v>7.0000000000000007E-2</v>
      </c>
      <c r="H305" s="12">
        <f t="shared" si="20"/>
        <v>0.19580000000000003</v>
      </c>
      <c r="I305" s="12">
        <f t="shared" si="21"/>
        <v>1.0858000000000001</v>
      </c>
      <c r="J305" s="2"/>
      <c r="K305" s="2">
        <f>I305*300</f>
        <v>325.74</v>
      </c>
      <c r="L305" s="2"/>
      <c r="M305" s="2"/>
      <c r="N305" s="2"/>
      <c r="O305" s="2"/>
      <c r="P305" s="2"/>
      <c r="Q305" s="28">
        <f t="shared" si="22"/>
        <v>18.032786885245901</v>
      </c>
    </row>
    <row r="306" spans="1:17" x14ac:dyDescent="0.25">
      <c r="A306" s="16">
        <v>45594</v>
      </c>
      <c r="B306" s="2" t="s">
        <v>119</v>
      </c>
      <c r="C306" s="2">
        <v>670</v>
      </c>
      <c r="D306" s="11">
        <v>0.27300000000000002</v>
      </c>
      <c r="E306" s="2">
        <f t="shared" si="19"/>
        <v>0.67</v>
      </c>
      <c r="F306" s="10">
        <v>0.02</v>
      </c>
      <c r="G306" s="10">
        <v>7.0000000000000007E-2</v>
      </c>
      <c r="H306" s="12">
        <f t="shared" si="20"/>
        <v>0.20748000000000003</v>
      </c>
      <c r="I306" s="12">
        <f t="shared" si="21"/>
        <v>0.96748000000000001</v>
      </c>
      <c r="J306" s="2"/>
      <c r="K306" s="2"/>
      <c r="L306" s="2"/>
      <c r="M306" s="2">
        <f>I306*750</f>
        <v>725.61</v>
      </c>
      <c r="N306" s="2"/>
      <c r="O306" s="2"/>
      <c r="P306" s="2"/>
      <c r="Q306" s="28">
        <f t="shared" si="22"/>
        <v>21.445404556166537</v>
      </c>
    </row>
    <row r="307" spans="1:17" x14ac:dyDescent="0.25">
      <c r="A307" s="16">
        <v>45594</v>
      </c>
      <c r="B307" s="2" t="s">
        <v>127</v>
      </c>
      <c r="C307" s="2">
        <v>670</v>
      </c>
      <c r="D307" s="11">
        <v>0.25</v>
      </c>
      <c r="E307" s="2">
        <f t="shared" si="19"/>
        <v>0.67</v>
      </c>
      <c r="F307" s="10">
        <v>0.02</v>
      </c>
      <c r="G307" s="10">
        <v>7.0000000000000007E-2</v>
      </c>
      <c r="H307" s="12">
        <f t="shared" si="20"/>
        <v>0.19</v>
      </c>
      <c r="I307" s="12">
        <f t="shared" si="21"/>
        <v>0.95</v>
      </c>
      <c r="J307" s="2"/>
      <c r="K307" s="2"/>
      <c r="L307" s="2">
        <f>I307*500</f>
        <v>475</v>
      </c>
      <c r="M307" s="2"/>
      <c r="N307" s="2"/>
      <c r="O307" s="2"/>
      <c r="P307" s="2"/>
      <c r="Q307" s="28">
        <f t="shared" si="22"/>
        <v>20</v>
      </c>
    </row>
    <row r="308" spans="1:17" hidden="1" x14ac:dyDescent="0.25">
      <c r="A308" s="16">
        <v>45594</v>
      </c>
      <c r="B308" s="2" t="s">
        <v>98</v>
      </c>
      <c r="C308" s="2">
        <v>550</v>
      </c>
      <c r="D308" s="11">
        <v>0.19800000000000001</v>
      </c>
      <c r="E308" s="2">
        <f t="shared" si="19"/>
        <v>0.55000000000000004</v>
      </c>
      <c r="F308" s="10">
        <v>0.02</v>
      </c>
      <c r="G308" s="10">
        <v>7.0000000000000007E-2</v>
      </c>
      <c r="H308" s="12">
        <f t="shared" si="20"/>
        <v>0.12672000000000003</v>
      </c>
      <c r="I308" s="12">
        <f t="shared" si="21"/>
        <v>0.76672000000000018</v>
      </c>
      <c r="J308" s="2"/>
      <c r="K308" s="2"/>
      <c r="L308" s="2"/>
      <c r="M308" s="2">
        <f>I308*750</f>
        <v>575.04000000000019</v>
      </c>
      <c r="N308" s="2"/>
      <c r="O308" s="2"/>
      <c r="P308" s="2"/>
      <c r="Q308" s="28">
        <f t="shared" si="22"/>
        <v>16.527545909849749</v>
      </c>
    </row>
    <row r="309" spans="1:17" hidden="1" x14ac:dyDescent="0.25">
      <c r="A309" s="16">
        <v>45594</v>
      </c>
      <c r="B309" s="2" t="s">
        <v>122</v>
      </c>
      <c r="C309" s="2">
        <v>550</v>
      </c>
      <c r="D309" s="11">
        <v>0.17199999999999999</v>
      </c>
      <c r="E309" s="2">
        <f t="shared" si="19"/>
        <v>0.55000000000000004</v>
      </c>
      <c r="F309" s="10">
        <v>0.02</v>
      </c>
      <c r="G309" s="10">
        <v>7.0000000000000007E-2</v>
      </c>
      <c r="H309" s="12">
        <f t="shared" si="20"/>
        <v>0.11008000000000001</v>
      </c>
      <c r="I309" s="12">
        <f t="shared" si="21"/>
        <v>0.75008000000000008</v>
      </c>
      <c r="J309" s="2"/>
      <c r="K309" s="2"/>
      <c r="L309" s="2">
        <f>I309*500</f>
        <v>375.04</v>
      </c>
      <c r="M309" s="2"/>
      <c r="N309" s="2"/>
      <c r="O309" s="2"/>
      <c r="P309" s="2"/>
      <c r="Q309" s="28">
        <f t="shared" si="22"/>
        <v>14.675767918088736</v>
      </c>
    </row>
    <row r="310" spans="1:17" hidden="1" x14ac:dyDescent="0.25">
      <c r="A310" s="16">
        <v>45594</v>
      </c>
      <c r="B310" s="2" t="s">
        <v>131</v>
      </c>
      <c r="C310" s="2">
        <v>1100</v>
      </c>
      <c r="D310" s="11">
        <v>0.19</v>
      </c>
      <c r="E310" s="2">
        <f t="shared" si="19"/>
        <v>1.1000000000000001</v>
      </c>
      <c r="F310" s="10">
        <v>0.02</v>
      </c>
      <c r="G310" s="10">
        <v>7.0000000000000007E-2</v>
      </c>
      <c r="H310" s="12">
        <f t="shared" si="20"/>
        <v>0.22610000000000002</v>
      </c>
      <c r="I310" s="12">
        <f t="shared" si="21"/>
        <v>1.4161000000000001</v>
      </c>
      <c r="J310" s="2"/>
      <c r="K310" s="2">
        <f>I310*350</f>
        <v>495.63500000000005</v>
      </c>
      <c r="L310" s="2"/>
      <c r="M310" s="2"/>
      <c r="N310" s="2"/>
      <c r="O310" s="2"/>
      <c r="P310" s="2"/>
      <c r="Q310" s="28">
        <f t="shared" si="22"/>
        <v>15.966386554621849</v>
      </c>
    </row>
    <row r="311" spans="1:17" hidden="1" x14ac:dyDescent="0.25">
      <c r="A311" s="16">
        <v>45594</v>
      </c>
      <c r="B311" s="2" t="s">
        <v>139</v>
      </c>
      <c r="C311" s="2">
        <v>1200</v>
      </c>
      <c r="D311" s="11">
        <v>0.20799999999999999</v>
      </c>
      <c r="E311" s="2">
        <f t="shared" si="19"/>
        <v>1.2</v>
      </c>
      <c r="F311" s="10">
        <v>0.02</v>
      </c>
      <c r="G311" s="10">
        <v>7.0000000000000007E-2</v>
      </c>
      <c r="H311" s="12">
        <f t="shared" si="20"/>
        <v>0.26832</v>
      </c>
      <c r="I311" s="12">
        <f t="shared" si="21"/>
        <v>1.5583200000000001</v>
      </c>
      <c r="J311" s="2"/>
      <c r="K311" s="2">
        <f>I311*350</f>
        <v>545.41200000000003</v>
      </c>
      <c r="L311" s="2"/>
      <c r="M311" s="2"/>
      <c r="N311" s="2"/>
      <c r="O311" s="2"/>
      <c r="P311" s="2"/>
      <c r="Q311" s="28">
        <f t="shared" si="22"/>
        <v>17.218543046357613</v>
      </c>
    </row>
    <row r="312" spans="1:17" hidden="1" x14ac:dyDescent="0.25">
      <c r="A312" s="16">
        <v>45594</v>
      </c>
      <c r="B312" s="2" t="s">
        <v>86</v>
      </c>
      <c r="C312" s="2">
        <v>1200</v>
      </c>
      <c r="D312" s="11">
        <v>0.01</v>
      </c>
      <c r="E312" s="2">
        <f t="shared" si="19"/>
        <v>1.2</v>
      </c>
      <c r="F312" s="10">
        <v>0.02</v>
      </c>
      <c r="G312" s="10">
        <v>7.0000000000000007E-2</v>
      </c>
      <c r="H312" s="12">
        <f t="shared" si="20"/>
        <v>1.29E-2</v>
      </c>
      <c r="I312" s="12">
        <f t="shared" si="21"/>
        <v>1.3028999999999999</v>
      </c>
      <c r="J312" s="2">
        <f>I312*250</f>
        <v>325.72499999999997</v>
      </c>
      <c r="K312" s="2"/>
      <c r="L312" s="2"/>
      <c r="M312" s="2"/>
      <c r="N312" s="2"/>
      <c r="O312" s="2"/>
      <c r="P312" s="2"/>
      <c r="Q312" s="28">
        <f t="shared" si="22"/>
        <v>0.9900990099009902</v>
      </c>
    </row>
    <row r="313" spans="1:17" hidden="1" x14ac:dyDescent="0.25">
      <c r="A313" s="16">
        <v>45594</v>
      </c>
      <c r="B313" s="2" t="s">
        <v>85</v>
      </c>
      <c r="C313" s="2">
        <v>780</v>
      </c>
      <c r="D313" s="11">
        <v>0.245</v>
      </c>
      <c r="E313" s="2">
        <f t="shared" si="19"/>
        <v>0.78</v>
      </c>
      <c r="F313" s="10">
        <v>0.02</v>
      </c>
      <c r="G313" s="10">
        <v>7.0000000000000007E-2</v>
      </c>
      <c r="H313" s="12">
        <f t="shared" si="20"/>
        <v>0.21315000000000003</v>
      </c>
      <c r="I313" s="12">
        <f t="shared" si="21"/>
        <v>1.0831500000000001</v>
      </c>
      <c r="J313" s="2"/>
      <c r="K313" s="2">
        <f>I313*300</f>
        <v>324.94499999999999</v>
      </c>
      <c r="L313" s="2"/>
      <c r="M313" s="2"/>
      <c r="N313" s="2"/>
      <c r="O313" s="2"/>
      <c r="P313" s="2"/>
      <c r="Q313" s="28">
        <f t="shared" si="22"/>
        <v>19.678714859437754</v>
      </c>
    </row>
    <row r="314" spans="1:17" x14ac:dyDescent="0.25">
      <c r="A314" s="16">
        <v>45596</v>
      </c>
      <c r="B314" s="2" t="s">
        <v>119</v>
      </c>
      <c r="C314" s="2">
        <v>670</v>
      </c>
      <c r="D314" s="11">
        <v>0.30599999999999999</v>
      </c>
      <c r="E314" s="2">
        <f t="shared" si="19"/>
        <v>0.67</v>
      </c>
      <c r="F314" s="10">
        <v>0.02</v>
      </c>
      <c r="G314" s="10">
        <v>7.0000000000000007E-2</v>
      </c>
      <c r="H314" s="12">
        <f t="shared" si="20"/>
        <v>0.23255999999999999</v>
      </c>
      <c r="I314" s="12">
        <f t="shared" si="21"/>
        <v>0.99256</v>
      </c>
      <c r="J314" s="2"/>
      <c r="K314" s="2"/>
      <c r="L314" s="2"/>
      <c r="M314" s="2">
        <f>I314*750</f>
        <v>744.42</v>
      </c>
      <c r="N314" s="2"/>
      <c r="O314" s="2"/>
      <c r="P314" s="2"/>
      <c r="Q314" s="28">
        <f t="shared" si="22"/>
        <v>23.43032159264931</v>
      </c>
    </row>
    <row r="315" spans="1:17" hidden="1" x14ac:dyDescent="0.25">
      <c r="A315" s="16">
        <v>45596</v>
      </c>
      <c r="B315" s="2" t="s">
        <v>135</v>
      </c>
      <c r="C315" s="2">
        <v>480</v>
      </c>
      <c r="D315" s="11">
        <v>0.39500000000000002</v>
      </c>
      <c r="E315" s="2">
        <f t="shared" si="19"/>
        <v>0.48</v>
      </c>
      <c r="F315" s="10">
        <v>0.02</v>
      </c>
      <c r="G315" s="10">
        <v>7.0000000000000007E-2</v>
      </c>
      <c r="H315" s="12">
        <f t="shared" si="20"/>
        <v>0.22515000000000004</v>
      </c>
      <c r="I315" s="12">
        <f t="shared" si="21"/>
        <v>0.79515000000000013</v>
      </c>
      <c r="J315" s="2"/>
      <c r="K315" s="2"/>
      <c r="L315" s="2"/>
      <c r="M315" s="2"/>
      <c r="N315" s="2">
        <f>I315*1000</f>
        <v>795.15000000000009</v>
      </c>
      <c r="O315" s="2"/>
      <c r="P315" s="2"/>
      <c r="Q315" s="28">
        <f t="shared" si="22"/>
        <v>28.315412186379927</v>
      </c>
    </row>
    <row r="316" spans="1:17" hidden="1" x14ac:dyDescent="0.25">
      <c r="A316" s="16">
        <v>45596</v>
      </c>
      <c r="B316" s="2" t="s">
        <v>164</v>
      </c>
      <c r="C316" s="10">
        <v>480</v>
      </c>
      <c r="D316" s="11">
        <v>0.39</v>
      </c>
      <c r="E316" s="2">
        <f t="shared" si="19"/>
        <v>0.48</v>
      </c>
      <c r="F316" s="10">
        <v>0.02</v>
      </c>
      <c r="G316" s="10">
        <v>7.0000000000000007E-2</v>
      </c>
      <c r="H316" s="12">
        <f t="shared" si="20"/>
        <v>0.22230000000000003</v>
      </c>
      <c r="I316" s="12">
        <f t="shared" si="21"/>
        <v>0.79230000000000012</v>
      </c>
      <c r="J316" s="10"/>
      <c r="K316" s="10"/>
      <c r="L316" s="10"/>
      <c r="M316" s="10">
        <f>I316*750</f>
        <v>594.22500000000014</v>
      </c>
      <c r="N316" s="2">
        <f>I316*1000</f>
        <v>792.30000000000007</v>
      </c>
      <c r="O316" s="10"/>
      <c r="P316" s="10" t="s">
        <v>72</v>
      </c>
      <c r="Q316" s="28">
        <f t="shared" si="22"/>
        <v>28.057553956834532</v>
      </c>
    </row>
    <row r="317" spans="1:17" hidden="1" x14ac:dyDescent="0.25">
      <c r="A317" s="16">
        <v>45596</v>
      </c>
      <c r="B317" s="2" t="s">
        <v>98</v>
      </c>
      <c r="C317" s="2">
        <v>550</v>
      </c>
      <c r="D317" s="11">
        <v>0.19800000000000001</v>
      </c>
      <c r="E317" s="2">
        <f t="shared" si="19"/>
        <v>0.55000000000000004</v>
      </c>
      <c r="F317" s="10">
        <v>0.02</v>
      </c>
      <c r="G317" s="10">
        <v>7.0000000000000007E-2</v>
      </c>
      <c r="H317" s="12">
        <f t="shared" si="20"/>
        <v>0.12672000000000003</v>
      </c>
      <c r="I317" s="12">
        <f t="shared" si="21"/>
        <v>0.76672000000000018</v>
      </c>
      <c r="J317" s="2"/>
      <c r="K317" s="2"/>
      <c r="L317" s="2"/>
      <c r="M317" s="2">
        <f>I317*750</f>
        <v>575.04000000000019</v>
      </c>
      <c r="N317" s="2">
        <f>I317*1000</f>
        <v>766.72000000000014</v>
      </c>
      <c r="O317" s="2"/>
      <c r="P317" s="2"/>
      <c r="Q317" s="28">
        <f t="shared" si="22"/>
        <v>16.527545909849749</v>
      </c>
    </row>
    <row r="318" spans="1:17" hidden="1" x14ac:dyDescent="0.25">
      <c r="A318" s="16">
        <v>45596</v>
      </c>
      <c r="B318" s="2" t="s">
        <v>122</v>
      </c>
      <c r="C318" s="2">
        <v>550</v>
      </c>
      <c r="D318" s="11">
        <v>0.17399999999999999</v>
      </c>
      <c r="E318" s="2">
        <f t="shared" si="19"/>
        <v>0.55000000000000004</v>
      </c>
      <c r="F318" s="10">
        <v>0.02</v>
      </c>
      <c r="G318" s="10">
        <v>7.0000000000000007E-2</v>
      </c>
      <c r="H318" s="12">
        <f t="shared" si="20"/>
        <v>0.11136000000000001</v>
      </c>
      <c r="I318" s="12">
        <f t="shared" si="21"/>
        <v>0.75136000000000014</v>
      </c>
      <c r="J318" s="2"/>
      <c r="K318" s="2"/>
      <c r="L318" s="2">
        <f>I318*500</f>
        <v>375.68000000000006</v>
      </c>
      <c r="M318" s="2"/>
      <c r="N318" s="2"/>
      <c r="O318" s="2"/>
      <c r="P318" s="2"/>
      <c r="Q318" s="28">
        <f t="shared" si="22"/>
        <v>14.821124361158432</v>
      </c>
    </row>
    <row r="319" spans="1:17" hidden="1" x14ac:dyDescent="0.25">
      <c r="A319" s="16">
        <v>45596</v>
      </c>
      <c r="B319" s="2" t="s">
        <v>131</v>
      </c>
      <c r="C319" s="2">
        <v>1100</v>
      </c>
      <c r="D319" s="11">
        <v>0.19</v>
      </c>
      <c r="E319" s="2">
        <f t="shared" si="19"/>
        <v>1.1000000000000001</v>
      </c>
      <c r="F319" s="10">
        <v>0.02</v>
      </c>
      <c r="G319" s="10">
        <v>7.0000000000000007E-2</v>
      </c>
      <c r="H319" s="12">
        <f t="shared" si="20"/>
        <v>0.22610000000000002</v>
      </c>
      <c r="I319" s="12">
        <f t="shared" si="21"/>
        <v>1.4161000000000001</v>
      </c>
      <c r="J319" s="2"/>
      <c r="K319" s="2">
        <f>I319*350</f>
        <v>495.63500000000005</v>
      </c>
      <c r="L319" s="2"/>
      <c r="M319" s="2"/>
      <c r="N319" s="2"/>
      <c r="O319" s="2"/>
      <c r="P319" s="2"/>
      <c r="Q319" s="28">
        <f t="shared" si="22"/>
        <v>15.966386554621849</v>
      </c>
    </row>
    <row r="320" spans="1:17" hidden="1" x14ac:dyDescent="0.25">
      <c r="A320" s="16">
        <v>45597</v>
      </c>
      <c r="B320" s="2" t="s">
        <v>131</v>
      </c>
      <c r="C320" s="2">
        <v>1100</v>
      </c>
      <c r="D320" s="11">
        <v>0.19</v>
      </c>
      <c r="E320" s="2">
        <f t="shared" si="19"/>
        <v>1.1000000000000001</v>
      </c>
      <c r="F320" s="10">
        <v>0.02</v>
      </c>
      <c r="G320" s="10">
        <v>7.0000000000000007E-2</v>
      </c>
      <c r="H320" s="12">
        <f t="shared" si="20"/>
        <v>0.22610000000000002</v>
      </c>
      <c r="I320" s="12">
        <f t="shared" si="21"/>
        <v>1.4161000000000001</v>
      </c>
      <c r="J320" s="2"/>
      <c r="K320" s="2">
        <f>I320*350</f>
        <v>495.63500000000005</v>
      </c>
      <c r="L320" s="2"/>
      <c r="M320" s="2"/>
      <c r="N320" s="2"/>
      <c r="O320" s="2"/>
      <c r="P320" s="2"/>
      <c r="Q320" s="28">
        <f t="shared" si="22"/>
        <v>15.966386554621849</v>
      </c>
    </row>
    <row r="321" spans="1:17" hidden="1" x14ac:dyDescent="0.25">
      <c r="A321" s="16">
        <v>45597</v>
      </c>
      <c r="B321" s="2" t="s">
        <v>139</v>
      </c>
      <c r="C321" s="2">
        <v>1280</v>
      </c>
      <c r="D321" s="11">
        <v>9.5000000000000001E-2</v>
      </c>
      <c r="E321" s="2">
        <f t="shared" si="19"/>
        <v>1.28</v>
      </c>
      <c r="F321" s="10">
        <v>0.02</v>
      </c>
      <c r="G321" s="10">
        <v>7.0000000000000007E-2</v>
      </c>
      <c r="H321" s="12">
        <f t="shared" si="20"/>
        <v>0.13015000000000002</v>
      </c>
      <c r="I321" s="12">
        <f t="shared" si="21"/>
        <v>1.5001500000000001</v>
      </c>
      <c r="J321" s="2"/>
      <c r="K321" s="2">
        <f>I321*350</f>
        <v>525.05250000000001</v>
      </c>
      <c r="L321" s="2"/>
      <c r="M321" s="2"/>
      <c r="N321" s="2"/>
      <c r="O321" s="2"/>
      <c r="P321" s="2"/>
      <c r="Q321" s="28">
        <f t="shared" si="22"/>
        <v>8.6757990867579906</v>
      </c>
    </row>
    <row r="322" spans="1:17" hidden="1" x14ac:dyDescent="0.25">
      <c r="A322" s="16">
        <v>45597</v>
      </c>
      <c r="B322" s="2" t="s">
        <v>85</v>
      </c>
      <c r="C322" s="2">
        <v>830</v>
      </c>
      <c r="D322" s="11">
        <v>0.18</v>
      </c>
      <c r="E322" s="2">
        <f t="shared" si="19"/>
        <v>0.83</v>
      </c>
      <c r="F322" s="10">
        <v>0.02</v>
      </c>
      <c r="G322" s="10">
        <v>7.0000000000000007E-2</v>
      </c>
      <c r="H322" s="12">
        <f t="shared" si="20"/>
        <v>0.16559999999999997</v>
      </c>
      <c r="I322" s="12">
        <f t="shared" si="21"/>
        <v>1.0855999999999999</v>
      </c>
      <c r="J322" s="2"/>
      <c r="K322" s="2">
        <f>I322*300</f>
        <v>325.67999999999995</v>
      </c>
      <c r="L322" s="2"/>
      <c r="M322" s="2"/>
      <c r="N322" s="2"/>
      <c r="O322" s="2"/>
      <c r="P322" s="2"/>
      <c r="Q322" s="28">
        <f t="shared" si="22"/>
        <v>15.254237288135592</v>
      </c>
    </row>
    <row r="323" spans="1:17" x14ac:dyDescent="0.25">
      <c r="A323" s="16">
        <v>45598</v>
      </c>
      <c r="B323" s="2" t="s">
        <v>136</v>
      </c>
      <c r="C323" s="2">
        <v>750</v>
      </c>
      <c r="D323" s="11">
        <v>0.30399999999999999</v>
      </c>
      <c r="E323" s="2">
        <f t="shared" si="19"/>
        <v>0.75</v>
      </c>
      <c r="F323" s="10">
        <v>0.02</v>
      </c>
      <c r="G323" s="10">
        <v>7.0000000000000007E-2</v>
      </c>
      <c r="H323" s="12">
        <f t="shared" si="20"/>
        <v>0.25536000000000003</v>
      </c>
      <c r="I323" s="12">
        <f t="shared" si="21"/>
        <v>1.0953600000000001</v>
      </c>
      <c r="J323" s="2"/>
      <c r="K323" s="2"/>
      <c r="L323" s="2"/>
      <c r="M323" s="2"/>
      <c r="N323" s="2">
        <f>I323*1000</f>
        <v>1095.3600000000001</v>
      </c>
      <c r="O323" s="2"/>
      <c r="P323" s="2"/>
      <c r="Q323" s="28">
        <f t="shared" si="22"/>
        <v>23.312883435582823</v>
      </c>
    </row>
    <row r="324" spans="1:17" hidden="1" x14ac:dyDescent="0.25">
      <c r="A324" s="16">
        <v>45598</v>
      </c>
      <c r="B324" s="2" t="s">
        <v>135</v>
      </c>
      <c r="C324" s="2">
        <v>520</v>
      </c>
      <c r="D324" s="11">
        <v>0.30399999999999999</v>
      </c>
      <c r="E324" s="2">
        <f t="shared" ref="E324:E387" si="23">C324/1000</f>
        <v>0.52</v>
      </c>
      <c r="F324" s="10">
        <v>0.02</v>
      </c>
      <c r="G324" s="10">
        <v>7.0000000000000007E-2</v>
      </c>
      <c r="H324" s="12">
        <f t="shared" ref="H324:H387" si="24">SUM(E324:G324)*D324</f>
        <v>0.18544000000000002</v>
      </c>
      <c r="I324" s="12">
        <f t="shared" ref="I324:I387" si="25">SUM(E324:H324)</f>
        <v>0.79544000000000015</v>
      </c>
      <c r="J324" s="2"/>
      <c r="K324" s="2"/>
      <c r="L324" s="2"/>
      <c r="M324" s="2"/>
      <c r="N324" s="2">
        <f>I324*1000</f>
        <v>795.44000000000017</v>
      </c>
      <c r="O324" s="2"/>
      <c r="P324" s="2"/>
      <c r="Q324" s="28">
        <f t="shared" si="22"/>
        <v>23.312883435582819</v>
      </c>
    </row>
    <row r="325" spans="1:17" hidden="1" x14ac:dyDescent="0.25">
      <c r="A325" s="16">
        <v>45598</v>
      </c>
      <c r="B325" s="2" t="s">
        <v>164</v>
      </c>
      <c r="C325" s="10">
        <v>520</v>
      </c>
      <c r="D325" s="11">
        <v>0.3</v>
      </c>
      <c r="E325" s="2">
        <f t="shared" si="23"/>
        <v>0.52</v>
      </c>
      <c r="F325" s="10">
        <v>0.02</v>
      </c>
      <c r="G325" s="10">
        <v>7.0000000000000007E-2</v>
      </c>
      <c r="H325" s="12">
        <f t="shared" si="24"/>
        <v>0.18300000000000002</v>
      </c>
      <c r="I325" s="12">
        <f t="shared" si="25"/>
        <v>0.79300000000000015</v>
      </c>
      <c r="J325" s="10"/>
      <c r="K325" s="10"/>
      <c r="L325" s="10"/>
      <c r="M325" s="10">
        <f>I325*750</f>
        <v>594.75000000000011</v>
      </c>
      <c r="N325" s="2" t="s">
        <v>72</v>
      </c>
      <c r="O325" s="10"/>
      <c r="P325" s="10" t="s">
        <v>72</v>
      </c>
      <c r="Q325" s="28">
        <f t="shared" si="22"/>
        <v>23.076923076923077</v>
      </c>
    </row>
    <row r="326" spans="1:17" hidden="1" x14ac:dyDescent="0.25">
      <c r="A326" s="16">
        <v>45598</v>
      </c>
      <c r="B326" s="2" t="s">
        <v>109</v>
      </c>
      <c r="C326" s="10">
        <v>620</v>
      </c>
      <c r="D326" s="11">
        <v>0.30399999999999999</v>
      </c>
      <c r="E326" s="10">
        <f t="shared" si="23"/>
        <v>0.62</v>
      </c>
      <c r="F326" s="10">
        <v>0.02</v>
      </c>
      <c r="G326" s="10">
        <v>7.0000000000000007E-2</v>
      </c>
      <c r="H326" s="12">
        <f t="shared" si="24"/>
        <v>0.21583999999999998</v>
      </c>
      <c r="I326" s="12">
        <f t="shared" si="25"/>
        <v>0.92584</v>
      </c>
      <c r="J326" s="10"/>
      <c r="K326" s="10"/>
      <c r="L326" s="10"/>
      <c r="M326" s="10"/>
      <c r="N326" s="2">
        <f>I326*1000</f>
        <v>925.84</v>
      </c>
      <c r="O326" s="10"/>
      <c r="P326" s="10"/>
      <c r="Q326" s="28">
        <f t="shared" si="22"/>
        <v>23.312883435582819</v>
      </c>
    </row>
    <row r="327" spans="1:17" hidden="1" x14ac:dyDescent="0.25">
      <c r="A327" s="16">
        <v>45598</v>
      </c>
      <c r="B327" s="35" t="s">
        <v>175</v>
      </c>
      <c r="C327" s="34">
        <v>620</v>
      </c>
      <c r="D327" s="11">
        <v>0.23400000000000001</v>
      </c>
      <c r="E327" s="10">
        <f t="shared" si="23"/>
        <v>0.62</v>
      </c>
      <c r="F327" s="10">
        <v>0.02</v>
      </c>
      <c r="G327" s="10">
        <v>7.0000000000000007E-2</v>
      </c>
      <c r="H327" s="12">
        <f t="shared" si="24"/>
        <v>0.16614000000000001</v>
      </c>
      <c r="I327" s="12">
        <f t="shared" si="25"/>
        <v>0.87613999999999992</v>
      </c>
      <c r="J327" s="10"/>
      <c r="K327" s="10"/>
      <c r="L327" s="10"/>
      <c r="M327" s="10"/>
      <c r="N327" s="2" t="s">
        <v>72</v>
      </c>
      <c r="O327" s="10">
        <f>I327*1250</f>
        <v>1095.175</v>
      </c>
      <c r="P327" s="10"/>
      <c r="Q327" s="28">
        <f t="shared" si="22"/>
        <v>18.962722852512158</v>
      </c>
    </row>
    <row r="328" spans="1:17" hidden="1" x14ac:dyDescent="0.25">
      <c r="A328" s="16">
        <v>45598</v>
      </c>
      <c r="B328" s="2" t="s">
        <v>123</v>
      </c>
      <c r="C328" s="2">
        <v>1300</v>
      </c>
      <c r="D328" s="11">
        <v>0.33100000000000002</v>
      </c>
      <c r="E328" s="2">
        <f t="shared" si="23"/>
        <v>1.3</v>
      </c>
      <c r="F328" s="10">
        <v>0.02</v>
      </c>
      <c r="G328" s="10">
        <v>7.0000000000000007E-2</v>
      </c>
      <c r="H328" s="12">
        <f t="shared" si="24"/>
        <v>0.46009000000000005</v>
      </c>
      <c r="I328" s="12">
        <f t="shared" si="25"/>
        <v>1.8500900000000002</v>
      </c>
      <c r="J328" s="2"/>
      <c r="K328" s="2"/>
      <c r="L328" s="2">
        <f>I328*500</f>
        <v>925.04500000000007</v>
      </c>
      <c r="M328" s="2"/>
      <c r="N328" s="2">
        <f>I328*1000</f>
        <v>1850.0900000000001</v>
      </c>
      <c r="O328" s="2"/>
      <c r="P328" s="2"/>
      <c r="Q328" s="28">
        <f t="shared" si="22"/>
        <v>24.868519909842227</v>
      </c>
    </row>
    <row r="329" spans="1:17" ht="14.25" hidden="1" customHeight="1" x14ac:dyDescent="0.25">
      <c r="A329" s="16">
        <v>45598</v>
      </c>
      <c r="B329" s="2" t="s">
        <v>131</v>
      </c>
      <c r="C329" s="2">
        <v>1000</v>
      </c>
      <c r="D329" s="11">
        <v>0.3</v>
      </c>
      <c r="E329" s="2">
        <f t="shared" si="23"/>
        <v>1</v>
      </c>
      <c r="F329" s="10">
        <v>0.02</v>
      </c>
      <c r="G329" s="10">
        <v>7.0000000000000007E-2</v>
      </c>
      <c r="H329" s="12">
        <f t="shared" si="24"/>
        <v>0.32700000000000001</v>
      </c>
      <c r="I329" s="12">
        <f t="shared" si="25"/>
        <v>1.417</v>
      </c>
      <c r="J329" s="2"/>
      <c r="K329" s="2">
        <f>I329*350</f>
        <v>495.95</v>
      </c>
      <c r="L329" s="2"/>
      <c r="M329" s="2"/>
      <c r="N329" s="2"/>
      <c r="O329" s="2"/>
      <c r="P329" s="2"/>
      <c r="Q329" s="28">
        <f t="shared" si="22"/>
        <v>23.076923076923077</v>
      </c>
    </row>
    <row r="330" spans="1:17" hidden="1" x14ac:dyDescent="0.25">
      <c r="A330" s="16">
        <v>45598</v>
      </c>
      <c r="B330" s="2" t="s">
        <v>150</v>
      </c>
      <c r="C330" s="10">
        <v>1650</v>
      </c>
      <c r="D330" s="11">
        <v>0.308</v>
      </c>
      <c r="E330" s="10">
        <f t="shared" si="23"/>
        <v>1.65</v>
      </c>
      <c r="F330" s="10">
        <v>0.02</v>
      </c>
      <c r="G330" s="10">
        <v>7.0000000000000007E-2</v>
      </c>
      <c r="H330" s="12">
        <f t="shared" si="24"/>
        <v>0.53591999999999995</v>
      </c>
      <c r="I330" s="12">
        <f t="shared" si="25"/>
        <v>2.2759200000000002</v>
      </c>
      <c r="J330" s="10"/>
      <c r="K330" s="10"/>
      <c r="L330" s="10"/>
      <c r="M330" s="10"/>
      <c r="N330" s="10">
        <f>I330*1000</f>
        <v>2275.92</v>
      </c>
      <c r="O330" s="10"/>
      <c r="P330" s="10"/>
      <c r="Q330" s="28">
        <f t="shared" si="22"/>
        <v>23.547400611620791</v>
      </c>
    </row>
    <row r="331" spans="1:17" hidden="1" x14ac:dyDescent="0.25">
      <c r="A331" s="16">
        <v>45598</v>
      </c>
      <c r="B331" s="2" t="s">
        <v>139</v>
      </c>
      <c r="C331" s="2">
        <v>1300</v>
      </c>
      <c r="D331" s="11">
        <v>0.22500000000000001</v>
      </c>
      <c r="E331" s="2">
        <f t="shared" si="23"/>
        <v>1.3</v>
      </c>
      <c r="F331" s="10">
        <v>0.02</v>
      </c>
      <c r="G331" s="10">
        <v>7.0000000000000007E-2</v>
      </c>
      <c r="H331" s="12">
        <f t="shared" si="24"/>
        <v>0.31275000000000003</v>
      </c>
      <c r="I331" s="12">
        <f t="shared" si="25"/>
        <v>1.7027500000000002</v>
      </c>
      <c r="J331" s="2"/>
      <c r="K331" s="2">
        <f>I331*350</f>
        <v>595.96250000000009</v>
      </c>
      <c r="L331" s="2"/>
      <c r="M331" s="2"/>
      <c r="N331" s="2">
        <f>I331*1000</f>
        <v>1702.7500000000002</v>
      </c>
      <c r="O331" s="2"/>
      <c r="P331" s="2"/>
      <c r="Q331" s="28">
        <f t="shared" si="22"/>
        <v>18.367346938775512</v>
      </c>
    </row>
    <row r="332" spans="1:17" hidden="1" x14ac:dyDescent="0.25">
      <c r="A332" s="16">
        <v>45598</v>
      </c>
      <c r="B332" s="2" t="s">
        <v>85</v>
      </c>
      <c r="C332" s="2">
        <v>870</v>
      </c>
      <c r="D332" s="11">
        <v>0.13</v>
      </c>
      <c r="E332" s="2">
        <f t="shared" si="23"/>
        <v>0.87</v>
      </c>
      <c r="F332" s="10">
        <v>0.02</v>
      </c>
      <c r="G332" s="10">
        <v>7.0000000000000007E-2</v>
      </c>
      <c r="H332" s="12">
        <f t="shared" si="24"/>
        <v>0.12479999999999999</v>
      </c>
      <c r="I332" s="12">
        <f t="shared" si="25"/>
        <v>1.0848</v>
      </c>
      <c r="J332" s="2"/>
      <c r="K332" s="2">
        <f>I332*300</f>
        <v>325.44</v>
      </c>
      <c r="L332" s="2"/>
      <c r="M332" s="2"/>
      <c r="N332" s="2"/>
      <c r="O332" s="2"/>
      <c r="P332" s="2"/>
      <c r="Q332" s="28">
        <f t="shared" si="22"/>
        <v>11.504424778761061</v>
      </c>
    </row>
    <row r="333" spans="1:17" hidden="1" x14ac:dyDescent="0.25">
      <c r="A333" s="16">
        <v>45599</v>
      </c>
      <c r="B333" s="2" t="s">
        <v>139</v>
      </c>
      <c r="C333" s="2">
        <v>1270</v>
      </c>
      <c r="D333" s="11">
        <v>0.25</v>
      </c>
      <c r="E333" s="2">
        <f t="shared" si="23"/>
        <v>1.27</v>
      </c>
      <c r="F333" s="10">
        <v>0.02</v>
      </c>
      <c r="G333" s="10">
        <v>7.0000000000000007E-2</v>
      </c>
      <c r="H333" s="12">
        <f t="shared" si="24"/>
        <v>0.34</v>
      </c>
      <c r="I333" s="12">
        <f t="shared" si="25"/>
        <v>1.7000000000000002</v>
      </c>
      <c r="J333" s="2"/>
      <c r="K333" s="2">
        <f>I333*350</f>
        <v>595.00000000000011</v>
      </c>
      <c r="L333" s="2"/>
      <c r="M333" s="2"/>
      <c r="N333" s="2">
        <f>I333*1000</f>
        <v>1700.0000000000002</v>
      </c>
      <c r="O333" s="2"/>
      <c r="P333" s="2"/>
      <c r="Q333" s="28">
        <f t="shared" si="22"/>
        <v>20</v>
      </c>
    </row>
    <row r="334" spans="1:17" hidden="1" x14ac:dyDescent="0.25">
      <c r="A334" s="16">
        <v>45602</v>
      </c>
      <c r="B334" s="2" t="s">
        <v>100</v>
      </c>
      <c r="C334" s="2">
        <v>600</v>
      </c>
      <c r="D334" s="11">
        <v>0.23200000000000001</v>
      </c>
      <c r="E334" s="2">
        <f t="shared" si="23"/>
        <v>0.6</v>
      </c>
      <c r="F334" s="10">
        <v>0.02</v>
      </c>
      <c r="G334" s="10">
        <v>7.0000000000000007E-2</v>
      </c>
      <c r="H334" s="12">
        <f t="shared" si="24"/>
        <v>0.16008</v>
      </c>
      <c r="I334" s="12">
        <f t="shared" si="25"/>
        <v>0.85007999999999995</v>
      </c>
      <c r="J334" s="2"/>
      <c r="K334" s="2"/>
      <c r="L334" s="2">
        <f>I334*500</f>
        <v>425.03999999999996</v>
      </c>
      <c r="M334" s="2"/>
      <c r="N334" s="2"/>
      <c r="O334" s="2"/>
      <c r="P334" s="2"/>
      <c r="Q334" s="28">
        <f t="shared" si="22"/>
        <v>18.831168831168831</v>
      </c>
    </row>
    <row r="335" spans="1:17" hidden="1" x14ac:dyDescent="0.25">
      <c r="A335" s="16">
        <v>45602</v>
      </c>
      <c r="B335" s="2" t="s">
        <v>85</v>
      </c>
      <c r="C335" s="2">
        <v>830</v>
      </c>
      <c r="D335" s="11">
        <v>0.18</v>
      </c>
      <c r="E335" s="2">
        <f t="shared" si="23"/>
        <v>0.83</v>
      </c>
      <c r="F335" s="10">
        <v>0.02</v>
      </c>
      <c r="G335" s="10">
        <v>7.0000000000000007E-2</v>
      </c>
      <c r="H335" s="12">
        <f t="shared" si="24"/>
        <v>0.16559999999999997</v>
      </c>
      <c r="I335" s="12">
        <f t="shared" si="25"/>
        <v>1.0855999999999999</v>
      </c>
      <c r="J335" s="2"/>
      <c r="K335" s="2">
        <f>I335*300</f>
        <v>325.67999999999995</v>
      </c>
      <c r="L335" s="2"/>
      <c r="M335" s="2"/>
      <c r="N335" s="2"/>
      <c r="O335" s="2"/>
      <c r="P335" s="2"/>
      <c r="Q335" s="28">
        <f t="shared" si="22"/>
        <v>15.254237288135592</v>
      </c>
    </row>
    <row r="336" spans="1:17" x14ac:dyDescent="0.25">
      <c r="A336" s="16">
        <v>45603</v>
      </c>
      <c r="B336" s="2" t="s">
        <v>119</v>
      </c>
      <c r="C336" s="2">
        <v>620</v>
      </c>
      <c r="D336" s="11">
        <v>0.26900000000000002</v>
      </c>
      <c r="E336" s="2">
        <f t="shared" si="23"/>
        <v>0.62</v>
      </c>
      <c r="F336" s="10">
        <v>0.02</v>
      </c>
      <c r="G336" s="10">
        <v>7.0000000000000007E-2</v>
      </c>
      <c r="H336" s="12">
        <f t="shared" si="24"/>
        <v>0.19098999999999999</v>
      </c>
      <c r="I336" s="12">
        <f t="shared" si="25"/>
        <v>0.90098999999999996</v>
      </c>
      <c r="J336" s="2"/>
      <c r="K336" s="2"/>
      <c r="L336" s="2"/>
      <c r="M336" s="2">
        <f>I336*750</f>
        <v>675.74249999999995</v>
      </c>
      <c r="N336" s="2">
        <f t="shared" ref="N336:N345" si="26">I336*1000</f>
        <v>900.99</v>
      </c>
      <c r="O336" s="2"/>
      <c r="P336" s="2"/>
      <c r="Q336" s="28">
        <f t="shared" si="22"/>
        <v>21.19779353821907</v>
      </c>
    </row>
    <row r="337" spans="1:17" x14ac:dyDescent="0.25">
      <c r="A337" s="16">
        <v>45603</v>
      </c>
      <c r="B337" s="2" t="s">
        <v>127</v>
      </c>
      <c r="C337" s="2">
        <v>620</v>
      </c>
      <c r="D337" s="11">
        <v>0.255</v>
      </c>
      <c r="E337" s="2">
        <f t="shared" si="23"/>
        <v>0.62</v>
      </c>
      <c r="F337" s="10">
        <v>0.02</v>
      </c>
      <c r="G337" s="10">
        <v>7.0000000000000007E-2</v>
      </c>
      <c r="H337" s="12">
        <f t="shared" si="24"/>
        <v>0.18104999999999999</v>
      </c>
      <c r="I337" s="12">
        <f t="shared" si="25"/>
        <v>0.8910499999999999</v>
      </c>
      <c r="J337" s="2"/>
      <c r="K337" s="2"/>
      <c r="L337" s="2">
        <f>I337*500</f>
        <v>445.52499999999998</v>
      </c>
      <c r="M337" s="2"/>
      <c r="N337" s="2">
        <f t="shared" si="26"/>
        <v>891.05</v>
      </c>
      <c r="O337" s="2"/>
      <c r="P337" s="2"/>
      <c r="Q337" s="28">
        <f t="shared" si="22"/>
        <v>20.318725099601597</v>
      </c>
    </row>
    <row r="338" spans="1:17" hidden="1" x14ac:dyDescent="0.25">
      <c r="A338" s="16">
        <v>45603</v>
      </c>
      <c r="B338" s="2" t="s">
        <v>135</v>
      </c>
      <c r="C338" s="2">
        <v>480</v>
      </c>
      <c r="D338" s="11">
        <v>0.30780000000000002</v>
      </c>
      <c r="E338" s="2">
        <f t="shared" si="23"/>
        <v>0.48</v>
      </c>
      <c r="F338" s="10">
        <v>0.02</v>
      </c>
      <c r="G338" s="10">
        <v>7.0000000000000007E-2</v>
      </c>
      <c r="H338" s="12">
        <f t="shared" si="24"/>
        <v>0.17544600000000002</v>
      </c>
      <c r="I338" s="12">
        <f t="shared" si="25"/>
        <v>0.74544600000000005</v>
      </c>
      <c r="J338" s="2"/>
      <c r="K338" s="2"/>
      <c r="L338" s="2"/>
      <c r="M338" s="2"/>
      <c r="N338" s="2">
        <f t="shared" si="26"/>
        <v>745.44600000000003</v>
      </c>
      <c r="O338" s="2"/>
      <c r="P338" s="2"/>
      <c r="Q338" s="28">
        <f t="shared" si="22"/>
        <v>23.535708823979203</v>
      </c>
    </row>
    <row r="339" spans="1:17" hidden="1" x14ac:dyDescent="0.25">
      <c r="A339" s="16">
        <v>45603</v>
      </c>
      <c r="B339" s="2" t="s">
        <v>164</v>
      </c>
      <c r="C339" s="10">
        <v>480</v>
      </c>
      <c r="D339" s="11">
        <v>0.34499999999999997</v>
      </c>
      <c r="E339" s="2">
        <f t="shared" si="23"/>
        <v>0.48</v>
      </c>
      <c r="F339" s="10">
        <v>0.02</v>
      </c>
      <c r="G339" s="10">
        <v>7.0000000000000007E-2</v>
      </c>
      <c r="H339" s="12">
        <f t="shared" si="24"/>
        <v>0.19665000000000002</v>
      </c>
      <c r="I339" s="12">
        <f t="shared" si="25"/>
        <v>0.76665000000000005</v>
      </c>
      <c r="J339" s="10"/>
      <c r="K339" s="10"/>
      <c r="L339" s="10"/>
      <c r="M339" s="10">
        <f>I339*750</f>
        <v>574.98750000000007</v>
      </c>
      <c r="N339" s="2">
        <f t="shared" si="26"/>
        <v>766.65000000000009</v>
      </c>
      <c r="O339" s="10"/>
      <c r="P339" s="10" t="s">
        <v>72</v>
      </c>
      <c r="Q339" s="28">
        <f t="shared" si="22"/>
        <v>25.650557620817846</v>
      </c>
    </row>
    <row r="340" spans="1:17" hidden="1" x14ac:dyDescent="0.25">
      <c r="A340" s="16">
        <v>45603</v>
      </c>
      <c r="B340" s="2" t="s">
        <v>171</v>
      </c>
      <c r="C340" s="10">
        <v>480</v>
      </c>
      <c r="D340" s="11">
        <v>0.316</v>
      </c>
      <c r="E340" s="2">
        <f t="shared" si="23"/>
        <v>0.48</v>
      </c>
      <c r="F340" s="10">
        <v>0.02</v>
      </c>
      <c r="G340" s="10">
        <v>7.0000000000000007E-2</v>
      </c>
      <c r="H340" s="12">
        <f t="shared" si="24"/>
        <v>0.18012000000000003</v>
      </c>
      <c r="I340" s="12">
        <f t="shared" si="25"/>
        <v>0.75012000000000012</v>
      </c>
      <c r="J340" s="2"/>
      <c r="K340" s="2"/>
      <c r="L340" s="2">
        <f>I340*500</f>
        <v>375.06000000000006</v>
      </c>
      <c r="M340" s="2"/>
      <c r="N340" s="2">
        <f t="shared" si="26"/>
        <v>750.12000000000012</v>
      </c>
      <c r="O340" s="2"/>
      <c r="P340" s="2"/>
      <c r="Q340" s="28">
        <f t="shared" si="22"/>
        <v>24.012158054711247</v>
      </c>
    </row>
    <row r="341" spans="1:17" hidden="1" x14ac:dyDescent="0.25">
      <c r="A341" s="16">
        <v>45603</v>
      </c>
      <c r="B341" s="2" t="s">
        <v>109</v>
      </c>
      <c r="C341" s="10">
        <v>550</v>
      </c>
      <c r="D341" s="11">
        <v>0.24299999999999999</v>
      </c>
      <c r="E341" s="10">
        <f t="shared" si="23"/>
        <v>0.55000000000000004</v>
      </c>
      <c r="F341" s="10">
        <v>0.02</v>
      </c>
      <c r="G341" s="10">
        <v>7.0000000000000007E-2</v>
      </c>
      <c r="H341" s="12">
        <f t="shared" si="24"/>
        <v>0.15552000000000002</v>
      </c>
      <c r="I341" s="12">
        <f t="shared" si="25"/>
        <v>0.79552000000000012</v>
      </c>
      <c r="J341" s="10"/>
      <c r="K341" s="10"/>
      <c r="L341" s="10"/>
      <c r="M341" s="10"/>
      <c r="N341" s="2">
        <f t="shared" si="26"/>
        <v>795.5200000000001</v>
      </c>
      <c r="O341" s="10"/>
      <c r="P341" s="10"/>
      <c r="Q341" s="28">
        <f t="shared" si="22"/>
        <v>19.549477071600965</v>
      </c>
    </row>
    <row r="342" spans="1:17" hidden="1" x14ac:dyDescent="0.25">
      <c r="A342" s="16">
        <v>45603</v>
      </c>
      <c r="B342" s="2" t="s">
        <v>131</v>
      </c>
      <c r="C342" s="2">
        <v>1100</v>
      </c>
      <c r="D342" s="11">
        <v>0.26</v>
      </c>
      <c r="E342" s="2">
        <f t="shared" si="23"/>
        <v>1.1000000000000001</v>
      </c>
      <c r="F342" s="10">
        <v>0.02</v>
      </c>
      <c r="G342" s="10">
        <v>7.0000000000000007E-2</v>
      </c>
      <c r="H342" s="12">
        <f t="shared" si="24"/>
        <v>0.30940000000000006</v>
      </c>
      <c r="I342" s="12">
        <f t="shared" si="25"/>
        <v>1.4994000000000003</v>
      </c>
      <c r="J342" s="2"/>
      <c r="K342" s="2">
        <f>I342*350</f>
        <v>524.79000000000008</v>
      </c>
      <c r="L342" s="2"/>
      <c r="M342" s="2"/>
      <c r="N342" s="2">
        <f t="shared" si="26"/>
        <v>1499.4000000000003</v>
      </c>
      <c r="O342" s="2"/>
      <c r="P342" s="2"/>
      <c r="Q342" s="28">
        <f t="shared" si="22"/>
        <v>20.634920634920636</v>
      </c>
    </row>
    <row r="343" spans="1:17" hidden="1" x14ac:dyDescent="0.25">
      <c r="A343" s="16">
        <v>45603</v>
      </c>
      <c r="B343" s="2" t="s">
        <v>139</v>
      </c>
      <c r="C343" s="2">
        <v>1180</v>
      </c>
      <c r="D343" s="11">
        <v>0.29499999999999998</v>
      </c>
      <c r="E343" s="2">
        <f t="shared" si="23"/>
        <v>1.18</v>
      </c>
      <c r="F343" s="10">
        <v>0.02</v>
      </c>
      <c r="G343" s="10">
        <v>7.0000000000000007E-2</v>
      </c>
      <c r="H343" s="12">
        <f t="shared" si="24"/>
        <v>0.37464999999999998</v>
      </c>
      <c r="I343" s="12">
        <f t="shared" si="25"/>
        <v>1.6446499999999999</v>
      </c>
      <c r="J343" s="2"/>
      <c r="K343" s="2">
        <f>I343*350</f>
        <v>575.62749999999994</v>
      </c>
      <c r="L343" s="2"/>
      <c r="M343" s="2"/>
      <c r="N343" s="2">
        <f t="shared" si="26"/>
        <v>1644.6499999999999</v>
      </c>
      <c r="O343" s="2"/>
      <c r="P343" s="2"/>
      <c r="Q343" s="28">
        <f t="shared" si="22"/>
        <v>22.779922779922781</v>
      </c>
    </row>
    <row r="344" spans="1:17" hidden="1" x14ac:dyDescent="0.25">
      <c r="A344" s="16">
        <v>45604</v>
      </c>
      <c r="B344" s="2" t="s">
        <v>135</v>
      </c>
      <c r="C344" s="2">
        <v>500</v>
      </c>
      <c r="D344" s="11">
        <v>0.26300000000000001</v>
      </c>
      <c r="E344" s="2">
        <f t="shared" si="23"/>
        <v>0.5</v>
      </c>
      <c r="F344" s="10">
        <v>0.02</v>
      </c>
      <c r="G344" s="10">
        <v>7.0000000000000007E-2</v>
      </c>
      <c r="H344" s="12">
        <f t="shared" si="24"/>
        <v>0.15517000000000003</v>
      </c>
      <c r="I344" s="12">
        <f t="shared" si="25"/>
        <v>0.74517000000000011</v>
      </c>
      <c r="J344" s="2"/>
      <c r="K344" s="2"/>
      <c r="L344" s="2"/>
      <c r="M344" s="2"/>
      <c r="N344" s="2">
        <f t="shared" si="26"/>
        <v>745.17000000000007</v>
      </c>
      <c r="O344" s="2"/>
      <c r="P344" s="2"/>
      <c r="Q344" s="28">
        <f t="shared" si="22"/>
        <v>20.823436262866192</v>
      </c>
    </row>
    <row r="345" spans="1:17" hidden="1" x14ac:dyDescent="0.25">
      <c r="A345" s="16">
        <v>45604</v>
      </c>
      <c r="B345" s="2" t="s">
        <v>164</v>
      </c>
      <c r="C345" s="10">
        <v>500</v>
      </c>
      <c r="D345" s="11">
        <v>0.3</v>
      </c>
      <c r="E345" s="2">
        <f t="shared" si="23"/>
        <v>0.5</v>
      </c>
      <c r="F345" s="10">
        <v>0.02</v>
      </c>
      <c r="G345" s="10">
        <v>7.0000000000000007E-2</v>
      </c>
      <c r="H345" s="12">
        <f t="shared" si="24"/>
        <v>0.17700000000000002</v>
      </c>
      <c r="I345" s="12">
        <f t="shared" si="25"/>
        <v>0.76700000000000013</v>
      </c>
      <c r="J345" s="10"/>
      <c r="K345" s="10"/>
      <c r="L345" s="10"/>
      <c r="M345" s="10">
        <f>I345*750</f>
        <v>575.25000000000011</v>
      </c>
      <c r="N345" s="2">
        <f t="shared" si="26"/>
        <v>767.00000000000011</v>
      </c>
      <c r="O345" s="10">
        <f>I345*1250</f>
        <v>958.75000000000011</v>
      </c>
      <c r="P345" s="10" t="s">
        <v>72</v>
      </c>
      <c r="Q345" s="28">
        <f t="shared" si="22"/>
        <v>23.076923076923077</v>
      </c>
    </row>
    <row r="346" spans="1:17" hidden="1" x14ac:dyDescent="0.25">
      <c r="A346" s="16">
        <v>45604</v>
      </c>
      <c r="B346" s="2" t="s">
        <v>86</v>
      </c>
      <c r="C346" s="2">
        <v>900</v>
      </c>
      <c r="D346" s="11">
        <v>0.315</v>
      </c>
      <c r="E346" s="2">
        <f t="shared" si="23"/>
        <v>0.9</v>
      </c>
      <c r="F346" s="10">
        <v>0.02</v>
      </c>
      <c r="G346" s="10">
        <v>7.0000000000000007E-2</v>
      </c>
      <c r="H346" s="12">
        <f t="shared" si="24"/>
        <v>0.31185000000000002</v>
      </c>
      <c r="I346" s="12">
        <f t="shared" si="25"/>
        <v>1.30185</v>
      </c>
      <c r="J346" s="2">
        <f>I346*250</f>
        <v>325.46249999999998</v>
      </c>
      <c r="K346" s="2"/>
      <c r="L346" s="2"/>
      <c r="M346" s="2"/>
      <c r="N346" s="2"/>
      <c r="O346" s="2"/>
      <c r="P346" s="2"/>
      <c r="Q346" s="28">
        <f t="shared" si="22"/>
        <v>23.954372623574148</v>
      </c>
    </row>
    <row r="347" spans="1:17" hidden="1" x14ac:dyDescent="0.25">
      <c r="A347" s="16">
        <v>45604</v>
      </c>
      <c r="B347" s="2" t="s">
        <v>85</v>
      </c>
      <c r="C347" s="2">
        <v>900</v>
      </c>
      <c r="D347" s="11">
        <v>9.5000000000000001E-2</v>
      </c>
      <c r="E347" s="2">
        <f t="shared" si="23"/>
        <v>0.9</v>
      </c>
      <c r="F347" s="10">
        <v>0.02</v>
      </c>
      <c r="G347" s="10">
        <v>7.0000000000000007E-2</v>
      </c>
      <c r="H347" s="12">
        <f t="shared" si="24"/>
        <v>9.4049999999999995E-2</v>
      </c>
      <c r="I347" s="12">
        <f t="shared" si="25"/>
        <v>1.08405</v>
      </c>
      <c r="J347" s="2"/>
      <c r="K347" s="2">
        <f>I347*300</f>
        <v>325.21499999999997</v>
      </c>
      <c r="L347" s="2"/>
      <c r="M347" s="2"/>
      <c r="N347" s="2"/>
      <c r="O347" s="2"/>
      <c r="P347" s="2"/>
      <c r="Q347" s="28">
        <f t="shared" si="22"/>
        <v>8.6757990867579906</v>
      </c>
    </row>
    <row r="348" spans="1:17" hidden="1" x14ac:dyDescent="0.25">
      <c r="A348" s="16">
        <v>45605</v>
      </c>
      <c r="B348" s="2" t="s">
        <v>178</v>
      </c>
      <c r="C348" s="10">
        <v>500</v>
      </c>
      <c r="D348" s="11">
        <v>0.28199999999999997</v>
      </c>
      <c r="E348" s="2">
        <f t="shared" si="23"/>
        <v>0.5</v>
      </c>
      <c r="F348" s="10">
        <v>0.02</v>
      </c>
      <c r="G348" s="10">
        <v>7.0000000000000007E-2</v>
      </c>
      <c r="H348" s="12">
        <f t="shared" si="24"/>
        <v>0.16638</v>
      </c>
      <c r="I348" s="12">
        <f t="shared" si="25"/>
        <v>0.75638000000000005</v>
      </c>
      <c r="J348" s="10"/>
      <c r="K348" s="10"/>
      <c r="L348" s="10"/>
      <c r="M348" s="10" t="s">
        <v>72</v>
      </c>
      <c r="N348" s="2" t="s">
        <v>72</v>
      </c>
      <c r="O348" s="10">
        <f>I348*1250</f>
        <v>945.47500000000002</v>
      </c>
      <c r="P348" s="10" t="s">
        <v>72</v>
      </c>
      <c r="Q348" s="28">
        <f t="shared" si="22"/>
        <v>21.996879875195006</v>
      </c>
    </row>
    <row r="349" spans="1:17" hidden="1" x14ac:dyDescent="0.25">
      <c r="A349" s="16">
        <v>45605</v>
      </c>
      <c r="B349" s="2" t="s">
        <v>109</v>
      </c>
      <c r="C349" s="2">
        <v>480</v>
      </c>
      <c r="D349" s="11">
        <v>0.39500000000000002</v>
      </c>
      <c r="E349" s="2">
        <f t="shared" si="23"/>
        <v>0.48</v>
      </c>
      <c r="F349" s="10">
        <v>0.02</v>
      </c>
      <c r="G349" s="10">
        <v>7.0000000000000007E-2</v>
      </c>
      <c r="H349" s="12">
        <f t="shared" si="24"/>
        <v>0.22515000000000004</v>
      </c>
      <c r="I349" s="12">
        <f t="shared" si="25"/>
        <v>0.79515000000000013</v>
      </c>
      <c r="J349" s="2"/>
      <c r="K349" s="2"/>
      <c r="L349" s="2"/>
      <c r="M349" s="2"/>
      <c r="N349" s="2">
        <f>I349*1000</f>
        <v>795.15000000000009</v>
      </c>
      <c r="O349" s="2"/>
      <c r="P349" s="2"/>
      <c r="Q349" s="28">
        <f t="shared" si="22"/>
        <v>28.315412186379927</v>
      </c>
    </row>
    <row r="350" spans="1:17" hidden="1" x14ac:dyDescent="0.25">
      <c r="A350" s="16">
        <v>45605</v>
      </c>
      <c r="B350" s="2" t="s">
        <v>98</v>
      </c>
      <c r="C350" s="2">
        <v>480</v>
      </c>
      <c r="D350" s="11">
        <v>0.39500000000000002</v>
      </c>
      <c r="E350" s="2">
        <f t="shared" si="23"/>
        <v>0.48</v>
      </c>
      <c r="F350" s="10">
        <v>0.02</v>
      </c>
      <c r="G350" s="10">
        <v>7.0000000000000007E-2</v>
      </c>
      <c r="H350" s="12">
        <f t="shared" si="24"/>
        <v>0.22515000000000004</v>
      </c>
      <c r="I350" s="12">
        <f t="shared" si="25"/>
        <v>0.79515000000000013</v>
      </c>
      <c r="J350" s="2"/>
      <c r="K350" s="2"/>
      <c r="L350" s="2"/>
      <c r="M350" s="2">
        <f>I350*750</f>
        <v>596.36250000000007</v>
      </c>
      <c r="N350" s="2">
        <f>I350*1000</f>
        <v>795.15000000000009</v>
      </c>
      <c r="O350" s="2"/>
      <c r="P350" s="2"/>
      <c r="Q350" s="28">
        <f t="shared" si="22"/>
        <v>28.315412186379927</v>
      </c>
    </row>
    <row r="351" spans="1:17" hidden="1" x14ac:dyDescent="0.25">
      <c r="A351" s="16">
        <v>45605</v>
      </c>
      <c r="B351" s="2" t="s">
        <v>122</v>
      </c>
      <c r="C351" s="2">
        <v>480</v>
      </c>
      <c r="D351" s="11">
        <v>0.39500000000000002</v>
      </c>
      <c r="E351" s="2">
        <f t="shared" si="23"/>
        <v>0.48</v>
      </c>
      <c r="F351" s="10">
        <v>0.02</v>
      </c>
      <c r="G351" s="10">
        <v>7.0000000000000007E-2</v>
      </c>
      <c r="H351" s="12">
        <f t="shared" si="24"/>
        <v>0.22515000000000004</v>
      </c>
      <c r="I351" s="12">
        <f t="shared" si="25"/>
        <v>0.79515000000000013</v>
      </c>
      <c r="J351" s="2"/>
      <c r="K351" s="2"/>
      <c r="L351" s="2">
        <f>I351*500</f>
        <v>397.57500000000005</v>
      </c>
      <c r="M351" s="2"/>
      <c r="N351" s="2">
        <f>I351*1000</f>
        <v>795.15000000000009</v>
      </c>
      <c r="O351" s="2"/>
      <c r="P351" s="2"/>
      <c r="Q351" s="28">
        <f t="shared" si="22"/>
        <v>28.315412186379927</v>
      </c>
    </row>
    <row r="352" spans="1:17" hidden="1" x14ac:dyDescent="0.25">
      <c r="A352" s="16">
        <v>45605</v>
      </c>
      <c r="B352" s="2" t="s">
        <v>139</v>
      </c>
      <c r="C352" s="2">
        <v>1150</v>
      </c>
      <c r="D352" s="11">
        <v>0.32500000000000001</v>
      </c>
      <c r="E352" s="2">
        <f t="shared" si="23"/>
        <v>1.1499999999999999</v>
      </c>
      <c r="F352" s="10">
        <v>0.02</v>
      </c>
      <c r="G352" s="10">
        <v>7.0000000000000007E-2</v>
      </c>
      <c r="H352" s="12">
        <f t="shared" si="24"/>
        <v>0.40300000000000002</v>
      </c>
      <c r="I352" s="12">
        <f t="shared" si="25"/>
        <v>1.643</v>
      </c>
      <c r="J352" s="2"/>
      <c r="K352" s="2">
        <f>I352*350</f>
        <v>575.04999999999995</v>
      </c>
      <c r="L352" s="2"/>
      <c r="M352" s="2"/>
      <c r="N352" s="2">
        <f>I352*1000</f>
        <v>1643</v>
      </c>
      <c r="O352" s="2"/>
      <c r="P352" s="2"/>
      <c r="Q352" s="28">
        <f t="shared" si="22"/>
        <v>24.528301886792455</v>
      </c>
    </row>
    <row r="353" spans="1:17" hidden="1" x14ac:dyDescent="0.25">
      <c r="A353" s="16">
        <v>45605</v>
      </c>
      <c r="B353" s="2" t="s">
        <v>85</v>
      </c>
      <c r="C353" s="2">
        <v>800</v>
      </c>
      <c r="D353" s="11">
        <v>0.218</v>
      </c>
      <c r="E353" s="2">
        <f t="shared" si="23"/>
        <v>0.8</v>
      </c>
      <c r="F353" s="10">
        <v>0.02</v>
      </c>
      <c r="G353" s="10">
        <v>7.0000000000000007E-2</v>
      </c>
      <c r="H353" s="12">
        <f t="shared" si="24"/>
        <v>0.19402000000000003</v>
      </c>
      <c r="I353" s="12">
        <f t="shared" si="25"/>
        <v>1.0840200000000002</v>
      </c>
      <c r="J353" s="2"/>
      <c r="K353" s="2">
        <f>I353*300</f>
        <v>325.20600000000007</v>
      </c>
      <c r="L353" s="2"/>
      <c r="M353" s="2"/>
      <c r="N353" s="2"/>
      <c r="O353" s="2"/>
      <c r="P353" s="2"/>
      <c r="Q353" s="28">
        <f t="shared" si="22"/>
        <v>17.898193760262725</v>
      </c>
    </row>
    <row r="354" spans="1:17" ht="14.25" customHeight="1" x14ac:dyDescent="0.25">
      <c r="A354" s="16">
        <v>45606</v>
      </c>
      <c r="B354" s="2" t="s">
        <v>136</v>
      </c>
      <c r="C354" s="2">
        <v>700</v>
      </c>
      <c r="D354" s="11">
        <v>0.13300000000000001</v>
      </c>
      <c r="E354" s="2">
        <f t="shared" si="23"/>
        <v>0.7</v>
      </c>
      <c r="F354" s="10">
        <v>0.02</v>
      </c>
      <c r="G354" s="10">
        <v>7.0000000000000007E-2</v>
      </c>
      <c r="H354" s="12">
        <f t="shared" si="24"/>
        <v>0.10507000000000001</v>
      </c>
      <c r="I354" s="12">
        <f t="shared" si="25"/>
        <v>0.89507000000000003</v>
      </c>
      <c r="J354" s="2"/>
      <c r="K354" s="2"/>
      <c r="L354" s="2"/>
      <c r="M354" s="2"/>
      <c r="N354" s="2">
        <f>I354*1000</f>
        <v>895.07</v>
      </c>
      <c r="O354" s="2"/>
      <c r="P354" s="2"/>
      <c r="Q354" s="28">
        <f t="shared" si="22"/>
        <v>11.738746690203001</v>
      </c>
    </row>
    <row r="355" spans="1:17" x14ac:dyDescent="0.25">
      <c r="A355" s="16">
        <v>45606</v>
      </c>
      <c r="B355" s="2" t="s">
        <v>119</v>
      </c>
      <c r="C355" s="2">
        <v>700</v>
      </c>
      <c r="D355" s="11">
        <v>0.14000000000000001</v>
      </c>
      <c r="E355" s="2">
        <f t="shared" si="23"/>
        <v>0.7</v>
      </c>
      <c r="F355" s="10">
        <v>0.02</v>
      </c>
      <c r="G355" s="10">
        <v>7.0000000000000007E-2</v>
      </c>
      <c r="H355" s="12">
        <f t="shared" si="24"/>
        <v>0.11060000000000002</v>
      </c>
      <c r="I355" s="12">
        <f t="shared" si="25"/>
        <v>0.90060000000000007</v>
      </c>
      <c r="J355" s="2"/>
      <c r="K355" s="2"/>
      <c r="L355" s="2"/>
      <c r="M355" s="2">
        <f>I355*750</f>
        <v>675.45</v>
      </c>
      <c r="N355" s="2">
        <f>I355*1000</f>
        <v>900.6</v>
      </c>
      <c r="O355" s="2"/>
      <c r="P355" s="2"/>
      <c r="Q355" s="28">
        <f t="shared" si="22"/>
        <v>12.280701754385968</v>
      </c>
    </row>
    <row r="356" spans="1:17" hidden="1" x14ac:dyDescent="0.25">
      <c r="A356" s="16">
        <v>45606</v>
      </c>
      <c r="B356" s="2" t="s">
        <v>135</v>
      </c>
      <c r="C356" s="2">
        <v>500</v>
      </c>
      <c r="D356" s="11">
        <v>0.26300000000000001</v>
      </c>
      <c r="E356" s="2">
        <f t="shared" si="23"/>
        <v>0.5</v>
      </c>
      <c r="F356" s="10">
        <v>0.02</v>
      </c>
      <c r="G356" s="10">
        <v>7.0000000000000007E-2</v>
      </c>
      <c r="H356" s="12">
        <f t="shared" si="24"/>
        <v>0.15517000000000003</v>
      </c>
      <c r="I356" s="12">
        <f t="shared" si="25"/>
        <v>0.74517000000000011</v>
      </c>
      <c r="J356" s="2"/>
      <c r="K356" s="2"/>
      <c r="L356" s="2"/>
      <c r="M356" s="2"/>
      <c r="N356" s="2">
        <f>I356*1000</f>
        <v>745.17000000000007</v>
      </c>
      <c r="O356" s="10" t="s">
        <v>72</v>
      </c>
      <c r="P356" s="2"/>
      <c r="Q356" s="28">
        <f t="shared" si="22"/>
        <v>20.823436262866192</v>
      </c>
    </row>
    <row r="357" spans="1:17" hidden="1" x14ac:dyDescent="0.25">
      <c r="A357" s="16">
        <v>45606</v>
      </c>
      <c r="B357" s="2" t="s">
        <v>164</v>
      </c>
      <c r="C357" s="10">
        <v>500</v>
      </c>
      <c r="D357" s="11">
        <v>0.3</v>
      </c>
      <c r="E357" s="2">
        <f t="shared" si="23"/>
        <v>0.5</v>
      </c>
      <c r="F357" s="10">
        <v>0.02</v>
      </c>
      <c r="G357" s="10">
        <v>7.0000000000000007E-2</v>
      </c>
      <c r="H357" s="12">
        <f t="shared" si="24"/>
        <v>0.17700000000000002</v>
      </c>
      <c r="I357" s="12">
        <f t="shared" si="25"/>
        <v>0.76700000000000013</v>
      </c>
      <c r="J357" s="10"/>
      <c r="K357" s="10"/>
      <c r="L357" s="10"/>
      <c r="M357" s="10">
        <f>I357*750</f>
        <v>575.25000000000011</v>
      </c>
      <c r="N357" s="2">
        <f>I357*1000</f>
        <v>767.00000000000011</v>
      </c>
      <c r="O357" s="10">
        <f>I357*1250</f>
        <v>958.75000000000011</v>
      </c>
      <c r="P357" s="10" t="s">
        <v>72</v>
      </c>
      <c r="Q357" s="28">
        <f t="shared" ref="Q357:Q420" si="27">H357/I357%</f>
        <v>23.076923076923077</v>
      </c>
    </row>
    <row r="358" spans="1:17" hidden="1" x14ac:dyDescent="0.25">
      <c r="A358" s="16">
        <v>45606</v>
      </c>
      <c r="B358" s="2" t="s">
        <v>178</v>
      </c>
      <c r="C358" s="10">
        <v>500</v>
      </c>
      <c r="D358" s="11">
        <v>0.28199999999999997</v>
      </c>
      <c r="E358" s="2">
        <f t="shared" si="23"/>
        <v>0.5</v>
      </c>
      <c r="F358" s="10">
        <v>0.02</v>
      </c>
      <c r="G358" s="10">
        <v>7.0000000000000007E-2</v>
      </c>
      <c r="H358" s="12">
        <f t="shared" si="24"/>
        <v>0.16638</v>
      </c>
      <c r="I358" s="12">
        <f t="shared" si="25"/>
        <v>0.75638000000000005</v>
      </c>
      <c r="J358" s="10"/>
      <c r="K358" s="10"/>
      <c r="L358" s="10"/>
      <c r="M358" s="10" t="s">
        <v>72</v>
      </c>
      <c r="N358" s="2" t="s">
        <v>72</v>
      </c>
      <c r="O358" s="10">
        <f>I358*1250</f>
        <v>945.47500000000002</v>
      </c>
      <c r="P358" s="10" t="s">
        <v>72</v>
      </c>
      <c r="Q358" s="28">
        <f t="shared" si="27"/>
        <v>21.996879875195006</v>
      </c>
    </row>
    <row r="359" spans="1:17" x14ac:dyDescent="0.25">
      <c r="A359" s="16">
        <v>45608</v>
      </c>
      <c r="B359" s="2" t="s">
        <v>136</v>
      </c>
      <c r="C359" s="2">
        <v>600</v>
      </c>
      <c r="D359" s="11">
        <v>0.29799999999999999</v>
      </c>
      <c r="E359" s="2">
        <f t="shared" si="23"/>
        <v>0.6</v>
      </c>
      <c r="F359" s="10">
        <v>0.02</v>
      </c>
      <c r="G359" s="10">
        <v>7.0000000000000007E-2</v>
      </c>
      <c r="H359" s="12">
        <f t="shared" si="24"/>
        <v>0.20561999999999997</v>
      </c>
      <c r="I359" s="12">
        <f t="shared" si="25"/>
        <v>0.89561999999999986</v>
      </c>
      <c r="J359" s="2"/>
      <c r="K359" s="2"/>
      <c r="L359" s="2"/>
      <c r="M359" s="2"/>
      <c r="N359" s="2">
        <f t="shared" ref="N359:N368" si="28">I359*1000</f>
        <v>895.61999999999989</v>
      </c>
      <c r="O359" s="2"/>
      <c r="P359" s="2"/>
      <c r="Q359" s="28">
        <f t="shared" si="27"/>
        <v>22.95839753466872</v>
      </c>
    </row>
    <row r="360" spans="1:17" x14ac:dyDescent="0.25">
      <c r="A360" s="16">
        <v>45608</v>
      </c>
      <c r="B360" s="2" t="s">
        <v>119</v>
      </c>
      <c r="C360" s="2">
        <v>600</v>
      </c>
      <c r="D360" s="11">
        <v>0.30499999999999999</v>
      </c>
      <c r="E360" s="2">
        <f t="shared" si="23"/>
        <v>0.6</v>
      </c>
      <c r="F360" s="10">
        <v>0.02</v>
      </c>
      <c r="G360" s="10">
        <v>7.0000000000000007E-2</v>
      </c>
      <c r="H360" s="12">
        <f t="shared" si="24"/>
        <v>0.21044999999999997</v>
      </c>
      <c r="I360" s="12">
        <f t="shared" si="25"/>
        <v>0.90044999999999997</v>
      </c>
      <c r="J360" s="2"/>
      <c r="K360" s="2"/>
      <c r="L360" s="2"/>
      <c r="M360" s="2">
        <f>I360*750</f>
        <v>675.33749999999998</v>
      </c>
      <c r="N360" s="2">
        <f t="shared" si="28"/>
        <v>900.44999999999993</v>
      </c>
      <c r="O360" s="2"/>
      <c r="P360" s="2"/>
      <c r="Q360" s="28">
        <f t="shared" si="27"/>
        <v>23.371647509578541</v>
      </c>
    </row>
    <row r="361" spans="1:17" x14ac:dyDescent="0.25">
      <c r="A361" s="16">
        <v>45608</v>
      </c>
      <c r="B361" s="2" t="s">
        <v>127</v>
      </c>
      <c r="C361" s="2">
        <v>600</v>
      </c>
      <c r="D361" s="11">
        <v>0.28999999999999998</v>
      </c>
      <c r="E361" s="2">
        <f t="shared" si="23"/>
        <v>0.6</v>
      </c>
      <c r="F361" s="10">
        <v>0.02</v>
      </c>
      <c r="G361" s="10">
        <v>7.0000000000000007E-2</v>
      </c>
      <c r="H361" s="12">
        <f t="shared" si="24"/>
        <v>0.20009999999999997</v>
      </c>
      <c r="I361" s="12">
        <f t="shared" si="25"/>
        <v>0.89009999999999989</v>
      </c>
      <c r="J361" s="2"/>
      <c r="K361" s="2"/>
      <c r="L361" s="2">
        <f>I361*500</f>
        <v>445.04999999999995</v>
      </c>
      <c r="M361" s="2"/>
      <c r="N361" s="2">
        <f t="shared" si="28"/>
        <v>890.09999999999991</v>
      </c>
      <c r="O361" s="2"/>
      <c r="P361" s="2"/>
      <c r="Q361" s="28">
        <f t="shared" si="27"/>
        <v>22.480620155038757</v>
      </c>
    </row>
    <row r="362" spans="1:17" hidden="1" x14ac:dyDescent="0.25">
      <c r="A362" s="16">
        <v>45608</v>
      </c>
      <c r="B362" s="2" t="s">
        <v>135</v>
      </c>
      <c r="C362" s="2">
        <v>470</v>
      </c>
      <c r="D362" s="11">
        <v>0.33100000000000002</v>
      </c>
      <c r="E362" s="2">
        <f t="shared" si="23"/>
        <v>0.47</v>
      </c>
      <c r="F362" s="10">
        <v>0.02</v>
      </c>
      <c r="G362" s="10">
        <v>7.0000000000000007E-2</v>
      </c>
      <c r="H362" s="12">
        <f t="shared" si="24"/>
        <v>0.18536000000000002</v>
      </c>
      <c r="I362" s="12">
        <f t="shared" si="25"/>
        <v>0.74536000000000002</v>
      </c>
      <c r="J362" s="2"/>
      <c r="K362" s="2"/>
      <c r="L362" s="2"/>
      <c r="M362" s="2"/>
      <c r="N362" s="2">
        <f t="shared" si="28"/>
        <v>745.36</v>
      </c>
      <c r="O362" s="2"/>
      <c r="P362" s="2"/>
      <c r="Q362" s="28">
        <f t="shared" si="27"/>
        <v>24.868519909842227</v>
      </c>
    </row>
    <row r="363" spans="1:17" ht="14.25" hidden="1" customHeight="1" x14ac:dyDescent="0.25">
      <c r="A363" s="16">
        <v>45608</v>
      </c>
      <c r="B363" s="2" t="s">
        <v>164</v>
      </c>
      <c r="C363" s="10">
        <v>470</v>
      </c>
      <c r="D363" s="11">
        <v>0.37</v>
      </c>
      <c r="E363" s="2">
        <f t="shared" si="23"/>
        <v>0.47</v>
      </c>
      <c r="F363" s="10">
        <v>0.02</v>
      </c>
      <c r="G363" s="10">
        <v>7.0000000000000007E-2</v>
      </c>
      <c r="H363" s="12">
        <f t="shared" si="24"/>
        <v>0.20720000000000002</v>
      </c>
      <c r="I363" s="12">
        <f t="shared" si="25"/>
        <v>0.7672000000000001</v>
      </c>
      <c r="J363" s="10"/>
      <c r="K363" s="10"/>
      <c r="L363" s="10"/>
      <c r="M363" s="10">
        <f>I363*750</f>
        <v>575.40000000000009</v>
      </c>
      <c r="N363" s="2">
        <f t="shared" si="28"/>
        <v>767.20000000000016</v>
      </c>
      <c r="O363" s="10">
        <f>I363*1250</f>
        <v>959.00000000000011</v>
      </c>
      <c r="P363" s="10" t="s">
        <v>72</v>
      </c>
      <c r="Q363" s="28">
        <f t="shared" si="27"/>
        <v>27.007299270072991</v>
      </c>
    </row>
    <row r="364" spans="1:17" hidden="1" x14ac:dyDescent="0.25">
      <c r="A364" s="16">
        <v>45608</v>
      </c>
      <c r="B364" s="2" t="s">
        <v>171</v>
      </c>
      <c r="C364" s="10">
        <v>470</v>
      </c>
      <c r="D364" s="11">
        <v>0.34</v>
      </c>
      <c r="E364" s="2">
        <f t="shared" si="23"/>
        <v>0.47</v>
      </c>
      <c r="F364" s="10">
        <v>0.02</v>
      </c>
      <c r="G364" s="10">
        <v>7.0000000000000007E-2</v>
      </c>
      <c r="H364" s="12">
        <f t="shared" si="24"/>
        <v>0.19040000000000004</v>
      </c>
      <c r="I364" s="12">
        <f t="shared" si="25"/>
        <v>0.75040000000000007</v>
      </c>
      <c r="J364" s="2"/>
      <c r="K364" s="2"/>
      <c r="L364" s="2">
        <f>I364*500</f>
        <v>375.20000000000005</v>
      </c>
      <c r="M364" s="2"/>
      <c r="N364" s="2">
        <f t="shared" si="28"/>
        <v>750.40000000000009</v>
      </c>
      <c r="O364" s="2"/>
      <c r="P364" s="2"/>
      <c r="Q364" s="28">
        <f t="shared" si="27"/>
        <v>25.373134328358212</v>
      </c>
    </row>
    <row r="365" spans="1:17" hidden="1" x14ac:dyDescent="0.25">
      <c r="A365" s="16">
        <v>45608</v>
      </c>
      <c r="B365" s="2" t="s">
        <v>109</v>
      </c>
      <c r="C365" s="2">
        <v>450</v>
      </c>
      <c r="D365" s="11">
        <v>0.28799999999999998</v>
      </c>
      <c r="E365" s="2">
        <f t="shared" si="23"/>
        <v>0.45</v>
      </c>
      <c r="F365" s="10">
        <v>0.02</v>
      </c>
      <c r="G365" s="10">
        <v>7.0000000000000007E-2</v>
      </c>
      <c r="H365" s="12">
        <f t="shared" si="24"/>
        <v>0.15551999999999999</v>
      </c>
      <c r="I365" s="12">
        <f t="shared" si="25"/>
        <v>0.69552000000000003</v>
      </c>
      <c r="J365" s="2"/>
      <c r="K365" s="2"/>
      <c r="L365" s="2"/>
      <c r="M365" s="2"/>
      <c r="N365" s="2">
        <f t="shared" si="28"/>
        <v>695.52</v>
      </c>
      <c r="O365" s="2"/>
      <c r="P365" s="2"/>
      <c r="Q365" s="28">
        <f t="shared" si="27"/>
        <v>22.360248447204967</v>
      </c>
    </row>
    <row r="366" spans="1:17" hidden="1" x14ac:dyDescent="0.25">
      <c r="A366" s="16">
        <v>45608</v>
      </c>
      <c r="B366" s="2" t="s">
        <v>98</v>
      </c>
      <c r="C366" s="2">
        <v>450</v>
      </c>
      <c r="D366" s="11">
        <v>0.28999999999999998</v>
      </c>
      <c r="E366" s="2">
        <f t="shared" si="23"/>
        <v>0.45</v>
      </c>
      <c r="F366" s="10">
        <v>0.02</v>
      </c>
      <c r="G366" s="10">
        <v>7.0000000000000007E-2</v>
      </c>
      <c r="H366" s="12">
        <f t="shared" si="24"/>
        <v>0.15659999999999999</v>
      </c>
      <c r="I366" s="12">
        <f t="shared" si="25"/>
        <v>0.6966</v>
      </c>
      <c r="J366" s="2"/>
      <c r="K366" s="2"/>
      <c r="L366" s="2"/>
      <c r="M366" s="2">
        <f>I366*750</f>
        <v>522.45000000000005</v>
      </c>
      <c r="N366" s="2">
        <f t="shared" si="28"/>
        <v>696.6</v>
      </c>
      <c r="O366" s="2"/>
      <c r="P366" s="2"/>
      <c r="Q366" s="28">
        <f t="shared" si="27"/>
        <v>22.480620155038757</v>
      </c>
    </row>
    <row r="367" spans="1:17" hidden="1" x14ac:dyDescent="0.25">
      <c r="A367" s="16">
        <v>45608</v>
      </c>
      <c r="B367" s="2" t="s">
        <v>122</v>
      </c>
      <c r="C367" s="2">
        <v>450</v>
      </c>
      <c r="D367" s="11">
        <v>0.28000000000000003</v>
      </c>
      <c r="E367" s="2">
        <f t="shared" si="23"/>
        <v>0.45</v>
      </c>
      <c r="F367" s="10">
        <v>0.02</v>
      </c>
      <c r="G367" s="10">
        <v>7.0000000000000007E-2</v>
      </c>
      <c r="H367" s="12">
        <f t="shared" si="24"/>
        <v>0.15120000000000003</v>
      </c>
      <c r="I367" s="12">
        <f t="shared" si="25"/>
        <v>0.69120000000000004</v>
      </c>
      <c r="J367" s="2"/>
      <c r="K367" s="2"/>
      <c r="L367" s="2">
        <f>I367*500</f>
        <v>345.6</v>
      </c>
      <c r="M367" s="2"/>
      <c r="N367" s="2">
        <f t="shared" si="28"/>
        <v>691.2</v>
      </c>
      <c r="O367" s="2"/>
      <c r="P367" s="2"/>
      <c r="Q367" s="28">
        <f t="shared" si="27"/>
        <v>21.875000000000004</v>
      </c>
    </row>
    <row r="368" spans="1:17" hidden="1" x14ac:dyDescent="0.25">
      <c r="A368" s="16">
        <v>45608</v>
      </c>
      <c r="B368" s="2" t="s">
        <v>123</v>
      </c>
      <c r="C368" s="2">
        <v>1250</v>
      </c>
      <c r="D368" s="11">
        <v>0.38100000000000001</v>
      </c>
      <c r="E368" s="2">
        <f t="shared" si="23"/>
        <v>1.25</v>
      </c>
      <c r="F368" s="10">
        <v>0.02</v>
      </c>
      <c r="G368" s="10">
        <v>7.0000000000000007E-2</v>
      </c>
      <c r="H368" s="12">
        <f t="shared" si="24"/>
        <v>0.51053999999999999</v>
      </c>
      <c r="I368" s="12">
        <f t="shared" si="25"/>
        <v>1.8505400000000001</v>
      </c>
      <c r="J368" s="2"/>
      <c r="K368" s="2"/>
      <c r="L368" s="2">
        <f>I368*500</f>
        <v>925.27</v>
      </c>
      <c r="M368" s="2"/>
      <c r="N368" s="2">
        <f t="shared" si="28"/>
        <v>1850.54</v>
      </c>
      <c r="O368" s="2"/>
      <c r="P368" s="2"/>
      <c r="Q368" s="28">
        <f t="shared" si="27"/>
        <v>27.588703837798693</v>
      </c>
    </row>
    <row r="369" spans="1:17" hidden="1" x14ac:dyDescent="0.25">
      <c r="A369" s="16">
        <v>45608</v>
      </c>
      <c r="B369" s="2" t="s">
        <v>85</v>
      </c>
      <c r="C369" s="2">
        <v>780</v>
      </c>
      <c r="D369" s="11">
        <v>0.246</v>
      </c>
      <c r="E369" s="2">
        <f t="shared" si="23"/>
        <v>0.78</v>
      </c>
      <c r="F369" s="10">
        <v>0.02</v>
      </c>
      <c r="G369" s="10">
        <v>7.0000000000000007E-2</v>
      </c>
      <c r="H369" s="12">
        <f t="shared" si="24"/>
        <v>0.21402000000000002</v>
      </c>
      <c r="I369" s="12">
        <f t="shared" si="25"/>
        <v>1.0840200000000002</v>
      </c>
      <c r="J369" s="2"/>
      <c r="K369" s="2">
        <f>I369*300</f>
        <v>325.20600000000007</v>
      </c>
      <c r="L369" s="2"/>
      <c r="M369" s="2"/>
      <c r="N369" s="2"/>
      <c r="O369" s="2"/>
      <c r="P369" s="2"/>
      <c r="Q369" s="28">
        <f t="shared" si="27"/>
        <v>19.743178170144461</v>
      </c>
    </row>
    <row r="370" spans="1:17" hidden="1" x14ac:dyDescent="0.25">
      <c r="A370" s="16">
        <v>45609</v>
      </c>
      <c r="B370" s="2" t="s">
        <v>100</v>
      </c>
      <c r="C370" s="2">
        <v>500</v>
      </c>
      <c r="D370" s="11">
        <v>0.27200000000000002</v>
      </c>
      <c r="E370" s="2">
        <f t="shared" si="23"/>
        <v>0.5</v>
      </c>
      <c r="F370" s="10">
        <v>0.02</v>
      </c>
      <c r="G370" s="10">
        <v>7.0000000000000007E-2</v>
      </c>
      <c r="H370" s="12">
        <f t="shared" si="24"/>
        <v>0.16048000000000004</v>
      </c>
      <c r="I370" s="12">
        <f t="shared" si="25"/>
        <v>0.75048000000000015</v>
      </c>
      <c r="J370" s="2"/>
      <c r="K370" s="2"/>
      <c r="L370" s="2">
        <f>I370*500</f>
        <v>375.24000000000007</v>
      </c>
      <c r="M370" s="2"/>
      <c r="N370" s="2"/>
      <c r="O370" s="2"/>
      <c r="P370" s="2"/>
      <c r="Q370" s="28">
        <f t="shared" si="27"/>
        <v>21.383647798742139</v>
      </c>
    </row>
    <row r="371" spans="1:17" x14ac:dyDescent="0.25">
      <c r="A371" s="16">
        <v>45610</v>
      </c>
      <c r="B371" s="2" t="s">
        <v>127</v>
      </c>
      <c r="C371" s="2">
        <v>600</v>
      </c>
      <c r="D371" s="11">
        <v>0.28999999999999998</v>
      </c>
      <c r="E371" s="2">
        <f t="shared" si="23"/>
        <v>0.6</v>
      </c>
      <c r="F371" s="10">
        <v>0.02</v>
      </c>
      <c r="G371" s="10">
        <v>7.0000000000000007E-2</v>
      </c>
      <c r="H371" s="12">
        <f t="shared" si="24"/>
        <v>0.20009999999999997</v>
      </c>
      <c r="I371" s="12">
        <f t="shared" si="25"/>
        <v>0.89009999999999989</v>
      </c>
      <c r="J371" s="2"/>
      <c r="K371" s="2"/>
      <c r="L371" s="2">
        <f>I371*500</f>
        <v>445.04999999999995</v>
      </c>
      <c r="M371" s="2"/>
      <c r="N371" s="2">
        <f>I371*1000</f>
        <v>890.09999999999991</v>
      </c>
      <c r="O371" s="2"/>
      <c r="P371" s="2"/>
      <c r="Q371" s="28">
        <f t="shared" si="27"/>
        <v>22.480620155038757</v>
      </c>
    </row>
    <row r="372" spans="1:17" hidden="1" x14ac:dyDescent="0.25">
      <c r="A372" s="16">
        <v>45610</v>
      </c>
      <c r="B372" s="2" t="s">
        <v>123</v>
      </c>
      <c r="C372" s="2">
        <v>1150</v>
      </c>
      <c r="D372" s="11">
        <v>0.313</v>
      </c>
      <c r="E372" s="2">
        <f t="shared" si="23"/>
        <v>1.1499999999999999</v>
      </c>
      <c r="F372" s="10">
        <v>0.02</v>
      </c>
      <c r="G372" s="10">
        <v>7.0000000000000007E-2</v>
      </c>
      <c r="H372" s="12">
        <f t="shared" si="24"/>
        <v>0.38812000000000002</v>
      </c>
      <c r="I372" s="12">
        <f t="shared" si="25"/>
        <v>1.62812</v>
      </c>
      <c r="J372" s="2"/>
      <c r="K372" s="2"/>
      <c r="L372" s="2">
        <f>I372*550</f>
        <v>895.46600000000001</v>
      </c>
      <c r="M372" s="2"/>
      <c r="N372" s="2">
        <f>I372*1000</f>
        <v>1628.1200000000001</v>
      </c>
      <c r="O372" s="2"/>
      <c r="P372" s="2"/>
      <c r="Q372" s="28">
        <f t="shared" si="27"/>
        <v>23.83853769992384</v>
      </c>
    </row>
    <row r="373" spans="1:17" ht="14.25" hidden="1" customHeight="1" x14ac:dyDescent="0.25">
      <c r="A373" s="16">
        <v>45610</v>
      </c>
      <c r="B373" s="2" t="s">
        <v>139</v>
      </c>
      <c r="C373" s="2">
        <v>1200</v>
      </c>
      <c r="D373" s="11">
        <v>0.27400000000000002</v>
      </c>
      <c r="E373" s="2">
        <f t="shared" si="23"/>
        <v>1.2</v>
      </c>
      <c r="F373" s="10">
        <v>0.02</v>
      </c>
      <c r="G373" s="10">
        <v>7.0000000000000007E-2</v>
      </c>
      <c r="H373" s="12">
        <f t="shared" si="24"/>
        <v>0.35346000000000005</v>
      </c>
      <c r="I373" s="12">
        <f t="shared" si="25"/>
        <v>1.6434600000000001</v>
      </c>
      <c r="J373" s="2"/>
      <c r="K373" s="2">
        <f>I373*350</f>
        <v>575.21100000000001</v>
      </c>
      <c r="L373" s="2"/>
      <c r="M373" s="2"/>
      <c r="N373" s="2">
        <f>I373*1000</f>
        <v>1643.46</v>
      </c>
      <c r="O373" s="2"/>
      <c r="P373" s="2"/>
      <c r="Q373" s="28">
        <f t="shared" si="27"/>
        <v>21.507064364207224</v>
      </c>
    </row>
    <row r="374" spans="1:17" hidden="1" x14ac:dyDescent="0.25">
      <c r="A374" s="16">
        <v>45610</v>
      </c>
      <c r="B374" s="2" t="s">
        <v>86</v>
      </c>
      <c r="C374" s="2">
        <v>1200</v>
      </c>
      <c r="D374" s="11">
        <v>7.0000000000000007E-2</v>
      </c>
      <c r="E374" s="2">
        <f t="shared" si="23"/>
        <v>1.2</v>
      </c>
      <c r="F374" s="10">
        <v>0.02</v>
      </c>
      <c r="G374" s="10">
        <v>7.0000000000000007E-2</v>
      </c>
      <c r="H374" s="12">
        <f t="shared" si="24"/>
        <v>9.0300000000000005E-2</v>
      </c>
      <c r="I374" s="12">
        <f t="shared" si="25"/>
        <v>1.3803000000000001</v>
      </c>
      <c r="J374" s="2">
        <f>I374*250</f>
        <v>345.07500000000005</v>
      </c>
      <c r="K374" s="2"/>
      <c r="L374" s="2"/>
      <c r="M374" s="2"/>
      <c r="N374" s="2">
        <f>I374*1000</f>
        <v>1380.3000000000002</v>
      </c>
      <c r="O374" s="2"/>
      <c r="P374" s="2"/>
      <c r="Q374" s="28">
        <f t="shared" si="27"/>
        <v>6.5420560747663554</v>
      </c>
    </row>
    <row r="375" spans="1:17" hidden="1" x14ac:dyDescent="0.25">
      <c r="A375" s="16">
        <v>45611</v>
      </c>
      <c r="B375" s="2" t="s">
        <v>141</v>
      </c>
      <c r="C375" s="2">
        <v>500</v>
      </c>
      <c r="D375" s="11">
        <v>0.26400000000000001</v>
      </c>
      <c r="E375" s="2">
        <f t="shared" si="23"/>
        <v>0.5</v>
      </c>
      <c r="F375" s="10">
        <v>0.02</v>
      </c>
      <c r="G375" s="10">
        <v>7.0000000000000007E-2</v>
      </c>
      <c r="H375" s="12">
        <f t="shared" si="24"/>
        <v>0.15576000000000004</v>
      </c>
      <c r="I375" s="12">
        <f t="shared" si="25"/>
        <v>0.74576000000000009</v>
      </c>
      <c r="J375" s="2"/>
      <c r="K375" s="2"/>
      <c r="L375" s="2"/>
      <c r="M375" s="2"/>
      <c r="N375" s="2">
        <f>I375*1000</f>
        <v>745.7600000000001</v>
      </c>
      <c r="O375" s="2"/>
      <c r="P375" s="2"/>
      <c r="Q375" s="28">
        <f t="shared" si="27"/>
        <v>20.88607594936709</v>
      </c>
    </row>
    <row r="376" spans="1:17" hidden="1" x14ac:dyDescent="0.25">
      <c r="A376" s="16">
        <v>45611</v>
      </c>
      <c r="B376" s="2" t="s">
        <v>163</v>
      </c>
      <c r="C376" s="2">
        <v>450</v>
      </c>
      <c r="D376" s="11">
        <v>0.39</v>
      </c>
      <c r="E376" s="2">
        <f t="shared" si="23"/>
        <v>0.45</v>
      </c>
      <c r="F376" s="10">
        <v>0.02</v>
      </c>
      <c r="G376" s="10">
        <v>7.0000000000000007E-2</v>
      </c>
      <c r="H376" s="12">
        <f t="shared" si="24"/>
        <v>0.21060000000000001</v>
      </c>
      <c r="I376" s="12">
        <f t="shared" si="25"/>
        <v>0.75060000000000004</v>
      </c>
      <c r="J376" s="2"/>
      <c r="K376" s="2"/>
      <c r="L376" s="2">
        <f>I376*500</f>
        <v>375.3</v>
      </c>
      <c r="M376" s="2"/>
      <c r="N376" s="2"/>
      <c r="O376" s="2"/>
      <c r="P376" s="2"/>
      <c r="Q376" s="28">
        <f t="shared" si="27"/>
        <v>28.057553956834532</v>
      </c>
    </row>
    <row r="377" spans="1:17" hidden="1" x14ac:dyDescent="0.25">
      <c r="A377" s="16">
        <v>45611</v>
      </c>
      <c r="B377" s="2" t="s">
        <v>109</v>
      </c>
      <c r="C377" s="2">
        <v>480</v>
      </c>
      <c r="D377" s="11">
        <v>0.22</v>
      </c>
      <c r="E377" s="2">
        <f t="shared" si="23"/>
        <v>0.48</v>
      </c>
      <c r="F377" s="10">
        <v>0.02</v>
      </c>
      <c r="G377" s="10">
        <v>7.0000000000000007E-2</v>
      </c>
      <c r="H377" s="12">
        <f t="shared" si="24"/>
        <v>0.12540000000000001</v>
      </c>
      <c r="I377" s="12">
        <f t="shared" si="25"/>
        <v>0.69540000000000002</v>
      </c>
      <c r="J377" s="2"/>
      <c r="K377" s="2"/>
      <c r="L377" s="2"/>
      <c r="M377" s="2"/>
      <c r="N377" s="2">
        <f>I377*1000</f>
        <v>695.4</v>
      </c>
      <c r="O377" s="2"/>
      <c r="P377" s="2"/>
      <c r="Q377" s="28">
        <f t="shared" si="27"/>
        <v>18.032786885245901</v>
      </c>
    </row>
    <row r="378" spans="1:17" hidden="1" x14ac:dyDescent="0.25">
      <c r="A378" s="16">
        <v>45611</v>
      </c>
      <c r="B378" s="2" t="s">
        <v>98</v>
      </c>
      <c r="C378" s="2">
        <v>480</v>
      </c>
      <c r="D378" s="11">
        <v>0.23</v>
      </c>
      <c r="E378" s="2">
        <f t="shared" si="23"/>
        <v>0.48</v>
      </c>
      <c r="F378" s="10">
        <v>0.02</v>
      </c>
      <c r="G378" s="10">
        <v>7.0000000000000007E-2</v>
      </c>
      <c r="H378" s="12">
        <f t="shared" si="24"/>
        <v>0.13110000000000002</v>
      </c>
      <c r="I378" s="12">
        <f t="shared" si="25"/>
        <v>0.70110000000000006</v>
      </c>
      <c r="J378" s="2"/>
      <c r="K378" s="2"/>
      <c r="L378" s="2"/>
      <c r="M378" s="2">
        <f>I378*750</f>
        <v>525.82500000000005</v>
      </c>
      <c r="N378" s="2"/>
      <c r="O378" s="2"/>
      <c r="P378" s="2"/>
      <c r="Q378" s="28">
        <f t="shared" si="27"/>
        <v>18.699186991869919</v>
      </c>
    </row>
    <row r="379" spans="1:17" hidden="1" x14ac:dyDescent="0.25">
      <c r="A379" s="16">
        <v>45611</v>
      </c>
      <c r="B379" s="2" t="s">
        <v>122</v>
      </c>
      <c r="C379" s="2">
        <v>480</v>
      </c>
      <c r="D379" s="11">
        <v>0.21099999999999999</v>
      </c>
      <c r="E379" s="2">
        <f t="shared" si="23"/>
        <v>0.48</v>
      </c>
      <c r="F379" s="10">
        <v>0.02</v>
      </c>
      <c r="G379" s="10">
        <v>7.0000000000000007E-2</v>
      </c>
      <c r="H379" s="12">
        <f t="shared" si="24"/>
        <v>0.12027000000000002</v>
      </c>
      <c r="I379" s="12">
        <f t="shared" si="25"/>
        <v>0.69027000000000005</v>
      </c>
      <c r="J379" s="2"/>
      <c r="K379" s="2"/>
      <c r="L379" s="2">
        <f>I379*500</f>
        <v>345.13500000000005</v>
      </c>
      <c r="M379" s="2"/>
      <c r="N379" s="2"/>
      <c r="O379" s="2"/>
      <c r="P379" s="2"/>
      <c r="Q379" s="28">
        <f t="shared" si="27"/>
        <v>17.423616845582163</v>
      </c>
    </row>
    <row r="380" spans="1:17" hidden="1" x14ac:dyDescent="0.25">
      <c r="A380" s="16">
        <v>45612</v>
      </c>
      <c r="B380" s="2" t="s">
        <v>178</v>
      </c>
      <c r="C380" s="2">
        <v>500</v>
      </c>
      <c r="D380" s="11">
        <v>0.28199999999999997</v>
      </c>
      <c r="E380" s="2">
        <f t="shared" si="23"/>
        <v>0.5</v>
      </c>
      <c r="F380" s="10">
        <v>0.02</v>
      </c>
      <c r="G380" s="10">
        <v>7.0000000000000007E-2</v>
      </c>
      <c r="H380" s="12">
        <f t="shared" si="24"/>
        <v>0.16638</v>
      </c>
      <c r="I380" s="12">
        <f t="shared" si="25"/>
        <v>0.75638000000000005</v>
      </c>
      <c r="J380" s="2"/>
      <c r="K380" s="2"/>
      <c r="L380" s="2"/>
      <c r="M380" s="2"/>
      <c r="N380" s="2"/>
      <c r="O380" s="2">
        <f>I380*1250</f>
        <v>945.47500000000002</v>
      </c>
      <c r="P380" s="2"/>
      <c r="Q380" s="28">
        <f t="shared" si="27"/>
        <v>21.996879875195006</v>
      </c>
    </row>
    <row r="381" spans="1:17" hidden="1" x14ac:dyDescent="0.25">
      <c r="A381" s="16">
        <v>45612</v>
      </c>
      <c r="B381" s="2" t="s">
        <v>100</v>
      </c>
      <c r="C381" s="2">
        <v>500</v>
      </c>
      <c r="D381" s="11">
        <v>0.27400000000000002</v>
      </c>
      <c r="E381" s="2">
        <f t="shared" si="23"/>
        <v>0.5</v>
      </c>
      <c r="F381" s="10">
        <v>0.02</v>
      </c>
      <c r="G381" s="10">
        <v>7.0000000000000007E-2</v>
      </c>
      <c r="H381" s="12">
        <f t="shared" si="24"/>
        <v>0.16166000000000003</v>
      </c>
      <c r="I381" s="12">
        <f t="shared" si="25"/>
        <v>0.75166000000000011</v>
      </c>
      <c r="J381" s="2"/>
      <c r="K381" s="2"/>
      <c r="L381" s="2">
        <f>I381*500</f>
        <v>375.83000000000004</v>
      </c>
      <c r="M381" s="2"/>
      <c r="N381" s="2"/>
      <c r="O381" s="2"/>
      <c r="P381" s="2"/>
      <c r="Q381" s="28">
        <f t="shared" si="27"/>
        <v>21.507064364207221</v>
      </c>
    </row>
    <row r="382" spans="1:17" hidden="1" x14ac:dyDescent="0.25">
      <c r="A382" s="16">
        <v>45612</v>
      </c>
      <c r="B382" s="2" t="s">
        <v>98</v>
      </c>
      <c r="C382" s="2">
        <v>550</v>
      </c>
      <c r="D382" s="11">
        <v>0.24</v>
      </c>
      <c r="E382" s="2">
        <f t="shared" si="23"/>
        <v>0.55000000000000004</v>
      </c>
      <c r="F382" s="10">
        <v>0.02</v>
      </c>
      <c r="G382" s="10">
        <v>7.0000000000000007E-2</v>
      </c>
      <c r="H382" s="12">
        <f t="shared" si="24"/>
        <v>0.15360000000000001</v>
      </c>
      <c r="I382" s="12">
        <f t="shared" si="25"/>
        <v>0.79360000000000008</v>
      </c>
      <c r="J382" s="2"/>
      <c r="K382" s="2"/>
      <c r="L382" s="2"/>
      <c r="M382" s="2">
        <f>I382*750</f>
        <v>595.20000000000005</v>
      </c>
      <c r="N382" s="2">
        <f>I382*1000</f>
        <v>793.60000000000014</v>
      </c>
      <c r="O382" s="2"/>
      <c r="P382" s="2"/>
      <c r="Q382" s="28">
        <f t="shared" si="27"/>
        <v>19.35483870967742</v>
      </c>
    </row>
    <row r="383" spans="1:17" hidden="1" x14ac:dyDescent="0.25">
      <c r="A383" s="16">
        <v>45612</v>
      </c>
      <c r="B383" s="2" t="s">
        <v>122</v>
      </c>
      <c r="C383" s="2">
        <v>550</v>
      </c>
      <c r="D383" s="11">
        <v>0.23499999999999999</v>
      </c>
      <c r="E383" s="2">
        <f t="shared" si="23"/>
        <v>0.55000000000000004</v>
      </c>
      <c r="F383" s="10">
        <v>0.02</v>
      </c>
      <c r="G383" s="10">
        <v>7.0000000000000007E-2</v>
      </c>
      <c r="H383" s="12">
        <f t="shared" si="24"/>
        <v>0.15040000000000003</v>
      </c>
      <c r="I383" s="12">
        <f t="shared" si="25"/>
        <v>0.79040000000000021</v>
      </c>
      <c r="J383" s="2"/>
      <c r="K383" s="2"/>
      <c r="L383" s="2">
        <f>I383*500</f>
        <v>395.2000000000001</v>
      </c>
      <c r="M383" s="2"/>
      <c r="N383" s="2">
        <f>I383*1000</f>
        <v>790.4000000000002</v>
      </c>
      <c r="O383" s="2"/>
      <c r="P383" s="2"/>
      <c r="Q383" s="28">
        <f t="shared" si="27"/>
        <v>19.02834008097166</v>
      </c>
    </row>
    <row r="384" spans="1:17" hidden="1" x14ac:dyDescent="0.25">
      <c r="A384" s="16">
        <v>45612</v>
      </c>
      <c r="B384" s="2" t="s">
        <v>139</v>
      </c>
      <c r="C384" s="2">
        <v>1200</v>
      </c>
      <c r="D384" s="11">
        <v>0.27500000000000002</v>
      </c>
      <c r="E384" s="2">
        <f t="shared" si="23"/>
        <v>1.2</v>
      </c>
      <c r="F384" s="10">
        <v>0.02</v>
      </c>
      <c r="G384" s="10">
        <v>7.0000000000000007E-2</v>
      </c>
      <c r="H384" s="12">
        <f t="shared" si="24"/>
        <v>0.35475000000000007</v>
      </c>
      <c r="I384" s="12">
        <f t="shared" si="25"/>
        <v>1.6447500000000002</v>
      </c>
      <c r="J384" s="2"/>
      <c r="K384" s="2">
        <f>I384*350</f>
        <v>575.66250000000002</v>
      </c>
      <c r="L384" s="2"/>
      <c r="M384" s="2"/>
      <c r="N384" s="2"/>
      <c r="O384" s="2"/>
      <c r="P384" s="2"/>
      <c r="Q384" s="28">
        <f t="shared" si="27"/>
        <v>21.568627450980397</v>
      </c>
    </row>
    <row r="385" spans="1:17" hidden="1" x14ac:dyDescent="0.25">
      <c r="A385" s="16">
        <v>45612</v>
      </c>
      <c r="B385" s="2" t="s">
        <v>86</v>
      </c>
      <c r="C385" s="2">
        <v>1200</v>
      </c>
      <c r="D385" s="11">
        <v>7.0000000000000007E-2</v>
      </c>
      <c r="E385" s="2">
        <f t="shared" si="23"/>
        <v>1.2</v>
      </c>
      <c r="F385" s="10">
        <v>0.02</v>
      </c>
      <c r="G385" s="10">
        <v>7.0000000000000007E-2</v>
      </c>
      <c r="H385" s="12">
        <f t="shared" si="24"/>
        <v>9.0300000000000005E-2</v>
      </c>
      <c r="I385" s="12">
        <f t="shared" si="25"/>
        <v>1.3803000000000001</v>
      </c>
      <c r="J385" s="2">
        <f>I385*250</f>
        <v>345.07500000000005</v>
      </c>
      <c r="K385" s="2"/>
      <c r="L385" s="2"/>
      <c r="M385" s="2"/>
      <c r="N385" s="2"/>
      <c r="O385" s="2"/>
      <c r="P385" s="2"/>
      <c r="Q385" s="28">
        <f t="shared" si="27"/>
        <v>6.5420560747663554</v>
      </c>
    </row>
    <row r="386" spans="1:17" hidden="1" x14ac:dyDescent="0.25">
      <c r="A386" s="16">
        <v>45612</v>
      </c>
      <c r="B386" s="2" t="s">
        <v>85</v>
      </c>
      <c r="C386" s="2">
        <v>820</v>
      </c>
      <c r="D386" s="11">
        <v>0.26500000000000001</v>
      </c>
      <c r="E386" s="2">
        <f t="shared" si="23"/>
        <v>0.82</v>
      </c>
      <c r="F386" s="10">
        <v>0.02</v>
      </c>
      <c r="G386" s="10">
        <v>7.0000000000000007E-2</v>
      </c>
      <c r="H386" s="12">
        <f t="shared" si="24"/>
        <v>0.24115</v>
      </c>
      <c r="I386" s="12">
        <f t="shared" si="25"/>
        <v>1.1511499999999999</v>
      </c>
      <c r="J386" s="2"/>
      <c r="K386" s="2">
        <f>I386*300</f>
        <v>345.34499999999997</v>
      </c>
      <c r="L386" s="2"/>
      <c r="M386" s="2"/>
      <c r="N386" s="2"/>
      <c r="O386" s="2"/>
      <c r="P386" s="2"/>
      <c r="Q386" s="28">
        <f t="shared" si="27"/>
        <v>20.948616600790515</v>
      </c>
    </row>
    <row r="387" spans="1:17" hidden="1" x14ac:dyDescent="0.25">
      <c r="A387" s="16">
        <v>45613</v>
      </c>
      <c r="B387" s="2" t="s">
        <v>163</v>
      </c>
      <c r="C387" s="2">
        <v>450</v>
      </c>
      <c r="D387" s="11">
        <v>0.28000000000000003</v>
      </c>
      <c r="E387" s="2">
        <f t="shared" si="23"/>
        <v>0.45</v>
      </c>
      <c r="F387" s="10">
        <v>0.02</v>
      </c>
      <c r="G387" s="10">
        <v>7.0000000000000007E-2</v>
      </c>
      <c r="H387" s="12">
        <f t="shared" si="24"/>
        <v>0.15120000000000003</v>
      </c>
      <c r="I387" s="12">
        <f t="shared" si="25"/>
        <v>0.69120000000000004</v>
      </c>
      <c r="J387" s="2"/>
      <c r="K387" s="2"/>
      <c r="L387" s="2">
        <f>I387*500</f>
        <v>345.6</v>
      </c>
      <c r="M387" s="2"/>
      <c r="N387" s="2"/>
      <c r="O387" s="2"/>
      <c r="P387" s="2"/>
      <c r="Q387" s="28">
        <f t="shared" si="27"/>
        <v>21.875000000000004</v>
      </c>
    </row>
    <row r="388" spans="1:17" hidden="1" x14ac:dyDescent="0.25">
      <c r="A388" s="16">
        <v>45613</v>
      </c>
      <c r="B388" s="2" t="s">
        <v>123</v>
      </c>
      <c r="C388" s="2">
        <v>1150</v>
      </c>
      <c r="D388" s="11">
        <v>0.44400000000000001</v>
      </c>
      <c r="E388" s="2">
        <f t="shared" ref="E388:E451" si="29">C388/1000</f>
        <v>1.1499999999999999</v>
      </c>
      <c r="F388" s="10">
        <v>0.02</v>
      </c>
      <c r="G388" s="10">
        <v>7.0000000000000007E-2</v>
      </c>
      <c r="H388" s="12">
        <f t="shared" ref="H388:H451" si="30">SUM(E388:G388)*D388</f>
        <v>0.55056000000000005</v>
      </c>
      <c r="I388" s="12">
        <f t="shared" ref="I388:I451" si="31">SUM(E388:H388)</f>
        <v>1.7905600000000002</v>
      </c>
      <c r="J388" s="2">
        <f>I388*250</f>
        <v>447.64000000000004</v>
      </c>
      <c r="K388" s="2"/>
      <c r="L388" s="2">
        <f>I388*500</f>
        <v>895.28000000000009</v>
      </c>
      <c r="M388" s="2"/>
      <c r="N388" s="2"/>
      <c r="O388" s="2"/>
      <c r="P388" s="2"/>
      <c r="Q388" s="28">
        <f t="shared" si="27"/>
        <v>30.747922437673132</v>
      </c>
    </row>
    <row r="389" spans="1:17" ht="14.25" hidden="1" customHeight="1" x14ac:dyDescent="0.25">
      <c r="A389" s="16">
        <v>45613</v>
      </c>
      <c r="B389" s="2" t="s">
        <v>86</v>
      </c>
      <c r="C389" s="2"/>
      <c r="D389" s="11">
        <v>7.0000000000000007E-2</v>
      </c>
      <c r="E389" s="2">
        <f t="shared" si="29"/>
        <v>0</v>
      </c>
      <c r="F389" s="10">
        <v>0.02</v>
      </c>
      <c r="G389" s="10">
        <v>7.0000000000000007E-2</v>
      </c>
      <c r="H389" s="12">
        <f t="shared" si="30"/>
        <v>6.3000000000000009E-3</v>
      </c>
      <c r="I389" s="12">
        <f t="shared" si="31"/>
        <v>9.6300000000000011E-2</v>
      </c>
      <c r="J389" s="2">
        <f>I389*250</f>
        <v>24.075000000000003</v>
      </c>
      <c r="K389" s="2"/>
      <c r="L389" s="2"/>
      <c r="M389" s="2"/>
      <c r="N389" s="2"/>
      <c r="O389" s="2"/>
      <c r="P389" s="2"/>
      <c r="Q389" s="28">
        <f t="shared" si="27"/>
        <v>6.5420560747663554</v>
      </c>
    </row>
    <row r="390" spans="1:17" x14ac:dyDescent="0.25">
      <c r="A390" s="16">
        <v>45615</v>
      </c>
      <c r="B390" s="2" t="s">
        <v>136</v>
      </c>
      <c r="C390" s="2">
        <v>650</v>
      </c>
      <c r="D390" s="11">
        <v>0.21</v>
      </c>
      <c r="E390" s="2">
        <f t="shared" si="29"/>
        <v>0.65</v>
      </c>
      <c r="F390" s="10">
        <v>0.02</v>
      </c>
      <c r="G390" s="10">
        <v>7.0000000000000007E-2</v>
      </c>
      <c r="H390" s="12">
        <f t="shared" si="30"/>
        <v>0.15539999999999998</v>
      </c>
      <c r="I390" s="12">
        <f t="shared" si="31"/>
        <v>0.89539999999999997</v>
      </c>
      <c r="J390" s="2"/>
      <c r="K390" s="2"/>
      <c r="L390" s="2"/>
      <c r="M390" s="2"/>
      <c r="N390" s="2">
        <f t="shared" ref="N390:N399" si="32">I390*1000</f>
        <v>895.4</v>
      </c>
      <c r="O390" s="2"/>
      <c r="P390" s="2"/>
      <c r="Q390" s="28">
        <f t="shared" si="27"/>
        <v>17.355371900826444</v>
      </c>
    </row>
    <row r="391" spans="1:17" ht="14.25" customHeight="1" x14ac:dyDescent="0.25">
      <c r="A391" s="16">
        <v>45615</v>
      </c>
      <c r="B391" s="2" t="s">
        <v>119</v>
      </c>
      <c r="C391" s="2">
        <v>650</v>
      </c>
      <c r="D391" s="11">
        <v>0.217</v>
      </c>
      <c r="E391" s="2">
        <f t="shared" si="29"/>
        <v>0.65</v>
      </c>
      <c r="F391" s="10">
        <v>0.02</v>
      </c>
      <c r="G391" s="10">
        <v>7.0000000000000007E-2</v>
      </c>
      <c r="H391" s="12">
        <f t="shared" si="30"/>
        <v>0.16058</v>
      </c>
      <c r="I391" s="12">
        <f t="shared" si="31"/>
        <v>0.90057999999999994</v>
      </c>
      <c r="J391" s="2"/>
      <c r="K391" s="2"/>
      <c r="L391" s="2"/>
      <c r="M391" s="2">
        <f>I391*750</f>
        <v>675.43499999999995</v>
      </c>
      <c r="N391" s="2">
        <f t="shared" si="32"/>
        <v>900.57999999999993</v>
      </c>
      <c r="O391" s="2"/>
      <c r="P391" s="2"/>
      <c r="Q391" s="28">
        <f t="shared" si="27"/>
        <v>17.830731306491373</v>
      </c>
    </row>
    <row r="392" spans="1:17" x14ac:dyDescent="0.25">
      <c r="A392" s="16">
        <v>45615</v>
      </c>
      <c r="B392" s="2" t="s">
        <v>127</v>
      </c>
      <c r="C392" s="2">
        <v>580</v>
      </c>
      <c r="D392" s="11">
        <v>0.33</v>
      </c>
      <c r="E392" s="2">
        <f t="shared" si="29"/>
        <v>0.57999999999999996</v>
      </c>
      <c r="F392" s="10">
        <v>0.02</v>
      </c>
      <c r="G392" s="10">
        <v>7.0000000000000007E-2</v>
      </c>
      <c r="H392" s="12">
        <f t="shared" si="30"/>
        <v>0.22109999999999999</v>
      </c>
      <c r="I392" s="12">
        <f t="shared" si="31"/>
        <v>0.89109999999999989</v>
      </c>
      <c r="J392" s="2"/>
      <c r="K392" s="2"/>
      <c r="L392" s="2">
        <f>I392*500</f>
        <v>445.54999999999995</v>
      </c>
      <c r="M392" s="2"/>
      <c r="N392" s="2">
        <f t="shared" si="32"/>
        <v>891.09999999999991</v>
      </c>
      <c r="O392" s="2"/>
      <c r="P392" s="2"/>
      <c r="Q392" s="28">
        <f t="shared" si="27"/>
        <v>24.812030075187973</v>
      </c>
    </row>
    <row r="393" spans="1:17" hidden="1" x14ac:dyDescent="0.25">
      <c r="A393" s="16">
        <v>45615</v>
      </c>
      <c r="B393" s="2" t="s">
        <v>164</v>
      </c>
      <c r="C393" s="10">
        <v>550</v>
      </c>
      <c r="D393" s="11">
        <v>0.34499999999999997</v>
      </c>
      <c r="E393" s="2">
        <f t="shared" si="29"/>
        <v>0.55000000000000004</v>
      </c>
      <c r="F393" s="10">
        <v>0.02</v>
      </c>
      <c r="G393" s="10">
        <v>7.0000000000000007E-2</v>
      </c>
      <c r="H393" s="12">
        <f t="shared" si="30"/>
        <v>0.22080000000000002</v>
      </c>
      <c r="I393" s="12">
        <f t="shared" si="31"/>
        <v>0.86080000000000012</v>
      </c>
      <c r="J393" s="10"/>
      <c r="K393" s="10"/>
      <c r="L393" s="10"/>
      <c r="M393" s="10">
        <f>I393*750</f>
        <v>645.60000000000014</v>
      </c>
      <c r="N393" s="2">
        <f t="shared" si="32"/>
        <v>860.80000000000007</v>
      </c>
      <c r="O393" s="10">
        <f>I393*1250</f>
        <v>1076.0000000000002</v>
      </c>
      <c r="P393" s="10" t="s">
        <v>72</v>
      </c>
      <c r="Q393" s="28">
        <f t="shared" si="27"/>
        <v>25.650557620817843</v>
      </c>
    </row>
    <row r="394" spans="1:17" hidden="1" x14ac:dyDescent="0.25">
      <c r="A394" s="16">
        <v>45615</v>
      </c>
      <c r="B394" s="2" t="s">
        <v>171</v>
      </c>
      <c r="C394" s="10">
        <v>550</v>
      </c>
      <c r="D394" s="11">
        <v>0.39300000000000002</v>
      </c>
      <c r="E394" s="2">
        <f t="shared" si="29"/>
        <v>0.55000000000000004</v>
      </c>
      <c r="F394" s="10">
        <v>0.02</v>
      </c>
      <c r="G394" s="10">
        <v>7.0000000000000007E-2</v>
      </c>
      <c r="H394" s="12">
        <f t="shared" si="30"/>
        <v>0.25152000000000008</v>
      </c>
      <c r="I394" s="12">
        <f t="shared" si="31"/>
        <v>0.8915200000000002</v>
      </c>
      <c r="J394" s="2"/>
      <c r="K394" s="2"/>
      <c r="L394" s="2">
        <f>I394*500</f>
        <v>445.7600000000001</v>
      </c>
      <c r="M394" s="2"/>
      <c r="N394" s="2">
        <f t="shared" si="32"/>
        <v>891.52000000000021</v>
      </c>
      <c r="O394" s="2"/>
      <c r="P394" s="2"/>
      <c r="Q394" s="28">
        <f t="shared" si="27"/>
        <v>28.212491026561381</v>
      </c>
    </row>
    <row r="395" spans="1:17" hidden="1" x14ac:dyDescent="0.25">
      <c r="A395" s="16">
        <v>45615</v>
      </c>
      <c r="B395" s="2" t="s">
        <v>86</v>
      </c>
      <c r="C395" s="2">
        <v>950</v>
      </c>
      <c r="D395" s="11">
        <v>0.33</v>
      </c>
      <c r="E395" s="2">
        <f t="shared" si="29"/>
        <v>0.95</v>
      </c>
      <c r="F395" s="10">
        <v>0.02</v>
      </c>
      <c r="G395" s="10">
        <v>7.0000000000000007E-2</v>
      </c>
      <c r="H395" s="12">
        <f t="shared" si="30"/>
        <v>0.34320000000000001</v>
      </c>
      <c r="I395" s="12">
        <f t="shared" si="31"/>
        <v>1.3832</v>
      </c>
      <c r="J395" s="2">
        <f>I395*250</f>
        <v>345.8</v>
      </c>
      <c r="K395" s="2"/>
      <c r="L395" s="2"/>
      <c r="M395" s="2"/>
      <c r="N395" s="2">
        <f t="shared" si="32"/>
        <v>1383.2</v>
      </c>
      <c r="O395" s="2"/>
      <c r="P395" s="2"/>
      <c r="Q395" s="28">
        <f t="shared" si="27"/>
        <v>24.81203007518797</v>
      </c>
    </row>
    <row r="396" spans="1:17" hidden="1" x14ac:dyDescent="0.25">
      <c r="A396" s="16">
        <v>45615</v>
      </c>
      <c r="B396" s="2" t="s">
        <v>85</v>
      </c>
      <c r="C396" s="2">
        <v>850</v>
      </c>
      <c r="D396" s="11">
        <v>0.22500000000000001</v>
      </c>
      <c r="E396" s="2">
        <f t="shared" si="29"/>
        <v>0.85</v>
      </c>
      <c r="F396" s="10">
        <v>0.02</v>
      </c>
      <c r="G396" s="10">
        <v>7.0000000000000007E-2</v>
      </c>
      <c r="H396" s="12">
        <f t="shared" si="30"/>
        <v>0.21149999999999999</v>
      </c>
      <c r="I396" s="12">
        <f t="shared" si="31"/>
        <v>1.1515</v>
      </c>
      <c r="J396" s="2"/>
      <c r="K396" s="2">
        <f>I396*300</f>
        <v>345.45</v>
      </c>
      <c r="L396" s="2"/>
      <c r="M396" s="2"/>
      <c r="N396" s="2">
        <f t="shared" si="32"/>
        <v>1151.5</v>
      </c>
      <c r="O396" s="2"/>
      <c r="P396" s="2"/>
      <c r="Q396" s="28">
        <f t="shared" si="27"/>
        <v>18.367346938775512</v>
      </c>
    </row>
    <row r="397" spans="1:17" x14ac:dyDescent="0.25">
      <c r="A397" s="16">
        <v>45616</v>
      </c>
      <c r="B397" s="2" t="s">
        <v>136</v>
      </c>
      <c r="C397" s="2">
        <v>630</v>
      </c>
      <c r="D397" s="11">
        <v>0.24399999999999999</v>
      </c>
      <c r="E397" s="2">
        <f t="shared" si="29"/>
        <v>0.63</v>
      </c>
      <c r="F397" s="10">
        <v>0.02</v>
      </c>
      <c r="G397" s="10">
        <v>7.0000000000000007E-2</v>
      </c>
      <c r="H397" s="12">
        <f t="shared" si="30"/>
        <v>0.17568</v>
      </c>
      <c r="I397" s="12">
        <f t="shared" si="31"/>
        <v>0.89568000000000003</v>
      </c>
      <c r="J397" s="2"/>
      <c r="K397" s="2"/>
      <c r="L397" s="2"/>
      <c r="M397" s="2"/>
      <c r="N397" s="2">
        <f t="shared" si="32"/>
        <v>895.68000000000006</v>
      </c>
      <c r="O397" s="2"/>
      <c r="P397" s="2"/>
      <c r="Q397" s="28">
        <f t="shared" si="27"/>
        <v>19.614147909967844</v>
      </c>
    </row>
    <row r="398" spans="1:17" x14ac:dyDescent="0.25">
      <c r="A398" s="16">
        <v>45616</v>
      </c>
      <c r="B398" s="2" t="s">
        <v>119</v>
      </c>
      <c r="C398" s="2">
        <v>630</v>
      </c>
      <c r="D398" s="11">
        <v>0.25</v>
      </c>
      <c r="E398" s="2">
        <f t="shared" si="29"/>
        <v>0.63</v>
      </c>
      <c r="F398" s="10">
        <v>0.02</v>
      </c>
      <c r="G398" s="10">
        <v>7.0000000000000007E-2</v>
      </c>
      <c r="H398" s="12">
        <f t="shared" si="30"/>
        <v>0.18</v>
      </c>
      <c r="I398" s="12">
        <f t="shared" si="31"/>
        <v>0.89999999999999991</v>
      </c>
      <c r="J398" s="2"/>
      <c r="K398" s="2"/>
      <c r="L398" s="2"/>
      <c r="M398" s="2">
        <f>I398*750</f>
        <v>674.99999999999989</v>
      </c>
      <c r="N398" s="2">
        <f t="shared" si="32"/>
        <v>899.99999999999989</v>
      </c>
      <c r="O398" s="2"/>
      <c r="P398" s="2"/>
      <c r="Q398" s="28">
        <f t="shared" si="27"/>
        <v>20</v>
      </c>
    </row>
    <row r="399" spans="1:17" hidden="1" x14ac:dyDescent="0.25">
      <c r="A399" s="16">
        <v>45616</v>
      </c>
      <c r="B399" s="2" t="s">
        <v>123</v>
      </c>
      <c r="C399" s="2">
        <v>1150</v>
      </c>
      <c r="D399" s="11">
        <v>0.41199999999999998</v>
      </c>
      <c r="E399" s="2">
        <f t="shared" si="29"/>
        <v>1.1499999999999999</v>
      </c>
      <c r="F399" s="10">
        <v>0.02</v>
      </c>
      <c r="G399" s="10">
        <v>7.0000000000000007E-2</v>
      </c>
      <c r="H399" s="12">
        <f t="shared" si="30"/>
        <v>0.51088</v>
      </c>
      <c r="I399" s="12">
        <f t="shared" si="31"/>
        <v>1.75088</v>
      </c>
      <c r="J399" s="2"/>
      <c r="K399" s="2"/>
      <c r="L399" s="2">
        <f>I399*500</f>
        <v>875.43999999999994</v>
      </c>
      <c r="M399" s="2"/>
      <c r="N399" s="2">
        <f t="shared" si="32"/>
        <v>1750.8799999999999</v>
      </c>
      <c r="O399" s="2"/>
      <c r="P399" s="2"/>
      <c r="Q399" s="28">
        <f t="shared" si="27"/>
        <v>29.178470254957503</v>
      </c>
    </row>
    <row r="400" spans="1:17" ht="14.25" hidden="1" customHeight="1" x14ac:dyDescent="0.25">
      <c r="A400" s="16">
        <v>45616</v>
      </c>
      <c r="B400" s="2" t="s">
        <v>139</v>
      </c>
      <c r="C400" s="2"/>
      <c r="D400" s="11">
        <v>0</v>
      </c>
      <c r="E400" s="2">
        <f t="shared" si="29"/>
        <v>0</v>
      </c>
      <c r="F400" s="10">
        <v>0.02</v>
      </c>
      <c r="G400" s="10">
        <v>7.0000000000000007E-2</v>
      </c>
      <c r="H400" s="12">
        <f t="shared" si="30"/>
        <v>0</v>
      </c>
      <c r="I400" s="12">
        <f t="shared" si="31"/>
        <v>9.0000000000000011E-2</v>
      </c>
      <c r="J400" s="2"/>
      <c r="K400" s="2">
        <f>I400*350</f>
        <v>31.500000000000004</v>
      </c>
      <c r="L400" s="2"/>
      <c r="M400" s="2"/>
      <c r="N400" s="2"/>
      <c r="O400" s="2"/>
      <c r="P400" s="2"/>
      <c r="Q400" s="28">
        <f t="shared" si="27"/>
        <v>0</v>
      </c>
    </row>
    <row r="401" spans="1:17" hidden="1" x14ac:dyDescent="0.25">
      <c r="A401" s="16">
        <v>45616</v>
      </c>
      <c r="B401" s="2" t="s">
        <v>86</v>
      </c>
      <c r="C401" s="2">
        <v>920</v>
      </c>
      <c r="D401" s="11">
        <v>0.37</v>
      </c>
      <c r="E401" s="2">
        <f t="shared" si="29"/>
        <v>0.92</v>
      </c>
      <c r="F401" s="10">
        <v>0.02</v>
      </c>
      <c r="G401" s="10">
        <v>7.0000000000000007E-2</v>
      </c>
      <c r="H401" s="12">
        <f t="shared" si="30"/>
        <v>0.37369999999999998</v>
      </c>
      <c r="I401" s="12">
        <f t="shared" si="31"/>
        <v>1.3836999999999999</v>
      </c>
      <c r="J401" s="2">
        <f>I401*250</f>
        <v>345.92499999999995</v>
      </c>
      <c r="K401" s="2"/>
      <c r="L401" s="2"/>
      <c r="M401" s="2"/>
      <c r="N401" s="2">
        <f>I401*1000</f>
        <v>1383.6999999999998</v>
      </c>
      <c r="O401" s="2"/>
      <c r="P401" s="2"/>
      <c r="Q401" s="28">
        <f t="shared" si="27"/>
        <v>27.007299270072995</v>
      </c>
    </row>
    <row r="402" spans="1:17" hidden="1" x14ac:dyDescent="0.25">
      <c r="A402" s="16">
        <v>45616</v>
      </c>
      <c r="B402" s="2" t="s">
        <v>85</v>
      </c>
      <c r="C402" s="2">
        <v>800</v>
      </c>
      <c r="D402" s="11">
        <v>0.29499999999999998</v>
      </c>
      <c r="E402" s="2">
        <f t="shared" si="29"/>
        <v>0.8</v>
      </c>
      <c r="F402" s="10">
        <v>0.02</v>
      </c>
      <c r="G402" s="10">
        <v>7.0000000000000007E-2</v>
      </c>
      <c r="H402" s="12">
        <f t="shared" si="30"/>
        <v>0.26255000000000001</v>
      </c>
      <c r="I402" s="12">
        <f t="shared" si="31"/>
        <v>1.1525500000000002</v>
      </c>
      <c r="J402" s="2"/>
      <c r="K402" s="2">
        <f>I402*300</f>
        <v>345.76500000000004</v>
      </c>
      <c r="L402" s="2"/>
      <c r="M402" s="2"/>
      <c r="N402" s="2">
        <f>I402*1000</f>
        <v>1152.5500000000002</v>
      </c>
      <c r="O402" s="2"/>
      <c r="P402" s="2"/>
      <c r="Q402" s="28">
        <f t="shared" si="27"/>
        <v>22.779922779922778</v>
      </c>
    </row>
    <row r="403" spans="1:17" ht="14.25" hidden="1" customHeight="1" x14ac:dyDescent="0.25">
      <c r="A403" s="16">
        <v>45618</v>
      </c>
      <c r="B403" s="2" t="s">
        <v>100</v>
      </c>
      <c r="C403" s="2">
        <v>700</v>
      </c>
      <c r="D403" s="11">
        <v>-0.05</v>
      </c>
      <c r="E403" s="2">
        <f t="shared" si="29"/>
        <v>0.7</v>
      </c>
      <c r="F403" s="10">
        <v>0.02</v>
      </c>
      <c r="G403" s="10">
        <v>7.0000000000000007E-2</v>
      </c>
      <c r="H403" s="12">
        <f t="shared" si="30"/>
        <v>-3.9500000000000007E-2</v>
      </c>
      <c r="I403" s="12">
        <f t="shared" si="31"/>
        <v>0.75050000000000006</v>
      </c>
      <c r="J403" s="2"/>
      <c r="K403" s="2"/>
      <c r="L403" s="2">
        <f>I403*500</f>
        <v>375.25</v>
      </c>
      <c r="M403" s="2"/>
      <c r="N403" s="2"/>
      <c r="O403" s="2"/>
      <c r="P403" s="2"/>
      <c r="Q403" s="28">
        <f t="shared" si="27"/>
        <v>-5.2631578947368425</v>
      </c>
    </row>
    <row r="404" spans="1:17" hidden="1" x14ac:dyDescent="0.25">
      <c r="A404" s="16">
        <v>45618</v>
      </c>
      <c r="B404" s="2" t="s">
        <v>109</v>
      </c>
      <c r="C404" s="2">
        <v>580</v>
      </c>
      <c r="D404" s="11">
        <v>0.22</v>
      </c>
      <c r="E404" s="2">
        <f t="shared" si="29"/>
        <v>0.57999999999999996</v>
      </c>
      <c r="F404" s="10">
        <v>0.02</v>
      </c>
      <c r="G404" s="10">
        <v>7.0000000000000007E-2</v>
      </c>
      <c r="H404" s="12">
        <f t="shared" si="30"/>
        <v>0.14739999999999998</v>
      </c>
      <c r="I404" s="12">
        <f t="shared" si="31"/>
        <v>0.8173999999999999</v>
      </c>
      <c r="J404" s="2"/>
      <c r="K404" s="2"/>
      <c r="L404" s="2"/>
      <c r="M404" s="2"/>
      <c r="N404" s="2">
        <f t="shared" ref="N404:N412" si="33">I404*1000</f>
        <v>817.39999999999986</v>
      </c>
      <c r="O404" s="2"/>
      <c r="P404" s="2"/>
      <c r="Q404" s="28">
        <f t="shared" si="27"/>
        <v>18.032786885245901</v>
      </c>
    </row>
    <row r="405" spans="1:17" hidden="1" x14ac:dyDescent="0.25">
      <c r="A405" s="16">
        <v>45618</v>
      </c>
      <c r="B405" s="2" t="s">
        <v>98</v>
      </c>
      <c r="C405" s="2">
        <v>580</v>
      </c>
      <c r="D405" s="11">
        <v>0.28499999999999998</v>
      </c>
      <c r="E405" s="2">
        <f t="shared" si="29"/>
        <v>0.57999999999999996</v>
      </c>
      <c r="F405" s="10">
        <v>0.02</v>
      </c>
      <c r="G405" s="10">
        <v>7.0000000000000007E-2</v>
      </c>
      <c r="H405" s="12">
        <f t="shared" si="30"/>
        <v>0.19094999999999995</v>
      </c>
      <c r="I405" s="12">
        <f t="shared" si="31"/>
        <v>0.86094999999999988</v>
      </c>
      <c r="J405" s="2"/>
      <c r="K405" s="2"/>
      <c r="L405" s="2"/>
      <c r="M405" s="2">
        <f>I405*750</f>
        <v>645.71249999999986</v>
      </c>
      <c r="N405" s="2">
        <f t="shared" si="33"/>
        <v>860.94999999999993</v>
      </c>
      <c r="O405" s="2"/>
      <c r="P405" s="2"/>
      <c r="Q405" s="28">
        <f t="shared" si="27"/>
        <v>22.178988326848245</v>
      </c>
    </row>
    <row r="406" spans="1:17" hidden="1" x14ac:dyDescent="0.25">
      <c r="A406" s="16">
        <v>45618</v>
      </c>
      <c r="B406" s="2" t="s">
        <v>122</v>
      </c>
      <c r="C406" s="2">
        <v>580</v>
      </c>
      <c r="D406" s="11">
        <v>0.33</v>
      </c>
      <c r="E406" s="2">
        <f t="shared" si="29"/>
        <v>0.57999999999999996</v>
      </c>
      <c r="F406" s="10">
        <v>0.02</v>
      </c>
      <c r="G406" s="10">
        <v>7.0000000000000007E-2</v>
      </c>
      <c r="H406" s="12">
        <f t="shared" si="30"/>
        <v>0.22109999999999999</v>
      </c>
      <c r="I406" s="12">
        <f t="shared" si="31"/>
        <v>0.89109999999999989</v>
      </c>
      <c r="J406" s="2"/>
      <c r="K406" s="2"/>
      <c r="L406" s="2">
        <f>I406*500</f>
        <v>445.54999999999995</v>
      </c>
      <c r="M406" s="2"/>
      <c r="N406" s="2">
        <f t="shared" si="33"/>
        <v>891.09999999999991</v>
      </c>
      <c r="O406" s="2"/>
      <c r="P406" s="2"/>
      <c r="Q406" s="28">
        <f t="shared" si="27"/>
        <v>24.812030075187973</v>
      </c>
    </row>
    <row r="407" spans="1:17" hidden="1" x14ac:dyDescent="0.25">
      <c r="A407" s="16">
        <v>45619</v>
      </c>
      <c r="B407" s="2" t="s">
        <v>141</v>
      </c>
      <c r="C407" s="2">
        <v>480</v>
      </c>
      <c r="D407" s="11">
        <v>0.39500000000000002</v>
      </c>
      <c r="E407" s="2">
        <f t="shared" si="29"/>
        <v>0.48</v>
      </c>
      <c r="F407" s="10">
        <v>0.02</v>
      </c>
      <c r="G407" s="10">
        <v>7.0000000000000007E-2</v>
      </c>
      <c r="H407" s="12">
        <f t="shared" si="30"/>
        <v>0.22515000000000004</v>
      </c>
      <c r="I407" s="12">
        <f t="shared" si="31"/>
        <v>0.79515000000000013</v>
      </c>
      <c r="J407" s="2"/>
      <c r="K407" s="2"/>
      <c r="L407" s="2"/>
      <c r="M407" s="2"/>
      <c r="N407" s="2">
        <f t="shared" si="33"/>
        <v>795.15000000000009</v>
      </c>
      <c r="O407" s="2"/>
      <c r="P407" s="2"/>
      <c r="Q407" s="28">
        <f t="shared" si="27"/>
        <v>28.315412186379927</v>
      </c>
    </row>
    <row r="408" spans="1:17" hidden="1" x14ac:dyDescent="0.25">
      <c r="A408" s="16">
        <v>45619</v>
      </c>
      <c r="B408" s="2" t="s">
        <v>164</v>
      </c>
      <c r="C408" s="2">
        <v>480</v>
      </c>
      <c r="D408" s="11">
        <v>0.39400000000000002</v>
      </c>
      <c r="E408" s="2">
        <f t="shared" si="29"/>
        <v>0.48</v>
      </c>
      <c r="F408" s="10">
        <v>0.02</v>
      </c>
      <c r="G408" s="10">
        <v>7.0000000000000007E-2</v>
      </c>
      <c r="H408" s="12">
        <f t="shared" si="30"/>
        <v>0.22458000000000003</v>
      </c>
      <c r="I408" s="12">
        <f t="shared" si="31"/>
        <v>0.79458000000000006</v>
      </c>
      <c r="J408" s="2"/>
      <c r="K408" s="2"/>
      <c r="L408" s="2"/>
      <c r="M408" s="2">
        <f>I408*750</f>
        <v>595.93500000000006</v>
      </c>
      <c r="N408" s="2">
        <f t="shared" si="33"/>
        <v>794.58</v>
      </c>
      <c r="O408" s="2"/>
      <c r="P408" s="2"/>
      <c r="Q408" s="28">
        <f t="shared" si="27"/>
        <v>28.263988522238165</v>
      </c>
    </row>
    <row r="409" spans="1:17" hidden="1" x14ac:dyDescent="0.25">
      <c r="A409" s="16">
        <v>45619</v>
      </c>
      <c r="B409" s="2" t="s">
        <v>171</v>
      </c>
      <c r="C409" s="2">
        <v>480</v>
      </c>
      <c r="D409" s="11">
        <v>0.38600000000000001</v>
      </c>
      <c r="E409" s="2">
        <f t="shared" si="29"/>
        <v>0.48</v>
      </c>
      <c r="F409" s="10">
        <v>0.02</v>
      </c>
      <c r="G409" s="10">
        <v>7.0000000000000007E-2</v>
      </c>
      <c r="H409" s="12">
        <f t="shared" si="30"/>
        <v>0.22002000000000002</v>
      </c>
      <c r="I409" s="12">
        <f t="shared" si="31"/>
        <v>0.79002000000000006</v>
      </c>
      <c r="J409" s="2"/>
      <c r="K409" s="2"/>
      <c r="L409" s="2">
        <f>I409*500</f>
        <v>395.01000000000005</v>
      </c>
      <c r="M409" s="2"/>
      <c r="N409" s="2">
        <f t="shared" si="33"/>
        <v>790.0200000000001</v>
      </c>
      <c r="O409" s="2"/>
      <c r="P409" s="2"/>
      <c r="Q409" s="28">
        <f t="shared" si="27"/>
        <v>27.849927849927848</v>
      </c>
    </row>
    <row r="410" spans="1:17" hidden="1" x14ac:dyDescent="0.25">
      <c r="A410" s="16">
        <v>45619</v>
      </c>
      <c r="B410" s="2" t="s">
        <v>178</v>
      </c>
      <c r="C410" s="2">
        <v>480</v>
      </c>
      <c r="D410" s="11">
        <v>0.32700000000000001</v>
      </c>
      <c r="E410" s="2">
        <f t="shared" si="29"/>
        <v>0.48</v>
      </c>
      <c r="F410" s="10">
        <v>0.02</v>
      </c>
      <c r="G410" s="10">
        <v>7.0000000000000007E-2</v>
      </c>
      <c r="H410" s="12">
        <f t="shared" si="30"/>
        <v>0.18639000000000003</v>
      </c>
      <c r="I410" s="12">
        <f t="shared" si="31"/>
        <v>0.75639000000000012</v>
      </c>
      <c r="J410" s="2"/>
      <c r="K410" s="2"/>
      <c r="L410" s="2"/>
      <c r="M410" s="2"/>
      <c r="N410" s="2">
        <f t="shared" si="33"/>
        <v>756.3900000000001</v>
      </c>
      <c r="O410" s="2">
        <f>I410*1250</f>
        <v>945.48750000000018</v>
      </c>
      <c r="P410" s="2"/>
      <c r="Q410" s="28">
        <f t="shared" si="27"/>
        <v>24.642049736247174</v>
      </c>
    </row>
    <row r="411" spans="1:17" hidden="1" x14ac:dyDescent="0.25">
      <c r="A411" s="16">
        <v>45619</v>
      </c>
      <c r="B411" s="2" t="s">
        <v>86</v>
      </c>
      <c r="C411" s="2">
        <v>950</v>
      </c>
      <c r="D411" s="11">
        <v>0.32700000000000001</v>
      </c>
      <c r="E411" s="2">
        <f t="shared" si="29"/>
        <v>0.95</v>
      </c>
      <c r="F411" s="10">
        <v>0.02</v>
      </c>
      <c r="G411" s="10">
        <v>7.0000000000000007E-2</v>
      </c>
      <c r="H411" s="12">
        <f t="shared" si="30"/>
        <v>0.34008000000000005</v>
      </c>
      <c r="I411" s="12">
        <f t="shared" si="31"/>
        <v>1.38008</v>
      </c>
      <c r="J411" s="2">
        <f>I411*250</f>
        <v>345.02</v>
      </c>
      <c r="K411" s="2"/>
      <c r="L411" s="2"/>
      <c r="M411" s="2"/>
      <c r="N411" s="2">
        <f t="shared" si="33"/>
        <v>1380.08</v>
      </c>
      <c r="O411" s="2"/>
      <c r="P411" s="2"/>
      <c r="Q411" s="28">
        <f t="shared" si="27"/>
        <v>24.642049736247177</v>
      </c>
    </row>
    <row r="412" spans="1:17" x14ac:dyDescent="0.25">
      <c r="A412" s="16">
        <v>45620</v>
      </c>
      <c r="B412" s="2" t="s">
        <v>119</v>
      </c>
      <c r="C412" s="2">
        <v>630</v>
      </c>
      <c r="D412" s="11">
        <v>0.25</v>
      </c>
      <c r="E412" s="2">
        <f t="shared" si="29"/>
        <v>0.63</v>
      </c>
      <c r="F412" s="10">
        <v>0.02</v>
      </c>
      <c r="G412" s="10">
        <v>7.0000000000000007E-2</v>
      </c>
      <c r="H412" s="12">
        <f t="shared" si="30"/>
        <v>0.18</v>
      </c>
      <c r="I412" s="12">
        <f t="shared" si="31"/>
        <v>0.89999999999999991</v>
      </c>
      <c r="J412" s="2"/>
      <c r="K412" s="2"/>
      <c r="L412" s="2"/>
      <c r="M412" s="2">
        <f>I412*750</f>
        <v>674.99999999999989</v>
      </c>
      <c r="N412" s="2">
        <f t="shared" si="33"/>
        <v>899.99999999999989</v>
      </c>
      <c r="O412" s="2"/>
      <c r="P412" s="2"/>
      <c r="Q412" s="28">
        <f t="shared" si="27"/>
        <v>20</v>
      </c>
    </row>
    <row r="413" spans="1:17" hidden="1" x14ac:dyDescent="0.25">
      <c r="A413" s="16">
        <v>45620</v>
      </c>
      <c r="B413" s="2" t="s">
        <v>84</v>
      </c>
      <c r="C413" s="2">
        <v>650</v>
      </c>
      <c r="D413" s="11">
        <v>0.15</v>
      </c>
      <c r="E413" s="2">
        <f t="shared" si="29"/>
        <v>0.65</v>
      </c>
      <c r="F413" s="10">
        <v>0.02</v>
      </c>
      <c r="G413" s="10">
        <v>7.0000000000000007E-2</v>
      </c>
      <c r="H413" s="12">
        <f t="shared" si="30"/>
        <v>0.111</v>
      </c>
      <c r="I413" s="12">
        <f t="shared" si="31"/>
        <v>0.85099999999999998</v>
      </c>
      <c r="J413" s="2"/>
      <c r="K413" s="2"/>
      <c r="L413" s="2">
        <f>I413*500</f>
        <v>425.5</v>
      </c>
      <c r="M413" s="2"/>
      <c r="N413" s="2"/>
      <c r="O413" s="2"/>
      <c r="P413" s="2"/>
      <c r="Q413" s="28">
        <f t="shared" si="27"/>
        <v>13.043478260869565</v>
      </c>
    </row>
    <row r="414" spans="1:17" hidden="1" x14ac:dyDescent="0.25">
      <c r="A414" s="16">
        <v>45620</v>
      </c>
      <c r="B414" s="2" t="s">
        <v>100</v>
      </c>
      <c r="C414" s="2">
        <v>550</v>
      </c>
      <c r="D414" s="11">
        <v>0.17199999999999999</v>
      </c>
      <c r="E414" s="2">
        <f t="shared" si="29"/>
        <v>0.55000000000000004</v>
      </c>
      <c r="F414" s="10">
        <v>0.02</v>
      </c>
      <c r="G414" s="10">
        <v>7.0000000000000007E-2</v>
      </c>
      <c r="H414" s="12">
        <f t="shared" si="30"/>
        <v>0.11008000000000001</v>
      </c>
      <c r="I414" s="12">
        <f t="shared" si="31"/>
        <v>0.75008000000000008</v>
      </c>
      <c r="J414" s="2"/>
      <c r="K414" s="2"/>
      <c r="L414" s="2">
        <f>I414*500</f>
        <v>375.04</v>
      </c>
      <c r="M414" s="2"/>
      <c r="N414" s="2"/>
      <c r="O414" s="2"/>
      <c r="P414" s="2"/>
      <c r="Q414" s="28">
        <f t="shared" si="27"/>
        <v>14.675767918088736</v>
      </c>
    </row>
    <row r="415" spans="1:17" hidden="1" x14ac:dyDescent="0.25">
      <c r="A415" s="16">
        <v>45620</v>
      </c>
      <c r="B415" s="2" t="s">
        <v>122</v>
      </c>
      <c r="C415" s="2">
        <v>550</v>
      </c>
      <c r="D415" s="11">
        <v>0.39200000000000002</v>
      </c>
      <c r="E415" s="2">
        <f t="shared" si="29"/>
        <v>0.55000000000000004</v>
      </c>
      <c r="F415" s="10">
        <v>0.02</v>
      </c>
      <c r="G415" s="10">
        <v>7.0000000000000007E-2</v>
      </c>
      <c r="H415" s="12">
        <f t="shared" si="30"/>
        <v>0.25088000000000005</v>
      </c>
      <c r="I415" s="12">
        <f t="shared" si="31"/>
        <v>0.89088000000000012</v>
      </c>
      <c r="J415" s="2"/>
      <c r="K415" s="2"/>
      <c r="L415" s="2">
        <f>I415*500</f>
        <v>445.44000000000005</v>
      </c>
      <c r="M415" s="2"/>
      <c r="N415" s="2">
        <f t="shared" ref="N415:N427" si="34">I415*1000</f>
        <v>890.88000000000011</v>
      </c>
      <c r="O415" s="2"/>
      <c r="P415" s="2"/>
      <c r="Q415" s="28">
        <f t="shared" si="27"/>
        <v>28.160919540229887</v>
      </c>
    </row>
    <row r="416" spans="1:17" x14ac:dyDescent="0.25">
      <c r="A416" s="16">
        <v>45622</v>
      </c>
      <c r="B416" s="2" t="s">
        <v>119</v>
      </c>
      <c r="C416" s="2">
        <v>620</v>
      </c>
      <c r="D416" s="11">
        <v>0.26800000000000002</v>
      </c>
      <c r="E416" s="2">
        <f t="shared" si="29"/>
        <v>0.62</v>
      </c>
      <c r="F416" s="10">
        <v>0.02</v>
      </c>
      <c r="G416" s="10">
        <v>7.0000000000000007E-2</v>
      </c>
      <c r="H416" s="12">
        <f t="shared" si="30"/>
        <v>0.19028</v>
      </c>
      <c r="I416" s="12">
        <f t="shared" si="31"/>
        <v>0.90027999999999997</v>
      </c>
      <c r="J416" s="2"/>
      <c r="K416" s="2"/>
      <c r="L416" s="2"/>
      <c r="M416" s="2">
        <f>I416*750</f>
        <v>675.20999999999992</v>
      </c>
      <c r="N416" s="2">
        <f t="shared" si="34"/>
        <v>900.28</v>
      </c>
      <c r="O416" s="2"/>
      <c r="P416" s="2"/>
      <c r="Q416" s="28">
        <f t="shared" si="27"/>
        <v>21.135646687697161</v>
      </c>
    </row>
    <row r="417" spans="1:17" hidden="1" x14ac:dyDescent="0.25">
      <c r="A417" s="16">
        <v>45622</v>
      </c>
      <c r="B417" s="2" t="s">
        <v>141</v>
      </c>
      <c r="C417" s="2">
        <v>340</v>
      </c>
      <c r="D417" s="11">
        <v>0.26900000000000002</v>
      </c>
      <c r="E417" s="2">
        <f t="shared" si="29"/>
        <v>0.34</v>
      </c>
      <c r="F417" s="10">
        <v>0.02</v>
      </c>
      <c r="G417" s="10">
        <v>7.0000000000000007E-2</v>
      </c>
      <c r="H417" s="12">
        <f t="shared" si="30"/>
        <v>0.11567000000000002</v>
      </c>
      <c r="I417" s="12">
        <f t="shared" si="31"/>
        <v>0.5456700000000001</v>
      </c>
      <c r="J417" s="2"/>
      <c r="K417" s="2"/>
      <c r="L417" s="2"/>
      <c r="M417" s="2">
        <f>I417*750</f>
        <v>409.25250000000005</v>
      </c>
      <c r="N417" s="2">
        <f t="shared" si="34"/>
        <v>545.67000000000007</v>
      </c>
      <c r="O417" s="2"/>
      <c r="P417" s="2"/>
      <c r="Q417" s="28">
        <f t="shared" si="27"/>
        <v>21.19779353821907</v>
      </c>
    </row>
    <row r="418" spans="1:17" hidden="1" x14ac:dyDescent="0.25">
      <c r="A418" s="16">
        <v>45622</v>
      </c>
      <c r="B418" s="2" t="s">
        <v>139</v>
      </c>
      <c r="C418" s="2">
        <v>1150</v>
      </c>
      <c r="D418" s="11">
        <v>0.25600000000000001</v>
      </c>
      <c r="E418" s="2">
        <f t="shared" si="29"/>
        <v>1.1499999999999999</v>
      </c>
      <c r="F418" s="10">
        <v>0.02</v>
      </c>
      <c r="G418" s="10">
        <v>7.0000000000000007E-2</v>
      </c>
      <c r="H418" s="12">
        <f t="shared" si="30"/>
        <v>0.31744</v>
      </c>
      <c r="I418" s="12">
        <f t="shared" si="31"/>
        <v>1.5574399999999999</v>
      </c>
      <c r="J418" s="2"/>
      <c r="K418" s="2">
        <f>I418*350</f>
        <v>545.10399999999993</v>
      </c>
      <c r="L418" s="2"/>
      <c r="M418" s="2"/>
      <c r="N418" s="2">
        <f t="shared" si="34"/>
        <v>1557.4399999999998</v>
      </c>
      <c r="O418" s="2"/>
      <c r="P418" s="2"/>
      <c r="Q418" s="28">
        <f t="shared" si="27"/>
        <v>20.382165605095544</v>
      </c>
    </row>
    <row r="419" spans="1:17" hidden="1" x14ac:dyDescent="0.25">
      <c r="A419" s="16">
        <v>45622</v>
      </c>
      <c r="B419" s="2" t="s">
        <v>85</v>
      </c>
      <c r="C419" s="2">
        <v>830</v>
      </c>
      <c r="D419" s="11">
        <v>0.25</v>
      </c>
      <c r="E419" s="2">
        <f t="shared" si="29"/>
        <v>0.83</v>
      </c>
      <c r="F419" s="10">
        <v>0.02</v>
      </c>
      <c r="G419" s="10">
        <v>7.0000000000000007E-2</v>
      </c>
      <c r="H419" s="12">
        <f t="shared" si="30"/>
        <v>0.22999999999999998</v>
      </c>
      <c r="I419" s="12">
        <f t="shared" si="31"/>
        <v>1.1499999999999999</v>
      </c>
      <c r="J419" s="2"/>
      <c r="K419" s="2">
        <f>I419*300</f>
        <v>345</v>
      </c>
      <c r="L419" s="2"/>
      <c r="M419" s="2"/>
      <c r="N419" s="2">
        <f t="shared" si="34"/>
        <v>1150</v>
      </c>
      <c r="O419" s="2"/>
      <c r="P419" s="2"/>
      <c r="Q419" s="28">
        <f t="shared" si="27"/>
        <v>20</v>
      </c>
    </row>
    <row r="420" spans="1:17" hidden="1" x14ac:dyDescent="0.25">
      <c r="A420" s="16">
        <v>45623</v>
      </c>
      <c r="B420" s="2" t="s">
        <v>141</v>
      </c>
      <c r="C420" s="2">
        <v>480</v>
      </c>
      <c r="D420" s="11">
        <v>-4.3999999999999997E-2</v>
      </c>
      <c r="E420" s="2">
        <f t="shared" si="29"/>
        <v>0.48</v>
      </c>
      <c r="F420" s="10">
        <v>0.02</v>
      </c>
      <c r="G420" s="10">
        <v>7.0000000000000007E-2</v>
      </c>
      <c r="H420" s="12">
        <f t="shared" si="30"/>
        <v>-2.5080000000000002E-2</v>
      </c>
      <c r="I420" s="12">
        <f t="shared" si="31"/>
        <v>0.54492000000000007</v>
      </c>
      <c r="J420" s="2"/>
      <c r="K420" s="2"/>
      <c r="L420" s="2"/>
      <c r="M420" s="2">
        <f>I420*750</f>
        <v>408.69000000000005</v>
      </c>
      <c r="N420" s="2">
        <f t="shared" si="34"/>
        <v>544.92000000000007</v>
      </c>
      <c r="O420" s="2"/>
      <c r="P420" s="2"/>
      <c r="Q420" s="28">
        <f t="shared" si="27"/>
        <v>-4.6025104602510458</v>
      </c>
    </row>
    <row r="421" spans="1:17" hidden="1" x14ac:dyDescent="0.25">
      <c r="A421" s="16">
        <v>45623</v>
      </c>
      <c r="B421" s="2" t="s">
        <v>164</v>
      </c>
      <c r="C421" s="2">
        <v>480</v>
      </c>
      <c r="D421" s="11">
        <v>-0.04</v>
      </c>
      <c r="E421" s="2">
        <f t="shared" si="29"/>
        <v>0.48</v>
      </c>
      <c r="F421" s="10">
        <v>0.02</v>
      </c>
      <c r="G421" s="10">
        <v>7.0000000000000007E-2</v>
      </c>
      <c r="H421" s="12">
        <f t="shared" si="30"/>
        <v>-2.2800000000000004E-2</v>
      </c>
      <c r="I421" s="12">
        <f t="shared" si="31"/>
        <v>0.54720000000000002</v>
      </c>
      <c r="J421" s="2"/>
      <c r="K421" s="2"/>
      <c r="L421" s="2"/>
      <c r="M421" s="2">
        <f>I421*750</f>
        <v>410.40000000000003</v>
      </c>
      <c r="N421" s="2">
        <f t="shared" si="34"/>
        <v>547.20000000000005</v>
      </c>
      <c r="O421" s="2"/>
      <c r="P421" s="2"/>
      <c r="Q421" s="28">
        <f t="shared" ref="Q421:Q484" si="35">H421/I421%</f>
        <v>-4.166666666666667</v>
      </c>
    </row>
    <row r="422" spans="1:17" hidden="1" x14ac:dyDescent="0.25">
      <c r="A422" s="16">
        <v>45623</v>
      </c>
      <c r="B422" s="2" t="s">
        <v>183</v>
      </c>
      <c r="C422" s="2">
        <v>550</v>
      </c>
      <c r="D422" s="11">
        <v>0.24</v>
      </c>
      <c r="E422" s="2">
        <f t="shared" si="29"/>
        <v>0.55000000000000004</v>
      </c>
      <c r="F422" s="10">
        <v>0.02</v>
      </c>
      <c r="G422" s="10">
        <v>7.0000000000000007E-2</v>
      </c>
      <c r="H422" s="12">
        <f t="shared" si="30"/>
        <v>0.15360000000000001</v>
      </c>
      <c r="I422" s="12">
        <f t="shared" si="31"/>
        <v>0.79360000000000008</v>
      </c>
      <c r="J422" s="2"/>
      <c r="K422" s="2"/>
      <c r="L422" s="2" t="s">
        <v>72</v>
      </c>
      <c r="M422" s="2">
        <f>I422*750</f>
        <v>595.20000000000005</v>
      </c>
      <c r="N422" s="2">
        <f t="shared" si="34"/>
        <v>793.60000000000014</v>
      </c>
      <c r="O422" s="2"/>
      <c r="P422" s="2"/>
      <c r="Q422" s="28">
        <f t="shared" si="35"/>
        <v>19.35483870967742</v>
      </c>
    </row>
    <row r="423" spans="1:17" hidden="1" x14ac:dyDescent="0.25">
      <c r="A423" s="16">
        <v>45623</v>
      </c>
      <c r="B423" s="2" t="s">
        <v>122</v>
      </c>
      <c r="C423" s="2">
        <v>550</v>
      </c>
      <c r="D423" s="11">
        <v>0.23499999999999999</v>
      </c>
      <c r="E423" s="2">
        <f t="shared" si="29"/>
        <v>0.55000000000000004</v>
      </c>
      <c r="F423" s="10">
        <v>0.02</v>
      </c>
      <c r="G423" s="10">
        <v>7.0000000000000007E-2</v>
      </c>
      <c r="H423" s="12">
        <f t="shared" si="30"/>
        <v>0.15040000000000003</v>
      </c>
      <c r="I423" s="12">
        <f t="shared" si="31"/>
        <v>0.79040000000000021</v>
      </c>
      <c r="J423" s="2"/>
      <c r="K423" s="2"/>
      <c r="L423" s="2">
        <f>I423*500</f>
        <v>395.2000000000001</v>
      </c>
      <c r="M423" s="2" t="s">
        <v>72</v>
      </c>
      <c r="N423" s="2">
        <f t="shared" si="34"/>
        <v>790.4000000000002</v>
      </c>
      <c r="O423" s="2"/>
      <c r="P423" s="2"/>
      <c r="Q423" s="28">
        <f t="shared" si="35"/>
        <v>19.02834008097166</v>
      </c>
    </row>
    <row r="424" spans="1:17" hidden="1" x14ac:dyDescent="0.25">
      <c r="A424" s="16">
        <v>45623</v>
      </c>
      <c r="B424" s="2" t="s">
        <v>85</v>
      </c>
      <c r="C424" s="2">
        <v>780</v>
      </c>
      <c r="D424" s="11">
        <v>0.32</v>
      </c>
      <c r="E424" s="2">
        <f t="shared" si="29"/>
        <v>0.78</v>
      </c>
      <c r="F424" s="10">
        <v>0.02</v>
      </c>
      <c r="G424" s="10">
        <v>7.0000000000000007E-2</v>
      </c>
      <c r="H424" s="12">
        <f t="shared" si="30"/>
        <v>0.27840000000000004</v>
      </c>
      <c r="I424" s="12">
        <f t="shared" si="31"/>
        <v>1.1484000000000001</v>
      </c>
      <c r="J424" s="2"/>
      <c r="K424" s="2">
        <f>I424*300</f>
        <v>344.52000000000004</v>
      </c>
      <c r="L424" s="2"/>
      <c r="M424" s="2"/>
      <c r="N424" s="2">
        <f t="shared" si="34"/>
        <v>1148.4000000000001</v>
      </c>
      <c r="O424" s="2"/>
      <c r="P424" s="2"/>
      <c r="Q424" s="28">
        <f t="shared" si="35"/>
        <v>24.242424242424242</v>
      </c>
    </row>
    <row r="425" spans="1:17" hidden="1" x14ac:dyDescent="0.25">
      <c r="A425" s="16">
        <v>45623</v>
      </c>
      <c r="B425" s="2" t="s">
        <v>96</v>
      </c>
      <c r="C425" s="2">
        <v>1470</v>
      </c>
      <c r="D425" s="11">
        <v>0.14799999999999999</v>
      </c>
      <c r="E425" s="2">
        <f t="shared" si="29"/>
        <v>1.47</v>
      </c>
      <c r="F425" s="10">
        <v>0.02</v>
      </c>
      <c r="G425" s="10">
        <v>7.0000000000000007E-2</v>
      </c>
      <c r="H425" s="12">
        <f t="shared" si="30"/>
        <v>0.23088</v>
      </c>
      <c r="I425" s="12">
        <f t="shared" si="31"/>
        <v>1.79088</v>
      </c>
      <c r="J425" s="2"/>
      <c r="K425" s="2"/>
      <c r="L425" s="2">
        <f>I425*500</f>
        <v>895.44</v>
      </c>
      <c r="M425" s="2"/>
      <c r="N425" s="2">
        <f t="shared" si="34"/>
        <v>1790.88</v>
      </c>
      <c r="O425" s="2"/>
      <c r="P425" s="2"/>
      <c r="Q425" s="28">
        <f t="shared" si="35"/>
        <v>12.891986062717772</v>
      </c>
    </row>
    <row r="426" spans="1:17" x14ac:dyDescent="0.25">
      <c r="A426" s="16">
        <v>45624</v>
      </c>
      <c r="B426" s="56" t="s">
        <v>119</v>
      </c>
      <c r="C426" s="2">
        <v>620</v>
      </c>
      <c r="D426" s="11">
        <v>0.27</v>
      </c>
      <c r="E426" s="2">
        <f t="shared" si="29"/>
        <v>0.62</v>
      </c>
      <c r="F426" s="10">
        <v>0.02</v>
      </c>
      <c r="G426" s="10">
        <v>7.0000000000000007E-2</v>
      </c>
      <c r="H426" s="12">
        <f t="shared" si="30"/>
        <v>0.19170000000000001</v>
      </c>
      <c r="I426" s="12">
        <f t="shared" si="31"/>
        <v>0.90169999999999995</v>
      </c>
      <c r="J426" s="2"/>
      <c r="K426" s="2"/>
      <c r="L426" s="2"/>
      <c r="M426" s="2">
        <f>I426*750</f>
        <v>676.27499999999998</v>
      </c>
      <c r="N426" s="2">
        <f t="shared" si="34"/>
        <v>901.69999999999993</v>
      </c>
      <c r="O426" s="2"/>
      <c r="P426" s="2"/>
      <c r="Q426" s="28">
        <f t="shared" si="35"/>
        <v>21.259842519685044</v>
      </c>
    </row>
    <row r="427" spans="1:17" x14ac:dyDescent="0.25">
      <c r="A427" s="16">
        <v>45624</v>
      </c>
      <c r="B427" s="2" t="s">
        <v>127</v>
      </c>
      <c r="C427" s="2">
        <v>620</v>
      </c>
      <c r="D427" s="11">
        <v>0.254</v>
      </c>
      <c r="E427" s="2">
        <f t="shared" si="29"/>
        <v>0.62</v>
      </c>
      <c r="F427" s="10">
        <v>0.02</v>
      </c>
      <c r="G427" s="10">
        <v>7.0000000000000007E-2</v>
      </c>
      <c r="H427" s="12">
        <f t="shared" si="30"/>
        <v>0.18034</v>
      </c>
      <c r="I427" s="12">
        <f t="shared" si="31"/>
        <v>0.89033999999999991</v>
      </c>
      <c r="J427" s="2"/>
      <c r="K427" s="2"/>
      <c r="L427" s="2">
        <f>I427*500</f>
        <v>445.16999999999996</v>
      </c>
      <c r="M427" s="2"/>
      <c r="N427" s="2">
        <f t="shared" si="34"/>
        <v>890.33999999999992</v>
      </c>
      <c r="O427" s="2"/>
      <c r="P427" s="2"/>
      <c r="Q427" s="28">
        <f t="shared" si="35"/>
        <v>20.255183413078154</v>
      </c>
    </row>
    <row r="428" spans="1:17" hidden="1" x14ac:dyDescent="0.25">
      <c r="A428" s="16">
        <v>45624</v>
      </c>
      <c r="B428" s="2" t="s">
        <v>86</v>
      </c>
      <c r="C428" s="2">
        <v>1050</v>
      </c>
      <c r="D428" s="11">
        <v>0.214</v>
      </c>
      <c r="E428" s="2">
        <f t="shared" si="29"/>
        <v>1.05</v>
      </c>
      <c r="F428" s="10">
        <v>0.02</v>
      </c>
      <c r="G428" s="10">
        <v>7.0000000000000007E-2</v>
      </c>
      <c r="H428" s="12">
        <f t="shared" si="30"/>
        <v>0.24396000000000001</v>
      </c>
      <c r="I428" s="12">
        <f t="shared" si="31"/>
        <v>1.3839600000000001</v>
      </c>
      <c r="J428" s="2">
        <f>I428*250</f>
        <v>345.99</v>
      </c>
      <c r="K428" s="2"/>
      <c r="L428" s="2"/>
      <c r="M428" s="2"/>
      <c r="N428" s="2"/>
      <c r="O428" s="2"/>
      <c r="P428" s="2"/>
      <c r="Q428" s="28">
        <f t="shared" si="35"/>
        <v>17.627677100494235</v>
      </c>
    </row>
    <row r="429" spans="1:17" x14ac:dyDescent="0.25">
      <c r="A429" s="16">
        <v>45625</v>
      </c>
      <c r="B429" s="2" t="s">
        <v>127</v>
      </c>
      <c r="C429" s="2">
        <v>600</v>
      </c>
      <c r="D429" s="11">
        <v>0.27</v>
      </c>
      <c r="E429" s="2">
        <f t="shared" si="29"/>
        <v>0.6</v>
      </c>
      <c r="F429" s="10">
        <v>0.02</v>
      </c>
      <c r="G429" s="10">
        <v>7.0000000000000007E-2</v>
      </c>
      <c r="H429" s="12">
        <f t="shared" si="30"/>
        <v>0.18629999999999999</v>
      </c>
      <c r="I429" s="12">
        <f t="shared" si="31"/>
        <v>0.87629999999999997</v>
      </c>
      <c r="J429" s="2"/>
      <c r="K429" s="2"/>
      <c r="L429" s="2"/>
      <c r="M429" s="2">
        <f>I429*750</f>
        <v>657.22500000000002</v>
      </c>
      <c r="N429" s="2">
        <f>I429*1000</f>
        <v>876.3</v>
      </c>
      <c r="O429" s="2"/>
      <c r="P429" s="2"/>
      <c r="Q429" s="28">
        <f t="shared" si="35"/>
        <v>21.259842519685037</v>
      </c>
    </row>
    <row r="430" spans="1:17" hidden="1" x14ac:dyDescent="0.25">
      <c r="A430" s="16">
        <v>45625</v>
      </c>
      <c r="B430" s="2" t="s">
        <v>141</v>
      </c>
      <c r="C430" s="2">
        <v>400</v>
      </c>
      <c r="D430" s="11">
        <v>0.42</v>
      </c>
      <c r="E430" s="2">
        <f t="shared" si="29"/>
        <v>0.4</v>
      </c>
      <c r="F430" s="10">
        <v>0.02</v>
      </c>
      <c r="G430" s="10">
        <v>7.0000000000000007E-2</v>
      </c>
      <c r="H430" s="12">
        <f t="shared" si="30"/>
        <v>0.20580000000000001</v>
      </c>
      <c r="I430" s="12">
        <f t="shared" si="31"/>
        <v>0.69580000000000009</v>
      </c>
      <c r="J430" s="2"/>
      <c r="K430" s="2"/>
      <c r="L430" s="2"/>
      <c r="M430" s="2"/>
      <c r="N430" s="2">
        <f>I430*1000</f>
        <v>695.80000000000007</v>
      </c>
      <c r="O430" s="2"/>
      <c r="P430" s="2"/>
      <c r="Q430" s="28">
        <f t="shared" si="35"/>
        <v>29.577464788732392</v>
      </c>
    </row>
    <row r="431" spans="1:17" hidden="1" x14ac:dyDescent="0.25">
      <c r="A431" s="16">
        <v>45625</v>
      </c>
      <c r="B431" s="2" t="s">
        <v>85</v>
      </c>
      <c r="C431" s="2">
        <v>820</v>
      </c>
      <c r="D431" s="11">
        <v>0.26400000000000001</v>
      </c>
      <c r="E431" s="2">
        <f t="shared" si="29"/>
        <v>0.82</v>
      </c>
      <c r="F431" s="10">
        <v>0.02</v>
      </c>
      <c r="G431" s="10">
        <v>7.0000000000000007E-2</v>
      </c>
      <c r="H431" s="12">
        <f t="shared" si="30"/>
        <v>0.24023999999999998</v>
      </c>
      <c r="I431" s="12">
        <f t="shared" si="31"/>
        <v>1.1502399999999999</v>
      </c>
      <c r="J431" s="2"/>
      <c r="K431" s="2">
        <f>I431*300</f>
        <v>345.072</v>
      </c>
      <c r="L431" s="2"/>
      <c r="M431" s="2"/>
      <c r="N431" s="2">
        <f>I431*1000</f>
        <v>1150.24</v>
      </c>
      <c r="O431" s="2"/>
      <c r="P431" s="2"/>
      <c r="Q431" s="28">
        <f t="shared" si="35"/>
        <v>20.88607594936709</v>
      </c>
    </row>
    <row r="432" spans="1:17" hidden="1" x14ac:dyDescent="0.25">
      <c r="A432" s="16">
        <v>45626</v>
      </c>
      <c r="B432" s="2" t="s">
        <v>164</v>
      </c>
      <c r="C432" s="2">
        <v>450</v>
      </c>
      <c r="D432" s="11">
        <v>0.29599999999999999</v>
      </c>
      <c r="E432" s="2">
        <f t="shared" si="29"/>
        <v>0.45</v>
      </c>
      <c r="F432" s="10">
        <v>0.02</v>
      </c>
      <c r="G432" s="10">
        <v>7.0000000000000007E-2</v>
      </c>
      <c r="H432" s="12">
        <f t="shared" si="30"/>
        <v>0.15984000000000001</v>
      </c>
      <c r="I432" s="12">
        <f t="shared" si="31"/>
        <v>0.69984000000000002</v>
      </c>
      <c r="J432" s="2"/>
      <c r="K432" s="2"/>
      <c r="L432" s="2"/>
      <c r="M432" s="2">
        <f>I432*750</f>
        <v>524.88</v>
      </c>
      <c r="N432" s="2">
        <f>I432*1000</f>
        <v>699.84</v>
      </c>
      <c r="O432" s="2"/>
      <c r="P432" s="2"/>
      <c r="Q432" s="28">
        <f t="shared" si="35"/>
        <v>22.839506172839506</v>
      </c>
    </row>
    <row r="433" spans="1:17" hidden="1" x14ac:dyDescent="0.25">
      <c r="A433" s="16">
        <v>45626</v>
      </c>
      <c r="B433" s="2" t="s">
        <v>184</v>
      </c>
      <c r="C433" s="2">
        <v>600</v>
      </c>
      <c r="D433" s="11">
        <v>0.23200000000000001</v>
      </c>
      <c r="E433" s="2">
        <f t="shared" si="29"/>
        <v>0.6</v>
      </c>
      <c r="F433" s="10">
        <v>0.02</v>
      </c>
      <c r="G433" s="10">
        <v>7.0000000000000007E-2</v>
      </c>
      <c r="H433" s="12">
        <f t="shared" si="30"/>
        <v>0.16008</v>
      </c>
      <c r="I433" s="12">
        <f t="shared" si="31"/>
        <v>0.85007999999999995</v>
      </c>
      <c r="J433" s="2"/>
      <c r="K433" s="2"/>
      <c r="L433" s="2">
        <f>I433*500</f>
        <v>425.03999999999996</v>
      </c>
      <c r="M433" s="2"/>
      <c r="N433" s="2"/>
      <c r="O433" s="2"/>
      <c r="P433" s="2"/>
      <c r="Q433" s="28">
        <f t="shared" si="35"/>
        <v>18.831168831168831</v>
      </c>
    </row>
    <row r="434" spans="1:17" hidden="1" x14ac:dyDescent="0.25">
      <c r="A434" s="16">
        <v>45626</v>
      </c>
      <c r="B434" s="2" t="s">
        <v>100</v>
      </c>
      <c r="C434" s="2">
        <v>550</v>
      </c>
      <c r="D434" s="11">
        <v>0.17399999999999999</v>
      </c>
      <c r="E434" s="2">
        <f t="shared" si="29"/>
        <v>0.55000000000000004</v>
      </c>
      <c r="F434" s="10">
        <v>0.02</v>
      </c>
      <c r="G434" s="10">
        <v>7.0000000000000007E-2</v>
      </c>
      <c r="H434" s="12">
        <f t="shared" si="30"/>
        <v>0.11136000000000001</v>
      </c>
      <c r="I434" s="12">
        <f t="shared" si="31"/>
        <v>0.75136000000000014</v>
      </c>
      <c r="J434" s="2"/>
      <c r="K434" s="2"/>
      <c r="L434" s="2">
        <f>I434*500</f>
        <v>375.68000000000006</v>
      </c>
      <c r="M434" s="2"/>
      <c r="N434" s="2"/>
      <c r="O434" s="2"/>
      <c r="P434" s="2"/>
      <c r="Q434" s="28">
        <f t="shared" si="35"/>
        <v>14.821124361158432</v>
      </c>
    </row>
    <row r="435" spans="1:17" hidden="1" x14ac:dyDescent="0.25">
      <c r="A435" s="16">
        <v>45626</v>
      </c>
      <c r="B435" s="2" t="s">
        <v>163</v>
      </c>
      <c r="C435" s="2">
        <v>500</v>
      </c>
      <c r="D435" s="11">
        <v>0.17</v>
      </c>
      <c r="E435" s="2">
        <f t="shared" si="29"/>
        <v>0.5</v>
      </c>
      <c r="F435" s="10">
        <v>0.02</v>
      </c>
      <c r="G435" s="10">
        <v>7.0000000000000007E-2</v>
      </c>
      <c r="H435" s="12">
        <f t="shared" si="30"/>
        <v>0.10030000000000001</v>
      </c>
      <c r="I435" s="12">
        <f t="shared" si="31"/>
        <v>0.69030000000000014</v>
      </c>
      <c r="J435" s="2"/>
      <c r="K435" s="2"/>
      <c r="L435" s="2">
        <f>I435*500</f>
        <v>345.15000000000009</v>
      </c>
      <c r="M435" s="2"/>
      <c r="N435" s="2"/>
      <c r="O435" s="2"/>
      <c r="P435" s="2"/>
      <c r="Q435" s="28">
        <f t="shared" si="35"/>
        <v>14.52991452991453</v>
      </c>
    </row>
    <row r="436" spans="1:17" hidden="1" x14ac:dyDescent="0.25">
      <c r="A436" s="16">
        <v>45626</v>
      </c>
      <c r="B436" s="2" t="s">
        <v>98</v>
      </c>
      <c r="C436" s="2">
        <v>550</v>
      </c>
      <c r="D436" s="11">
        <v>0.24</v>
      </c>
      <c r="E436" s="2">
        <f t="shared" si="29"/>
        <v>0.55000000000000004</v>
      </c>
      <c r="F436" s="10">
        <v>0.02</v>
      </c>
      <c r="G436" s="10">
        <v>7.0000000000000007E-2</v>
      </c>
      <c r="H436" s="12">
        <f t="shared" si="30"/>
        <v>0.15360000000000001</v>
      </c>
      <c r="I436" s="12">
        <f t="shared" si="31"/>
        <v>0.79360000000000008</v>
      </c>
      <c r="J436" s="2"/>
      <c r="K436" s="2"/>
      <c r="L436" s="2"/>
      <c r="M436" s="2">
        <f>I436*750</f>
        <v>595.20000000000005</v>
      </c>
      <c r="N436" s="2">
        <f>I436*1000</f>
        <v>793.60000000000014</v>
      </c>
      <c r="O436" s="2"/>
      <c r="P436" s="2"/>
      <c r="Q436" s="28">
        <f t="shared" si="35"/>
        <v>19.35483870967742</v>
      </c>
    </row>
    <row r="437" spans="1:17" hidden="1" x14ac:dyDescent="0.25">
      <c r="A437" s="16">
        <v>45626</v>
      </c>
      <c r="B437" s="2" t="s">
        <v>175</v>
      </c>
      <c r="C437" s="2">
        <v>550</v>
      </c>
      <c r="D437" s="11">
        <v>0.182</v>
      </c>
      <c r="E437" s="2">
        <f t="shared" si="29"/>
        <v>0.55000000000000004</v>
      </c>
      <c r="F437" s="10">
        <v>0.02</v>
      </c>
      <c r="G437" s="10">
        <v>7.0000000000000007E-2</v>
      </c>
      <c r="H437" s="12">
        <f t="shared" si="30"/>
        <v>0.11648000000000001</v>
      </c>
      <c r="I437" s="12">
        <f t="shared" si="31"/>
        <v>0.75648000000000015</v>
      </c>
      <c r="J437" s="2"/>
      <c r="K437" s="2"/>
      <c r="L437" s="2"/>
      <c r="M437" s="2"/>
      <c r="N437" s="2">
        <f>I437*1000</f>
        <v>756.48000000000013</v>
      </c>
      <c r="O437" s="2">
        <f>I437*1250</f>
        <v>945.60000000000014</v>
      </c>
      <c r="P437" s="2"/>
      <c r="Q437" s="28">
        <f t="shared" si="35"/>
        <v>15.397631133671741</v>
      </c>
    </row>
    <row r="438" spans="1:17" hidden="1" x14ac:dyDescent="0.25">
      <c r="A438" s="16">
        <v>45626</v>
      </c>
      <c r="B438" s="2" t="s">
        <v>149</v>
      </c>
      <c r="C438" s="2">
        <v>1500</v>
      </c>
      <c r="D438" s="11">
        <v>0.13600000000000001</v>
      </c>
      <c r="E438" s="2">
        <f t="shared" si="29"/>
        <v>1.5</v>
      </c>
      <c r="F438" s="10">
        <v>0.02</v>
      </c>
      <c r="G438" s="10">
        <v>7.0000000000000007E-2</v>
      </c>
      <c r="H438" s="12">
        <f t="shared" si="30"/>
        <v>0.21624000000000002</v>
      </c>
      <c r="I438" s="12">
        <f t="shared" si="31"/>
        <v>1.8062400000000001</v>
      </c>
      <c r="J438" s="2"/>
      <c r="K438" s="2"/>
      <c r="L438" s="2"/>
      <c r="M438" s="2">
        <f>I438*800</f>
        <v>1444.992</v>
      </c>
      <c r="N438" s="2">
        <f>I438*1000</f>
        <v>1806.24</v>
      </c>
      <c r="O438" s="2"/>
      <c r="P438" s="2"/>
      <c r="Q438" s="28">
        <f t="shared" si="35"/>
        <v>11.971830985915494</v>
      </c>
    </row>
    <row r="439" spans="1:17" hidden="1" x14ac:dyDescent="0.25">
      <c r="A439" s="16">
        <v>45626</v>
      </c>
      <c r="B439" s="2" t="s">
        <v>150</v>
      </c>
      <c r="C439" s="2">
        <v>1500</v>
      </c>
      <c r="D439" s="11">
        <v>0.129</v>
      </c>
      <c r="E439" s="2">
        <f t="shared" si="29"/>
        <v>1.5</v>
      </c>
      <c r="F439" s="10">
        <v>0.02</v>
      </c>
      <c r="G439" s="10">
        <v>7.0000000000000007E-2</v>
      </c>
      <c r="H439" s="12">
        <f t="shared" si="30"/>
        <v>0.20511000000000001</v>
      </c>
      <c r="I439" s="12">
        <f t="shared" si="31"/>
        <v>1.7951100000000002</v>
      </c>
      <c r="J439" s="2"/>
      <c r="K439" s="2"/>
      <c r="L439" s="2"/>
      <c r="M439" s="2"/>
      <c r="N439" s="2">
        <f>I439*1000</f>
        <v>1795.1100000000001</v>
      </c>
      <c r="O439" s="2"/>
      <c r="P439" s="2"/>
      <c r="Q439" s="28">
        <f t="shared" si="35"/>
        <v>11.426040744021257</v>
      </c>
    </row>
    <row r="440" spans="1:17" hidden="1" x14ac:dyDescent="0.25">
      <c r="A440" s="16">
        <v>45626</v>
      </c>
      <c r="B440" s="2" t="s">
        <v>85</v>
      </c>
      <c r="C440" s="2">
        <v>850</v>
      </c>
      <c r="D440" s="11">
        <v>0.22500000000000001</v>
      </c>
      <c r="E440" s="2">
        <f t="shared" si="29"/>
        <v>0.85</v>
      </c>
      <c r="F440" s="10">
        <v>0.02</v>
      </c>
      <c r="G440" s="10">
        <v>7.0000000000000007E-2</v>
      </c>
      <c r="H440" s="12">
        <f t="shared" si="30"/>
        <v>0.21149999999999999</v>
      </c>
      <c r="I440" s="12">
        <f t="shared" si="31"/>
        <v>1.1515</v>
      </c>
      <c r="J440" s="2"/>
      <c r="K440" s="2">
        <f>I440*300</f>
        <v>345.45</v>
      </c>
      <c r="L440" s="2"/>
      <c r="M440" s="2"/>
      <c r="N440" s="2"/>
      <c r="O440" s="2"/>
      <c r="P440" s="2"/>
      <c r="Q440" s="28">
        <f t="shared" si="35"/>
        <v>18.367346938775512</v>
      </c>
    </row>
    <row r="441" spans="1:17" x14ac:dyDescent="0.25">
      <c r="A441" s="16">
        <v>45627</v>
      </c>
      <c r="B441" s="2" t="s">
        <v>136</v>
      </c>
      <c r="C441" s="2">
        <v>600</v>
      </c>
      <c r="D441" s="11">
        <v>0.29799999999999999</v>
      </c>
      <c r="E441" s="2">
        <f t="shared" si="29"/>
        <v>0.6</v>
      </c>
      <c r="F441" s="10">
        <v>0.02</v>
      </c>
      <c r="G441" s="10">
        <v>7.0000000000000007E-2</v>
      </c>
      <c r="H441" s="12">
        <f t="shared" si="30"/>
        <v>0.20561999999999997</v>
      </c>
      <c r="I441" s="12">
        <f t="shared" si="31"/>
        <v>0.89561999999999986</v>
      </c>
      <c r="J441" s="2"/>
      <c r="K441" s="2"/>
      <c r="L441" s="2"/>
      <c r="M441" s="2"/>
      <c r="N441" s="2">
        <f>I441*1000</f>
        <v>895.61999999999989</v>
      </c>
      <c r="O441" s="2"/>
      <c r="P441" s="2"/>
      <c r="Q441" s="28">
        <f t="shared" si="35"/>
        <v>22.95839753466872</v>
      </c>
    </row>
    <row r="442" spans="1:17" x14ac:dyDescent="0.25">
      <c r="A442" s="16">
        <v>45627</v>
      </c>
      <c r="B442" s="2" t="s">
        <v>119</v>
      </c>
      <c r="C442" s="2">
        <v>600</v>
      </c>
      <c r="D442" s="11">
        <v>0.30499999999999999</v>
      </c>
      <c r="E442" s="2">
        <f t="shared" si="29"/>
        <v>0.6</v>
      </c>
      <c r="F442" s="10">
        <v>0.02</v>
      </c>
      <c r="G442" s="10">
        <v>7.0000000000000007E-2</v>
      </c>
      <c r="H442" s="12">
        <f t="shared" si="30"/>
        <v>0.21044999999999997</v>
      </c>
      <c r="I442" s="12">
        <f t="shared" si="31"/>
        <v>0.90044999999999997</v>
      </c>
      <c r="J442" s="2"/>
      <c r="K442" s="2"/>
      <c r="L442" s="2"/>
      <c r="M442" s="2">
        <f>I442*750</f>
        <v>675.33749999999998</v>
      </c>
      <c r="N442" s="2"/>
      <c r="O442" s="2"/>
      <c r="P442" s="2"/>
      <c r="Q442" s="28">
        <f t="shared" si="35"/>
        <v>23.371647509578541</v>
      </c>
    </row>
    <row r="443" spans="1:17" x14ac:dyDescent="0.25">
      <c r="A443" s="16">
        <v>45627</v>
      </c>
      <c r="B443" s="2" t="s">
        <v>127</v>
      </c>
      <c r="C443" s="2">
        <v>600</v>
      </c>
      <c r="D443" s="11">
        <v>0</v>
      </c>
      <c r="E443" s="2">
        <f t="shared" si="29"/>
        <v>0.6</v>
      </c>
      <c r="F443" s="10">
        <v>0.02</v>
      </c>
      <c r="G443" s="10">
        <v>7.0000000000000007E-2</v>
      </c>
      <c r="H443" s="12">
        <f t="shared" si="30"/>
        <v>0</v>
      </c>
      <c r="I443" s="12">
        <f t="shared" si="31"/>
        <v>0.69</v>
      </c>
      <c r="J443" s="2"/>
      <c r="K443" s="2"/>
      <c r="L443" s="2">
        <f>I443*500</f>
        <v>345</v>
      </c>
      <c r="M443" s="2"/>
      <c r="N443" s="2"/>
      <c r="O443" s="2"/>
      <c r="P443" s="2"/>
      <c r="Q443" s="28">
        <f t="shared" si="35"/>
        <v>0</v>
      </c>
    </row>
    <row r="444" spans="1:17" hidden="1" x14ac:dyDescent="0.25">
      <c r="A444" s="16">
        <v>45627</v>
      </c>
      <c r="B444" s="2" t="s">
        <v>123</v>
      </c>
      <c r="C444" s="2">
        <v>1200</v>
      </c>
      <c r="D444" s="11">
        <v>0.38800000000000001</v>
      </c>
      <c r="E444" s="2">
        <f t="shared" si="29"/>
        <v>1.2</v>
      </c>
      <c r="F444" s="10">
        <v>0.02</v>
      </c>
      <c r="G444" s="10">
        <v>7.0000000000000007E-2</v>
      </c>
      <c r="H444" s="12">
        <f t="shared" si="30"/>
        <v>0.50052000000000008</v>
      </c>
      <c r="I444" s="12">
        <f t="shared" si="31"/>
        <v>1.7905200000000001</v>
      </c>
      <c r="J444" s="2"/>
      <c r="K444" s="2"/>
      <c r="L444" s="2">
        <f>I444*500</f>
        <v>895.2600000000001</v>
      </c>
      <c r="M444" s="2"/>
      <c r="N444" s="2"/>
      <c r="O444" s="2"/>
      <c r="P444" s="2"/>
      <c r="Q444" s="28">
        <f t="shared" si="35"/>
        <v>27.953890489913551</v>
      </c>
    </row>
    <row r="445" spans="1:17" hidden="1" x14ac:dyDescent="0.25">
      <c r="A445" s="16">
        <v>45627</v>
      </c>
      <c r="B445" s="2" t="s">
        <v>149</v>
      </c>
      <c r="C445" s="2">
        <v>1450</v>
      </c>
      <c r="D445" s="11">
        <v>0.29499999999999998</v>
      </c>
      <c r="E445" s="2">
        <f t="shared" si="29"/>
        <v>1.45</v>
      </c>
      <c r="F445" s="10">
        <v>0.02</v>
      </c>
      <c r="G445" s="10">
        <v>7.0000000000000007E-2</v>
      </c>
      <c r="H445" s="12">
        <f t="shared" si="30"/>
        <v>0.45429999999999998</v>
      </c>
      <c r="I445" s="12">
        <f t="shared" si="31"/>
        <v>1.9943</v>
      </c>
      <c r="J445" s="2"/>
      <c r="K445" s="2"/>
      <c r="L445" s="2"/>
      <c r="M445" s="2">
        <f>I445*750</f>
        <v>1495.7249999999999</v>
      </c>
      <c r="N445" s="2"/>
      <c r="O445" s="2"/>
      <c r="P445" s="2"/>
      <c r="Q445" s="28">
        <f t="shared" si="35"/>
        <v>22.779922779922781</v>
      </c>
    </row>
    <row r="446" spans="1:17" hidden="1" x14ac:dyDescent="0.25">
      <c r="A446" s="16">
        <v>45627</v>
      </c>
      <c r="B446" s="2" t="s">
        <v>86</v>
      </c>
      <c r="C446" s="2">
        <v>1150</v>
      </c>
      <c r="D446" s="11">
        <v>0.115</v>
      </c>
      <c r="E446" s="2">
        <f t="shared" si="29"/>
        <v>1.1499999999999999</v>
      </c>
      <c r="F446" s="10">
        <v>0.02</v>
      </c>
      <c r="G446" s="10">
        <v>7.0000000000000007E-2</v>
      </c>
      <c r="H446" s="12">
        <f t="shared" si="30"/>
        <v>0.1426</v>
      </c>
      <c r="I446" s="12">
        <f t="shared" si="31"/>
        <v>1.3826000000000001</v>
      </c>
      <c r="J446" s="2">
        <f>I446*250</f>
        <v>345.65000000000003</v>
      </c>
      <c r="K446" s="2"/>
      <c r="L446" s="2"/>
      <c r="M446" s="2"/>
      <c r="N446" s="2"/>
      <c r="O446" s="2"/>
      <c r="P446" s="2"/>
      <c r="Q446" s="28">
        <f t="shared" si="35"/>
        <v>10.31390134529148</v>
      </c>
    </row>
    <row r="447" spans="1:17" hidden="1" x14ac:dyDescent="0.25">
      <c r="A447" s="16">
        <v>45627</v>
      </c>
      <c r="B447" s="2" t="s">
        <v>85</v>
      </c>
      <c r="C447" s="2">
        <v>900</v>
      </c>
      <c r="D447" s="11">
        <v>0.16400000000000001</v>
      </c>
      <c r="E447" s="2">
        <f t="shared" si="29"/>
        <v>0.9</v>
      </c>
      <c r="F447" s="10">
        <v>0.02</v>
      </c>
      <c r="G447" s="10">
        <v>7.0000000000000007E-2</v>
      </c>
      <c r="H447" s="12">
        <f t="shared" si="30"/>
        <v>0.16236</v>
      </c>
      <c r="I447" s="12">
        <f t="shared" si="31"/>
        <v>1.1523600000000001</v>
      </c>
      <c r="J447" s="2"/>
      <c r="K447" s="2">
        <f>I447*300</f>
        <v>345.70800000000003</v>
      </c>
      <c r="L447" s="2"/>
      <c r="M447" s="2"/>
      <c r="N447" s="2"/>
      <c r="O447" s="2"/>
      <c r="P447" s="2"/>
      <c r="Q447" s="28">
        <f t="shared" si="35"/>
        <v>14.0893470790378</v>
      </c>
    </row>
    <row r="448" spans="1:17" x14ac:dyDescent="0.25">
      <c r="A448" s="16">
        <v>45629</v>
      </c>
      <c r="B448" s="2" t="s">
        <v>136</v>
      </c>
      <c r="C448" s="2">
        <v>620</v>
      </c>
      <c r="D448" s="11">
        <v>0.26100000000000001</v>
      </c>
      <c r="E448" s="2">
        <f t="shared" si="29"/>
        <v>0.62</v>
      </c>
      <c r="F448" s="10">
        <v>0.02</v>
      </c>
      <c r="G448" s="10">
        <v>7.0000000000000007E-2</v>
      </c>
      <c r="H448" s="12">
        <f t="shared" si="30"/>
        <v>0.18531</v>
      </c>
      <c r="I448" s="12">
        <f t="shared" si="31"/>
        <v>0.89530999999999994</v>
      </c>
      <c r="J448" s="2"/>
      <c r="K448" s="2"/>
      <c r="L448" s="2"/>
      <c r="M448" s="2"/>
      <c r="N448" s="2">
        <f>I448*1000</f>
        <v>895.31</v>
      </c>
      <c r="O448" s="2"/>
      <c r="P448" s="2"/>
      <c r="Q448" s="28">
        <f t="shared" si="35"/>
        <v>20.697858842188744</v>
      </c>
    </row>
    <row r="449" spans="1:17" x14ac:dyDescent="0.25">
      <c r="A449" s="16">
        <v>45629</v>
      </c>
      <c r="B449" s="2" t="s">
        <v>119</v>
      </c>
      <c r="C449" s="2">
        <v>620</v>
      </c>
      <c r="D449" s="11">
        <v>0.26800000000000002</v>
      </c>
      <c r="E449" s="2">
        <f t="shared" si="29"/>
        <v>0.62</v>
      </c>
      <c r="F449" s="10">
        <v>0.02</v>
      </c>
      <c r="G449" s="10">
        <v>7.0000000000000007E-2</v>
      </c>
      <c r="H449" s="12">
        <f t="shared" si="30"/>
        <v>0.19028</v>
      </c>
      <c r="I449" s="12">
        <f t="shared" si="31"/>
        <v>0.90027999999999997</v>
      </c>
      <c r="J449" s="2"/>
      <c r="K449" s="2"/>
      <c r="L449" s="2"/>
      <c r="M449" s="2">
        <f>I449*750</f>
        <v>675.20999999999992</v>
      </c>
      <c r="N449" s="2">
        <f>I449*1000</f>
        <v>900.28</v>
      </c>
      <c r="O449" s="2"/>
      <c r="P449" s="2"/>
      <c r="Q449" s="28">
        <f t="shared" si="35"/>
        <v>21.135646687697161</v>
      </c>
    </row>
    <row r="450" spans="1:17" hidden="1" x14ac:dyDescent="0.25">
      <c r="A450" s="16">
        <v>45629</v>
      </c>
      <c r="B450" s="2" t="s">
        <v>141</v>
      </c>
      <c r="C450" s="2">
        <v>450</v>
      </c>
      <c r="D450" s="11">
        <v>0.28799999999999998</v>
      </c>
      <c r="E450" s="2">
        <f t="shared" si="29"/>
        <v>0.45</v>
      </c>
      <c r="F450" s="10">
        <v>0.02</v>
      </c>
      <c r="G450" s="10">
        <v>7.0000000000000007E-2</v>
      </c>
      <c r="H450" s="12">
        <f t="shared" si="30"/>
        <v>0.15551999999999999</v>
      </c>
      <c r="I450" s="12">
        <f t="shared" si="31"/>
        <v>0.69552000000000003</v>
      </c>
      <c r="J450" s="2"/>
      <c r="K450" s="2"/>
      <c r="L450" s="2"/>
      <c r="M450" s="2"/>
      <c r="N450" s="2">
        <f>I450*1000</f>
        <v>695.52</v>
      </c>
      <c r="O450" s="2"/>
      <c r="P450" s="2"/>
      <c r="Q450" s="28">
        <f t="shared" si="35"/>
        <v>22.360248447204967</v>
      </c>
    </row>
    <row r="451" spans="1:17" hidden="1" x14ac:dyDescent="0.25">
      <c r="A451" s="16">
        <v>45629</v>
      </c>
      <c r="B451" s="2" t="s">
        <v>164</v>
      </c>
      <c r="C451" s="2">
        <v>450</v>
      </c>
      <c r="D451" s="11">
        <v>0.34599999999999997</v>
      </c>
      <c r="E451" s="2">
        <f t="shared" si="29"/>
        <v>0.45</v>
      </c>
      <c r="F451" s="10">
        <v>0.02</v>
      </c>
      <c r="G451" s="10">
        <v>7.0000000000000007E-2</v>
      </c>
      <c r="H451" s="12">
        <f t="shared" si="30"/>
        <v>0.18684000000000001</v>
      </c>
      <c r="I451" s="12">
        <f t="shared" si="31"/>
        <v>0.72684000000000004</v>
      </c>
      <c r="J451" s="2"/>
      <c r="K451" s="2"/>
      <c r="L451" s="2"/>
      <c r="M451" s="2">
        <f>I451*750</f>
        <v>545.13</v>
      </c>
      <c r="N451" s="2">
        <f>I451*1000</f>
        <v>726.84</v>
      </c>
      <c r="O451" s="2"/>
      <c r="P451" s="2"/>
      <c r="Q451" s="28">
        <f t="shared" si="35"/>
        <v>25.705794947994058</v>
      </c>
    </row>
    <row r="452" spans="1:17" hidden="1" x14ac:dyDescent="0.25">
      <c r="A452" s="16">
        <v>45629</v>
      </c>
      <c r="B452" s="2" t="s">
        <v>123</v>
      </c>
      <c r="C452" s="2">
        <v>1250</v>
      </c>
      <c r="D452" s="11">
        <v>0.33700000000000002</v>
      </c>
      <c r="E452" s="2">
        <f t="shared" ref="E452:E515" si="36">C452/1000</f>
        <v>1.25</v>
      </c>
      <c r="F452" s="10">
        <v>0.02</v>
      </c>
      <c r="G452" s="10">
        <v>7.0000000000000007E-2</v>
      </c>
      <c r="H452" s="12">
        <f t="shared" ref="H452:H515" si="37">SUM(E452:G452)*D452</f>
        <v>0.45158000000000004</v>
      </c>
      <c r="I452" s="12">
        <f t="shared" ref="I452:I515" si="38">SUM(E452:H452)</f>
        <v>1.7915800000000002</v>
      </c>
      <c r="J452" s="2"/>
      <c r="K452" s="2"/>
      <c r="L452" s="2">
        <f>I452*500</f>
        <v>895.79000000000008</v>
      </c>
      <c r="M452" s="2"/>
      <c r="N452" s="2">
        <f>I452*1000</f>
        <v>1791.5800000000002</v>
      </c>
      <c r="O452" s="2"/>
      <c r="P452" s="2"/>
      <c r="Q452" s="28">
        <f t="shared" si="35"/>
        <v>25.205684367988031</v>
      </c>
    </row>
    <row r="453" spans="1:17" hidden="1" x14ac:dyDescent="0.25">
      <c r="A453" s="16">
        <v>45630</v>
      </c>
      <c r="B453" s="2" t="s">
        <v>84</v>
      </c>
      <c r="C453" s="2">
        <v>650</v>
      </c>
      <c r="D453" s="11">
        <v>7.0000000000000007E-2</v>
      </c>
      <c r="E453" s="2">
        <f t="shared" si="36"/>
        <v>0.65</v>
      </c>
      <c r="F453" s="10">
        <v>0.02</v>
      </c>
      <c r="G453" s="10">
        <v>7.0000000000000007E-2</v>
      </c>
      <c r="H453" s="12">
        <f t="shared" si="37"/>
        <v>5.1800000000000006E-2</v>
      </c>
      <c r="I453" s="12">
        <f t="shared" si="38"/>
        <v>0.79179999999999995</v>
      </c>
      <c r="J453" s="2"/>
      <c r="K453" s="2"/>
      <c r="L453" s="2">
        <f>I453*500</f>
        <v>395.9</v>
      </c>
      <c r="M453" s="2"/>
      <c r="N453" s="2"/>
      <c r="O453" s="2"/>
      <c r="P453" s="2"/>
      <c r="Q453" s="28">
        <f t="shared" si="35"/>
        <v>6.5420560747663563</v>
      </c>
    </row>
    <row r="454" spans="1:17" hidden="1" x14ac:dyDescent="0.25">
      <c r="A454" s="16">
        <v>45630</v>
      </c>
      <c r="B454" s="2" t="s">
        <v>100</v>
      </c>
      <c r="C454" s="2">
        <v>550</v>
      </c>
      <c r="D454" s="11">
        <v>0.17199999999999999</v>
      </c>
      <c r="E454" s="2">
        <f t="shared" si="36"/>
        <v>0.55000000000000004</v>
      </c>
      <c r="F454" s="10">
        <v>0.02</v>
      </c>
      <c r="G454" s="10">
        <v>7.0000000000000007E-2</v>
      </c>
      <c r="H454" s="12">
        <f t="shared" si="37"/>
        <v>0.11008000000000001</v>
      </c>
      <c r="I454" s="12">
        <f t="shared" si="38"/>
        <v>0.75008000000000008</v>
      </c>
      <c r="J454" s="2"/>
      <c r="K454" s="2"/>
      <c r="L454" s="2">
        <f>I454*500</f>
        <v>375.04</v>
      </c>
      <c r="M454" s="2"/>
      <c r="N454" s="2"/>
      <c r="O454" s="2"/>
      <c r="P454" s="2"/>
      <c r="Q454" s="28">
        <f t="shared" si="35"/>
        <v>14.675767918088736</v>
      </c>
    </row>
    <row r="455" spans="1:17" hidden="1" x14ac:dyDescent="0.25">
      <c r="A455" s="16">
        <v>45630</v>
      </c>
      <c r="B455" s="2" t="s">
        <v>109</v>
      </c>
      <c r="C455" s="2">
        <v>520</v>
      </c>
      <c r="D455" s="11">
        <v>0.435</v>
      </c>
      <c r="E455" s="2">
        <f t="shared" si="36"/>
        <v>0.52</v>
      </c>
      <c r="F455" s="10">
        <v>0.02</v>
      </c>
      <c r="G455" s="10">
        <v>7.0000000000000007E-2</v>
      </c>
      <c r="H455" s="12">
        <f t="shared" si="37"/>
        <v>0.26535000000000003</v>
      </c>
      <c r="I455" s="12">
        <f t="shared" si="38"/>
        <v>0.87535000000000007</v>
      </c>
      <c r="J455" s="2"/>
      <c r="K455" s="2"/>
      <c r="L455" s="2"/>
      <c r="M455" s="2"/>
      <c r="N455" s="2">
        <f>I455*1000</f>
        <v>875.35</v>
      </c>
      <c r="O455" s="2"/>
      <c r="P455" s="2"/>
      <c r="Q455" s="28">
        <f t="shared" si="35"/>
        <v>30.313588850174217</v>
      </c>
    </row>
    <row r="456" spans="1:17" hidden="1" x14ac:dyDescent="0.25">
      <c r="A456" s="16">
        <v>45630</v>
      </c>
      <c r="B456" s="2" t="s">
        <v>98</v>
      </c>
      <c r="C456" s="2">
        <v>520</v>
      </c>
      <c r="D456" s="11">
        <v>0.30599999999999999</v>
      </c>
      <c r="E456" s="2">
        <f t="shared" si="36"/>
        <v>0.52</v>
      </c>
      <c r="F456" s="10">
        <v>0.02</v>
      </c>
      <c r="G456" s="10">
        <v>7.0000000000000007E-2</v>
      </c>
      <c r="H456" s="12">
        <f t="shared" si="37"/>
        <v>0.18666000000000002</v>
      </c>
      <c r="I456" s="12">
        <f t="shared" si="38"/>
        <v>0.79666000000000015</v>
      </c>
      <c r="J456" s="2"/>
      <c r="K456" s="2"/>
      <c r="L456" s="2"/>
      <c r="M456" s="2">
        <f>I456*750</f>
        <v>597.49500000000012</v>
      </c>
      <c r="N456" s="2">
        <f>I456*1000</f>
        <v>796.6600000000002</v>
      </c>
      <c r="O456" s="2"/>
      <c r="P456" s="2"/>
      <c r="Q456" s="28">
        <f t="shared" si="35"/>
        <v>23.43032159264931</v>
      </c>
    </row>
    <row r="457" spans="1:17" hidden="1" x14ac:dyDescent="0.25">
      <c r="A457" s="16">
        <v>45630</v>
      </c>
      <c r="B457" s="2" t="s">
        <v>123</v>
      </c>
      <c r="C457" s="2">
        <v>1200</v>
      </c>
      <c r="D457" s="11">
        <v>0.38800000000000001</v>
      </c>
      <c r="E457" s="2">
        <f t="shared" si="36"/>
        <v>1.2</v>
      </c>
      <c r="F457" s="10">
        <v>0.02</v>
      </c>
      <c r="G457" s="10">
        <v>7.0000000000000007E-2</v>
      </c>
      <c r="H457" s="12">
        <f t="shared" si="37"/>
        <v>0.50052000000000008</v>
      </c>
      <c r="I457" s="12">
        <f t="shared" si="38"/>
        <v>1.7905200000000001</v>
      </c>
      <c r="J457" s="2"/>
      <c r="K457" s="2"/>
      <c r="L457" s="2">
        <f>I457*500</f>
        <v>895.2600000000001</v>
      </c>
      <c r="M457" s="2"/>
      <c r="N457" s="2">
        <f>I457*1000</f>
        <v>1790.5200000000002</v>
      </c>
      <c r="O457" s="2"/>
      <c r="P457" s="2"/>
      <c r="Q457" s="28">
        <f t="shared" si="35"/>
        <v>27.953890489913551</v>
      </c>
    </row>
    <row r="458" spans="1:17" hidden="1" x14ac:dyDescent="0.25">
      <c r="A458" s="16">
        <v>45630</v>
      </c>
      <c r="B458" s="2" t="s">
        <v>86</v>
      </c>
      <c r="C458" s="2">
        <v>900</v>
      </c>
      <c r="D458" s="11">
        <v>0.39400000000000002</v>
      </c>
      <c r="E458" s="2">
        <f t="shared" si="36"/>
        <v>0.9</v>
      </c>
      <c r="F458" s="10">
        <v>0.02</v>
      </c>
      <c r="G458" s="10">
        <v>7.0000000000000007E-2</v>
      </c>
      <c r="H458" s="12">
        <f t="shared" si="37"/>
        <v>0.39006000000000002</v>
      </c>
      <c r="I458" s="12">
        <f t="shared" si="38"/>
        <v>1.3800600000000001</v>
      </c>
      <c r="J458" s="2">
        <f>I458*250</f>
        <v>345.01500000000004</v>
      </c>
      <c r="K458" s="2"/>
      <c r="L458" s="2"/>
      <c r="M458" s="2"/>
      <c r="N458" s="2"/>
      <c r="O458" s="2"/>
      <c r="P458" s="2"/>
      <c r="Q458" s="28">
        <f t="shared" si="35"/>
        <v>28.263988522238161</v>
      </c>
    </row>
    <row r="459" spans="1:17" hidden="1" x14ac:dyDescent="0.25">
      <c r="A459" s="16">
        <v>45630</v>
      </c>
      <c r="B459" s="2" t="s">
        <v>85</v>
      </c>
      <c r="C459" s="2">
        <v>900</v>
      </c>
      <c r="D459" s="11">
        <v>0.16200000000000001</v>
      </c>
      <c r="E459" s="2">
        <f t="shared" si="36"/>
        <v>0.9</v>
      </c>
      <c r="F459" s="10">
        <v>0.02</v>
      </c>
      <c r="G459" s="10">
        <v>7.0000000000000007E-2</v>
      </c>
      <c r="H459" s="12">
        <f t="shared" si="37"/>
        <v>0.16037999999999999</v>
      </c>
      <c r="I459" s="12">
        <f t="shared" si="38"/>
        <v>1.15038</v>
      </c>
      <c r="J459" s="2"/>
      <c r="K459" s="2">
        <f>I459*300</f>
        <v>345.11399999999998</v>
      </c>
      <c r="L459" s="2"/>
      <c r="M459" s="2"/>
      <c r="N459" s="2"/>
      <c r="O459" s="2"/>
      <c r="P459" s="2"/>
      <c r="Q459" s="28">
        <f t="shared" si="35"/>
        <v>13.941480206540447</v>
      </c>
    </row>
    <row r="460" spans="1:17" hidden="1" x14ac:dyDescent="0.25">
      <c r="A460" s="16">
        <v>45631</v>
      </c>
      <c r="B460" s="2" t="s">
        <v>187</v>
      </c>
      <c r="C460" s="2">
        <v>150</v>
      </c>
      <c r="D460" s="11">
        <v>0.23</v>
      </c>
      <c r="E460" s="2">
        <f t="shared" si="36"/>
        <v>0.15</v>
      </c>
      <c r="F460" s="10">
        <v>0.02</v>
      </c>
      <c r="G460" s="10">
        <v>7.0000000000000007E-2</v>
      </c>
      <c r="H460" s="12">
        <f t="shared" si="37"/>
        <v>5.5199999999999999E-2</v>
      </c>
      <c r="I460" s="12">
        <f t="shared" si="38"/>
        <v>0.29520000000000002</v>
      </c>
      <c r="J460" s="2"/>
      <c r="K460" s="2"/>
      <c r="L460" s="2"/>
      <c r="M460" s="2"/>
      <c r="N460" s="2">
        <f>I460*1000</f>
        <v>295.20000000000005</v>
      </c>
      <c r="O460" s="2"/>
      <c r="P460" s="2"/>
      <c r="Q460" s="28">
        <f t="shared" si="35"/>
        <v>18.699186991869919</v>
      </c>
    </row>
    <row r="461" spans="1:17" hidden="1" x14ac:dyDescent="0.25">
      <c r="A461" s="16">
        <v>45631</v>
      </c>
      <c r="B461" s="2" t="s">
        <v>85</v>
      </c>
      <c r="C461" s="2">
        <v>900</v>
      </c>
      <c r="D461" s="11">
        <v>0.16200000000000001</v>
      </c>
      <c r="E461" s="2">
        <f t="shared" si="36"/>
        <v>0.9</v>
      </c>
      <c r="F461" s="10">
        <v>0.02</v>
      </c>
      <c r="G461" s="10">
        <v>7.0000000000000007E-2</v>
      </c>
      <c r="H461" s="12">
        <f t="shared" si="37"/>
        <v>0.16037999999999999</v>
      </c>
      <c r="I461" s="12">
        <f t="shared" si="38"/>
        <v>1.15038</v>
      </c>
      <c r="J461" s="2"/>
      <c r="K461" s="2">
        <f>I461*300</f>
        <v>345.11399999999998</v>
      </c>
      <c r="L461" s="2"/>
      <c r="M461" s="2"/>
      <c r="N461" s="2"/>
      <c r="O461" s="2"/>
      <c r="P461" s="2"/>
      <c r="Q461" s="28">
        <f t="shared" si="35"/>
        <v>13.941480206540447</v>
      </c>
    </row>
    <row r="462" spans="1:17" x14ac:dyDescent="0.25">
      <c r="A462" s="16">
        <v>45632</v>
      </c>
      <c r="B462" s="2" t="s">
        <v>127</v>
      </c>
      <c r="C462" s="2">
        <v>650</v>
      </c>
      <c r="D462" s="11">
        <v>0.28399999999999997</v>
      </c>
      <c r="E462" s="2">
        <f t="shared" si="36"/>
        <v>0.65</v>
      </c>
      <c r="F462" s="10">
        <v>0.02</v>
      </c>
      <c r="G462" s="10">
        <v>7.0000000000000007E-2</v>
      </c>
      <c r="H462" s="12">
        <f t="shared" si="37"/>
        <v>0.21015999999999999</v>
      </c>
      <c r="I462" s="12">
        <f t="shared" si="38"/>
        <v>0.95016</v>
      </c>
      <c r="J462" s="2"/>
      <c r="K462" s="2"/>
      <c r="L462" s="2">
        <f>I462*500</f>
        <v>475.08</v>
      </c>
      <c r="M462" s="2"/>
      <c r="N462" s="2">
        <f t="shared" ref="N462:N467" si="39">I462*1000</f>
        <v>950.16</v>
      </c>
      <c r="O462" s="2"/>
      <c r="P462" s="2"/>
      <c r="Q462" s="28">
        <f t="shared" si="35"/>
        <v>22.118380062305292</v>
      </c>
    </row>
    <row r="463" spans="1:17" hidden="1" x14ac:dyDescent="0.25">
      <c r="A463" s="16">
        <v>45632</v>
      </c>
      <c r="B463" s="2" t="s">
        <v>164</v>
      </c>
      <c r="C463" s="2">
        <v>500</v>
      </c>
      <c r="D463" s="11">
        <v>0.3</v>
      </c>
      <c r="E463" s="2">
        <f t="shared" si="36"/>
        <v>0.5</v>
      </c>
      <c r="F463" s="10">
        <v>0.02</v>
      </c>
      <c r="G463" s="10">
        <v>7.0000000000000007E-2</v>
      </c>
      <c r="H463" s="12">
        <f t="shared" si="37"/>
        <v>0.17700000000000002</v>
      </c>
      <c r="I463" s="12">
        <f t="shared" si="38"/>
        <v>0.76700000000000013</v>
      </c>
      <c r="J463" s="2"/>
      <c r="K463" s="2"/>
      <c r="L463" s="2"/>
      <c r="M463" s="2">
        <f>I463*750</f>
        <v>575.25000000000011</v>
      </c>
      <c r="N463" s="2">
        <f t="shared" si="39"/>
        <v>767.00000000000011</v>
      </c>
      <c r="O463" s="2"/>
      <c r="P463" s="2"/>
      <c r="Q463" s="28">
        <f t="shared" si="35"/>
        <v>23.076923076923077</v>
      </c>
    </row>
    <row r="464" spans="1:17" hidden="1" x14ac:dyDescent="0.25">
      <c r="A464" s="16">
        <v>45632</v>
      </c>
      <c r="B464" s="2" t="s">
        <v>178</v>
      </c>
      <c r="C464" s="2">
        <v>500</v>
      </c>
      <c r="D464" s="11">
        <v>0.28000000000000003</v>
      </c>
      <c r="E464" s="2">
        <f t="shared" si="36"/>
        <v>0.5</v>
      </c>
      <c r="F464" s="10">
        <v>0.02</v>
      </c>
      <c r="G464" s="10">
        <v>7.0000000000000007E-2</v>
      </c>
      <c r="H464" s="12">
        <f t="shared" si="37"/>
        <v>0.16520000000000004</v>
      </c>
      <c r="I464" s="12">
        <f t="shared" si="38"/>
        <v>0.75520000000000009</v>
      </c>
      <c r="J464" s="2"/>
      <c r="K464" s="2"/>
      <c r="L464" s="2"/>
      <c r="M464" s="2">
        <f>I464*750</f>
        <v>566.40000000000009</v>
      </c>
      <c r="N464" s="2">
        <f t="shared" si="39"/>
        <v>755.2</v>
      </c>
      <c r="O464" s="2">
        <f>1250*I464</f>
        <v>944.00000000000011</v>
      </c>
      <c r="P464" s="2"/>
      <c r="Q464" s="28">
        <f t="shared" si="35"/>
        <v>21.875000000000004</v>
      </c>
    </row>
    <row r="465" spans="1:17" hidden="1" x14ac:dyDescent="0.25">
      <c r="A465" s="16">
        <v>45632</v>
      </c>
      <c r="B465" s="2" t="s">
        <v>109</v>
      </c>
      <c r="C465" s="2">
        <v>550</v>
      </c>
      <c r="D465" s="11">
        <v>0.3</v>
      </c>
      <c r="E465" s="2">
        <f t="shared" si="36"/>
        <v>0.55000000000000004</v>
      </c>
      <c r="F465" s="10">
        <v>0.02</v>
      </c>
      <c r="G465" s="10">
        <v>7.0000000000000007E-2</v>
      </c>
      <c r="H465" s="12">
        <f t="shared" si="37"/>
        <v>0.19200000000000003</v>
      </c>
      <c r="I465" s="12">
        <f t="shared" si="38"/>
        <v>0.83200000000000018</v>
      </c>
      <c r="J465" s="2"/>
      <c r="K465" s="2"/>
      <c r="L465" s="2"/>
      <c r="M465" s="2"/>
      <c r="N465" s="2">
        <f t="shared" si="39"/>
        <v>832.00000000000023</v>
      </c>
      <c r="O465" s="2"/>
      <c r="P465" s="2"/>
      <c r="Q465" s="28">
        <f t="shared" si="35"/>
        <v>23.076923076923077</v>
      </c>
    </row>
    <row r="466" spans="1:17" hidden="1" x14ac:dyDescent="0.25">
      <c r="A466" s="16">
        <v>45632</v>
      </c>
      <c r="B466" s="2" t="s">
        <v>98</v>
      </c>
      <c r="C466" s="2">
        <v>550</v>
      </c>
      <c r="D466" s="11">
        <v>0.3</v>
      </c>
      <c r="E466" s="2">
        <f t="shared" si="36"/>
        <v>0.55000000000000004</v>
      </c>
      <c r="F466" s="10">
        <v>0.02</v>
      </c>
      <c r="G466" s="10">
        <v>7.0000000000000007E-2</v>
      </c>
      <c r="H466" s="12">
        <f t="shared" si="37"/>
        <v>0.19200000000000003</v>
      </c>
      <c r="I466" s="12">
        <f t="shared" si="38"/>
        <v>0.83200000000000018</v>
      </c>
      <c r="J466" s="2"/>
      <c r="K466" s="2"/>
      <c r="L466" s="2"/>
      <c r="M466" s="2">
        <f>I466*750</f>
        <v>624.00000000000011</v>
      </c>
      <c r="N466" s="2">
        <f t="shared" si="39"/>
        <v>832.00000000000023</v>
      </c>
      <c r="O466" s="2"/>
      <c r="P466" s="2"/>
      <c r="Q466" s="28">
        <f t="shared" si="35"/>
        <v>23.076923076923077</v>
      </c>
    </row>
    <row r="467" spans="1:17" hidden="1" x14ac:dyDescent="0.25">
      <c r="A467" s="16">
        <v>45632</v>
      </c>
      <c r="B467" s="2" t="s">
        <v>123</v>
      </c>
      <c r="C467" s="2">
        <v>1200</v>
      </c>
      <c r="D467" s="11">
        <v>0.38800000000000001</v>
      </c>
      <c r="E467" s="2">
        <f t="shared" si="36"/>
        <v>1.2</v>
      </c>
      <c r="F467" s="10">
        <v>0.02</v>
      </c>
      <c r="G467" s="10">
        <v>7.0000000000000007E-2</v>
      </c>
      <c r="H467" s="12">
        <f t="shared" si="37"/>
        <v>0.50052000000000008</v>
      </c>
      <c r="I467" s="12">
        <f t="shared" si="38"/>
        <v>1.7905200000000001</v>
      </c>
      <c r="J467" s="2"/>
      <c r="K467" s="2"/>
      <c r="L467" s="2">
        <f>I467*500</f>
        <v>895.2600000000001</v>
      </c>
      <c r="M467" s="2"/>
      <c r="N467" s="2">
        <f t="shared" si="39"/>
        <v>1790.5200000000002</v>
      </c>
      <c r="O467" s="2"/>
      <c r="P467" s="2"/>
      <c r="Q467" s="28">
        <f t="shared" si="35"/>
        <v>27.953890489913551</v>
      </c>
    </row>
    <row r="468" spans="1:17" hidden="1" x14ac:dyDescent="0.25">
      <c r="A468" s="16">
        <v>45632</v>
      </c>
      <c r="B468" s="2" t="s">
        <v>86</v>
      </c>
      <c r="C468" s="2">
        <v>900</v>
      </c>
      <c r="D468" s="11">
        <v>0.39400000000000002</v>
      </c>
      <c r="E468" s="2">
        <f t="shared" si="36"/>
        <v>0.9</v>
      </c>
      <c r="F468" s="10">
        <v>0.02</v>
      </c>
      <c r="G468" s="10">
        <v>7.0000000000000007E-2</v>
      </c>
      <c r="H468" s="12">
        <f t="shared" si="37"/>
        <v>0.39006000000000002</v>
      </c>
      <c r="I468" s="12">
        <f t="shared" si="38"/>
        <v>1.3800600000000001</v>
      </c>
      <c r="J468" s="2">
        <f>I468*250</f>
        <v>345.01500000000004</v>
      </c>
      <c r="K468" s="2"/>
      <c r="L468" s="2"/>
      <c r="M468" s="2"/>
      <c r="N468" s="2"/>
      <c r="O468" s="2"/>
      <c r="P468" s="2"/>
      <c r="Q468" s="28">
        <f t="shared" si="35"/>
        <v>28.263988522238161</v>
      </c>
    </row>
    <row r="469" spans="1:17" hidden="1" x14ac:dyDescent="0.25">
      <c r="A469" s="16">
        <v>45632</v>
      </c>
      <c r="B469" s="2" t="s">
        <v>85</v>
      </c>
      <c r="C469" s="2">
        <v>900</v>
      </c>
      <c r="D469" s="11">
        <v>0.16200000000000001</v>
      </c>
      <c r="E469" s="2">
        <f t="shared" si="36"/>
        <v>0.9</v>
      </c>
      <c r="F469" s="10">
        <v>0.02</v>
      </c>
      <c r="G469" s="10">
        <v>7.0000000000000007E-2</v>
      </c>
      <c r="H469" s="12">
        <f t="shared" si="37"/>
        <v>0.16037999999999999</v>
      </c>
      <c r="I469" s="12">
        <f t="shared" si="38"/>
        <v>1.15038</v>
      </c>
      <c r="J469" s="2"/>
      <c r="K469" s="2">
        <f>I469*300</f>
        <v>345.11399999999998</v>
      </c>
      <c r="L469" s="2"/>
      <c r="M469" s="2"/>
      <c r="N469" s="2"/>
      <c r="O469" s="2"/>
      <c r="P469" s="2"/>
      <c r="Q469" s="28">
        <f t="shared" si="35"/>
        <v>13.941480206540447</v>
      </c>
    </row>
    <row r="470" spans="1:17" x14ac:dyDescent="0.25">
      <c r="A470" s="16">
        <v>45633</v>
      </c>
      <c r="B470" s="2" t="s">
        <v>119</v>
      </c>
      <c r="C470" s="2">
        <v>500</v>
      </c>
      <c r="D470" s="11">
        <v>0.57099999999999995</v>
      </c>
      <c r="E470" s="2">
        <f t="shared" si="36"/>
        <v>0.5</v>
      </c>
      <c r="F470" s="10">
        <v>0.02</v>
      </c>
      <c r="G470" s="10">
        <v>7.0000000000000007E-2</v>
      </c>
      <c r="H470" s="12">
        <f t="shared" si="37"/>
        <v>0.33689000000000002</v>
      </c>
      <c r="I470" s="12">
        <f t="shared" si="38"/>
        <v>0.9268900000000001</v>
      </c>
      <c r="J470" s="2"/>
      <c r="K470" s="2"/>
      <c r="L470" s="2"/>
      <c r="M470" s="2">
        <f>I470*750</f>
        <v>695.16750000000013</v>
      </c>
      <c r="N470" s="2">
        <f>I470*1000</f>
        <v>926.8900000000001</v>
      </c>
      <c r="O470" s="2"/>
      <c r="P470" s="2"/>
      <c r="Q470" s="28">
        <f t="shared" si="35"/>
        <v>36.346276257161037</v>
      </c>
    </row>
    <row r="471" spans="1:17" x14ac:dyDescent="0.25">
      <c r="A471" s="16">
        <v>45633</v>
      </c>
      <c r="B471" s="2" t="s">
        <v>127</v>
      </c>
      <c r="C471" s="2">
        <v>500</v>
      </c>
      <c r="D471" s="11">
        <v>0.61199999999999999</v>
      </c>
      <c r="E471" s="2">
        <f t="shared" si="36"/>
        <v>0.5</v>
      </c>
      <c r="F471" s="10">
        <v>0.02</v>
      </c>
      <c r="G471" s="10">
        <v>7.0000000000000007E-2</v>
      </c>
      <c r="H471" s="12">
        <f t="shared" si="37"/>
        <v>0.36108000000000007</v>
      </c>
      <c r="I471" s="12">
        <f t="shared" si="38"/>
        <v>0.95108000000000015</v>
      </c>
      <c r="J471" s="2"/>
      <c r="K471" s="2"/>
      <c r="L471" s="2">
        <f>I471*500</f>
        <v>475.54000000000008</v>
      </c>
      <c r="M471" s="2"/>
      <c r="N471" s="2">
        <f>I471*1000</f>
        <v>951.08000000000015</v>
      </c>
      <c r="O471" s="2"/>
      <c r="P471" s="2"/>
      <c r="Q471" s="28">
        <f t="shared" si="35"/>
        <v>37.965260545905707</v>
      </c>
    </row>
    <row r="472" spans="1:17" hidden="1" x14ac:dyDescent="0.25">
      <c r="A472" s="16">
        <v>45633</v>
      </c>
      <c r="B472" s="2" t="s">
        <v>164</v>
      </c>
      <c r="C472" s="2">
        <v>350</v>
      </c>
      <c r="D472" s="11">
        <v>0.59199999999999997</v>
      </c>
      <c r="E472" s="2">
        <f t="shared" si="36"/>
        <v>0.35</v>
      </c>
      <c r="F472" s="10">
        <v>0.02</v>
      </c>
      <c r="G472" s="10">
        <v>7.0000000000000007E-2</v>
      </c>
      <c r="H472" s="12">
        <f t="shared" si="37"/>
        <v>0.26047999999999999</v>
      </c>
      <c r="I472" s="12">
        <f t="shared" si="38"/>
        <v>0.70047999999999999</v>
      </c>
      <c r="J472" s="2"/>
      <c r="K472" s="2"/>
      <c r="L472" s="2"/>
      <c r="M472" s="2">
        <f>I472*750</f>
        <v>525.36</v>
      </c>
      <c r="N472" s="2">
        <f>I472*1000</f>
        <v>700.48</v>
      </c>
      <c r="O472" s="2"/>
      <c r="P472" s="2"/>
      <c r="Q472" s="28">
        <f t="shared" si="35"/>
        <v>37.185929648241206</v>
      </c>
    </row>
    <row r="473" spans="1:17" hidden="1" x14ac:dyDescent="0.25">
      <c r="A473" s="16">
        <v>45633</v>
      </c>
      <c r="B473" s="2" t="s">
        <v>171</v>
      </c>
      <c r="C473" s="2">
        <v>350</v>
      </c>
      <c r="D473" s="11">
        <v>0.56999999999999995</v>
      </c>
      <c r="E473" s="2">
        <f t="shared" si="36"/>
        <v>0.35</v>
      </c>
      <c r="F473" s="10">
        <v>0.02</v>
      </c>
      <c r="G473" s="10">
        <v>7.0000000000000007E-2</v>
      </c>
      <c r="H473" s="12">
        <f t="shared" si="37"/>
        <v>0.25079999999999997</v>
      </c>
      <c r="I473" s="12">
        <f t="shared" si="38"/>
        <v>0.69079999999999997</v>
      </c>
      <c r="J473" s="2"/>
      <c r="K473" s="2"/>
      <c r="L473" s="2">
        <f>I473*500</f>
        <v>345.4</v>
      </c>
      <c r="M473" s="2"/>
      <c r="N473" s="2">
        <f>I473*1000</f>
        <v>690.8</v>
      </c>
      <c r="O473" s="2"/>
      <c r="P473" s="2"/>
      <c r="Q473" s="28">
        <f t="shared" si="35"/>
        <v>36.30573248407643</v>
      </c>
    </row>
    <row r="474" spans="1:17" hidden="1" x14ac:dyDescent="0.25">
      <c r="A474" s="16">
        <v>45633</v>
      </c>
      <c r="B474" s="2" t="s">
        <v>84</v>
      </c>
      <c r="C474" s="2">
        <v>650</v>
      </c>
      <c r="D474" s="11">
        <v>0.15</v>
      </c>
      <c r="E474" s="2">
        <f t="shared" si="36"/>
        <v>0.65</v>
      </c>
      <c r="F474" s="10">
        <v>0.02</v>
      </c>
      <c r="G474" s="10">
        <v>7.0000000000000007E-2</v>
      </c>
      <c r="H474" s="12">
        <f t="shared" si="37"/>
        <v>0.111</v>
      </c>
      <c r="I474" s="12">
        <f t="shared" si="38"/>
        <v>0.85099999999999998</v>
      </c>
      <c r="J474" s="2"/>
      <c r="K474" s="2"/>
      <c r="L474" s="2">
        <f>I474*500</f>
        <v>425.5</v>
      </c>
      <c r="M474" s="2"/>
      <c r="N474" s="2"/>
      <c r="O474" s="2"/>
      <c r="P474" s="2"/>
      <c r="Q474" s="28">
        <f t="shared" si="35"/>
        <v>13.043478260869565</v>
      </c>
    </row>
    <row r="475" spans="1:17" hidden="1" x14ac:dyDescent="0.25">
      <c r="A475" s="16">
        <v>45633</v>
      </c>
      <c r="B475" s="2" t="s">
        <v>100</v>
      </c>
      <c r="C475" s="2">
        <v>550</v>
      </c>
      <c r="D475" s="11">
        <v>0.17299999999999999</v>
      </c>
      <c r="E475" s="2">
        <f t="shared" si="36"/>
        <v>0.55000000000000004</v>
      </c>
      <c r="F475" s="10">
        <v>0.02</v>
      </c>
      <c r="G475" s="10">
        <v>7.0000000000000007E-2</v>
      </c>
      <c r="H475" s="12">
        <f t="shared" si="37"/>
        <v>0.11072000000000001</v>
      </c>
      <c r="I475" s="12">
        <f t="shared" si="38"/>
        <v>0.75072000000000016</v>
      </c>
      <c r="J475" s="2"/>
      <c r="K475" s="2"/>
      <c r="L475" s="2">
        <f>I475*500</f>
        <v>375.36000000000007</v>
      </c>
      <c r="M475" s="2"/>
      <c r="N475" s="2"/>
      <c r="O475" s="2"/>
      <c r="P475" s="2"/>
      <c r="Q475" s="28">
        <f t="shared" si="35"/>
        <v>14.748508098891728</v>
      </c>
    </row>
    <row r="476" spans="1:17" hidden="1" x14ac:dyDescent="0.25">
      <c r="A476" s="16">
        <v>45633</v>
      </c>
      <c r="B476" s="2" t="s">
        <v>98</v>
      </c>
      <c r="C476" s="2">
        <v>500</v>
      </c>
      <c r="D476" s="11">
        <v>0.41299999999999998</v>
      </c>
      <c r="E476" s="2">
        <f t="shared" si="36"/>
        <v>0.5</v>
      </c>
      <c r="F476" s="10">
        <v>0.02</v>
      </c>
      <c r="G476" s="10">
        <v>7.0000000000000007E-2</v>
      </c>
      <c r="H476" s="12">
        <f t="shared" si="37"/>
        <v>0.24367000000000003</v>
      </c>
      <c r="I476" s="12">
        <f t="shared" si="38"/>
        <v>0.83367000000000013</v>
      </c>
      <c r="J476" s="2"/>
      <c r="K476" s="2"/>
      <c r="L476" s="2"/>
      <c r="M476" s="2">
        <f>I476*750</f>
        <v>625.25250000000005</v>
      </c>
      <c r="N476" s="2"/>
      <c r="O476" s="2"/>
      <c r="P476" s="2"/>
      <c r="Q476" s="28">
        <f t="shared" si="35"/>
        <v>29.228591648973815</v>
      </c>
    </row>
    <row r="477" spans="1:17" hidden="1" x14ac:dyDescent="0.25">
      <c r="A477" s="16">
        <v>45633</v>
      </c>
      <c r="B477" s="2" t="s">
        <v>175</v>
      </c>
      <c r="C477" s="2">
        <v>500</v>
      </c>
      <c r="D477" s="11">
        <v>0.41799999999999998</v>
      </c>
      <c r="E477" s="2">
        <f t="shared" si="36"/>
        <v>0.5</v>
      </c>
      <c r="F477" s="10">
        <v>0.02</v>
      </c>
      <c r="G477" s="10">
        <v>7.0000000000000007E-2</v>
      </c>
      <c r="H477" s="12">
        <f t="shared" si="37"/>
        <v>0.24662000000000003</v>
      </c>
      <c r="I477" s="12">
        <f t="shared" si="38"/>
        <v>0.83662000000000014</v>
      </c>
      <c r="J477" s="2"/>
      <c r="K477" s="2"/>
      <c r="L477" s="2"/>
      <c r="M477" s="2"/>
      <c r="N477" s="2"/>
      <c r="O477" s="2">
        <f>I477*1250</f>
        <v>1045.7750000000001</v>
      </c>
      <c r="P477" s="2"/>
      <c r="Q477" s="28">
        <f t="shared" si="35"/>
        <v>29.478138222849086</v>
      </c>
    </row>
    <row r="478" spans="1:17" hidden="1" x14ac:dyDescent="0.25">
      <c r="A478" s="16">
        <v>45634</v>
      </c>
      <c r="B478" s="2" t="s">
        <v>149</v>
      </c>
      <c r="C478" s="2">
        <v>1600</v>
      </c>
      <c r="D478" s="11">
        <v>0.20319999999999999</v>
      </c>
      <c r="E478" s="2">
        <f t="shared" si="36"/>
        <v>1.6</v>
      </c>
      <c r="F478" s="10">
        <v>0.02</v>
      </c>
      <c r="G478" s="10">
        <v>7.0000000000000007E-2</v>
      </c>
      <c r="H478" s="12">
        <f t="shared" si="37"/>
        <v>0.34340800000000005</v>
      </c>
      <c r="I478" s="12">
        <f t="shared" si="38"/>
        <v>2.0334080000000001</v>
      </c>
      <c r="J478" s="2"/>
      <c r="K478" s="2"/>
      <c r="L478" s="2"/>
      <c r="M478" s="2">
        <f>I478*750</f>
        <v>1525.056</v>
      </c>
      <c r="N478" s="2">
        <f>I478*1000</f>
        <v>2033.4080000000001</v>
      </c>
      <c r="O478" s="2"/>
      <c r="P478" s="2"/>
      <c r="Q478" s="28">
        <f t="shared" si="35"/>
        <v>16.888297872340427</v>
      </c>
    </row>
    <row r="479" spans="1:17" hidden="1" x14ac:dyDescent="0.25">
      <c r="A479" s="16">
        <v>45634</v>
      </c>
      <c r="B479" s="2" t="s">
        <v>86</v>
      </c>
      <c r="C479" s="2">
        <v>980</v>
      </c>
      <c r="D479" s="11">
        <v>0.28999999999999998</v>
      </c>
      <c r="E479" s="2">
        <f t="shared" si="36"/>
        <v>0.98</v>
      </c>
      <c r="F479" s="10">
        <v>0.02</v>
      </c>
      <c r="G479" s="10">
        <v>7.0000000000000007E-2</v>
      </c>
      <c r="H479" s="12">
        <f t="shared" si="37"/>
        <v>0.31030000000000002</v>
      </c>
      <c r="I479" s="12">
        <f t="shared" si="38"/>
        <v>1.3803000000000001</v>
      </c>
      <c r="J479" s="2">
        <f>I479*250</f>
        <v>345.07500000000005</v>
      </c>
      <c r="K479" s="2"/>
      <c r="L479" s="2"/>
      <c r="M479" s="2"/>
      <c r="N479" s="2">
        <f>I479*1000</f>
        <v>1380.3000000000002</v>
      </c>
      <c r="O479" s="2"/>
      <c r="P479" s="2"/>
      <c r="Q479" s="28">
        <f t="shared" si="35"/>
        <v>22.480620155038761</v>
      </c>
    </row>
    <row r="480" spans="1:17" hidden="1" x14ac:dyDescent="0.25">
      <c r="A480" s="16">
        <v>45634</v>
      </c>
      <c r="B480" s="2" t="s">
        <v>85</v>
      </c>
      <c r="C480" s="2">
        <v>830</v>
      </c>
      <c r="D480" s="11">
        <v>0.25</v>
      </c>
      <c r="E480" s="2">
        <f t="shared" si="36"/>
        <v>0.83</v>
      </c>
      <c r="F480" s="10">
        <v>0.02</v>
      </c>
      <c r="G480" s="10">
        <v>7.0000000000000007E-2</v>
      </c>
      <c r="H480" s="12">
        <f t="shared" si="37"/>
        <v>0.22999999999999998</v>
      </c>
      <c r="I480" s="12">
        <f t="shared" si="38"/>
        <v>1.1499999999999999</v>
      </c>
      <c r="J480" s="2"/>
      <c r="K480" s="2">
        <f>I480*300</f>
        <v>345</v>
      </c>
      <c r="L480" s="2"/>
      <c r="M480" s="2"/>
      <c r="N480" s="2">
        <f>I480*1000</f>
        <v>1150</v>
      </c>
      <c r="O480" s="2"/>
      <c r="P480" s="2"/>
      <c r="Q480" s="28">
        <f t="shared" si="35"/>
        <v>20</v>
      </c>
    </row>
    <row r="481" spans="1:17" x14ac:dyDescent="0.25">
      <c r="A481" s="16">
        <v>45636</v>
      </c>
      <c r="B481" s="2" t="s">
        <v>119</v>
      </c>
      <c r="C481" s="2">
        <v>630</v>
      </c>
      <c r="D481" s="11">
        <v>0.28799999999999998</v>
      </c>
      <c r="E481" s="2">
        <f t="shared" si="36"/>
        <v>0.63</v>
      </c>
      <c r="F481" s="10">
        <v>0.02</v>
      </c>
      <c r="G481" s="10">
        <v>7.0000000000000007E-2</v>
      </c>
      <c r="H481" s="12">
        <f t="shared" si="37"/>
        <v>0.20735999999999999</v>
      </c>
      <c r="I481" s="12">
        <f t="shared" si="38"/>
        <v>0.92735999999999996</v>
      </c>
      <c r="J481" s="2"/>
      <c r="K481" s="2"/>
      <c r="L481" s="2"/>
      <c r="M481" s="2">
        <f>I481*750</f>
        <v>695.52</v>
      </c>
      <c r="N481" s="2">
        <f>I481*1000</f>
        <v>927.36</v>
      </c>
      <c r="O481" s="2"/>
      <c r="P481" s="2"/>
      <c r="Q481" s="28">
        <f t="shared" si="35"/>
        <v>22.360248447204967</v>
      </c>
    </row>
    <row r="482" spans="1:17" hidden="1" x14ac:dyDescent="0.25">
      <c r="A482" s="16">
        <v>45636</v>
      </c>
      <c r="B482" s="2" t="s">
        <v>123</v>
      </c>
      <c r="C482" s="2">
        <v>1200</v>
      </c>
      <c r="D482" s="11">
        <v>0.35699999999999998</v>
      </c>
      <c r="E482" s="2">
        <f t="shared" si="36"/>
        <v>1.2</v>
      </c>
      <c r="F482" s="10">
        <v>0.02</v>
      </c>
      <c r="G482" s="10">
        <v>7.0000000000000007E-2</v>
      </c>
      <c r="H482" s="12">
        <f t="shared" si="37"/>
        <v>0.46052999999999999</v>
      </c>
      <c r="I482" s="12">
        <f t="shared" si="38"/>
        <v>1.7505299999999999</v>
      </c>
      <c r="J482" s="2"/>
      <c r="K482" s="2"/>
      <c r="L482" s="2">
        <f>I482*500</f>
        <v>875.26499999999999</v>
      </c>
      <c r="M482" s="2"/>
      <c r="N482" s="2"/>
      <c r="O482" s="2"/>
      <c r="P482" s="2"/>
      <c r="Q482" s="28">
        <f t="shared" si="35"/>
        <v>26.308032424465736</v>
      </c>
    </row>
    <row r="483" spans="1:17" hidden="1" x14ac:dyDescent="0.25">
      <c r="A483" s="16">
        <v>45636</v>
      </c>
      <c r="B483" s="2" t="s">
        <v>85</v>
      </c>
      <c r="C483" s="2">
        <v>850</v>
      </c>
      <c r="D483" s="11">
        <v>0.22500000000000001</v>
      </c>
      <c r="E483" s="2">
        <f t="shared" si="36"/>
        <v>0.85</v>
      </c>
      <c r="F483" s="10">
        <v>0.02</v>
      </c>
      <c r="G483" s="10">
        <v>7.0000000000000007E-2</v>
      </c>
      <c r="H483" s="12">
        <f t="shared" si="37"/>
        <v>0.21149999999999999</v>
      </c>
      <c r="I483" s="12">
        <f t="shared" si="38"/>
        <v>1.1515</v>
      </c>
      <c r="J483" s="2"/>
      <c r="K483" s="2">
        <f>I483*300</f>
        <v>345.45</v>
      </c>
      <c r="L483" s="2"/>
      <c r="M483" s="2"/>
      <c r="N483" s="2"/>
      <c r="O483" s="2"/>
      <c r="P483" s="2"/>
      <c r="Q483" s="28">
        <f t="shared" si="35"/>
        <v>18.367346938775512</v>
      </c>
    </row>
    <row r="484" spans="1:17" x14ac:dyDescent="0.25">
      <c r="A484" s="16">
        <v>45637</v>
      </c>
      <c r="B484" s="2" t="s">
        <v>136</v>
      </c>
      <c r="C484" s="2">
        <v>630</v>
      </c>
      <c r="D484" s="11">
        <v>0.25</v>
      </c>
      <c r="E484" s="2">
        <f t="shared" si="36"/>
        <v>0.63</v>
      </c>
      <c r="F484" s="10">
        <v>0.02</v>
      </c>
      <c r="G484" s="10">
        <v>7.0000000000000007E-2</v>
      </c>
      <c r="H484" s="12">
        <f t="shared" si="37"/>
        <v>0.18</v>
      </c>
      <c r="I484" s="12">
        <f t="shared" si="38"/>
        <v>0.89999999999999991</v>
      </c>
      <c r="J484" s="2"/>
      <c r="K484" s="2"/>
      <c r="L484" s="2"/>
      <c r="M484" s="2"/>
      <c r="N484" s="2">
        <f>I484*1000</f>
        <v>899.99999999999989</v>
      </c>
      <c r="O484" s="2"/>
      <c r="P484" s="2"/>
      <c r="Q484" s="28">
        <f t="shared" si="35"/>
        <v>20</v>
      </c>
    </row>
    <row r="485" spans="1:17" hidden="1" x14ac:dyDescent="0.25">
      <c r="A485" s="16">
        <v>45637</v>
      </c>
      <c r="B485" s="2" t="s">
        <v>164</v>
      </c>
      <c r="C485" s="2">
        <v>420</v>
      </c>
      <c r="D485" s="11">
        <v>0.59199999999999997</v>
      </c>
      <c r="E485" s="2">
        <f t="shared" si="36"/>
        <v>0.42</v>
      </c>
      <c r="F485" s="10">
        <v>0.02</v>
      </c>
      <c r="G485" s="10">
        <v>7.0000000000000007E-2</v>
      </c>
      <c r="H485" s="12">
        <f t="shared" si="37"/>
        <v>0.30191999999999997</v>
      </c>
      <c r="I485" s="12">
        <f t="shared" si="38"/>
        <v>0.81191999999999998</v>
      </c>
      <c r="J485" s="2"/>
      <c r="K485" s="2"/>
      <c r="L485" s="2"/>
      <c r="M485" s="2">
        <f>I485*750</f>
        <v>608.93999999999994</v>
      </c>
      <c r="N485" s="2">
        <f>I485*1000</f>
        <v>811.92</v>
      </c>
      <c r="O485" s="2"/>
      <c r="P485" s="2"/>
      <c r="Q485" s="28">
        <f t="shared" ref="Q485:Q548" si="40">H485/I485%</f>
        <v>37.185929648241199</v>
      </c>
    </row>
    <row r="486" spans="1:17" hidden="1" x14ac:dyDescent="0.25">
      <c r="A486" s="16">
        <v>45637</v>
      </c>
      <c r="B486" s="2" t="s">
        <v>84</v>
      </c>
      <c r="C486" s="2">
        <v>750</v>
      </c>
      <c r="D486" s="11">
        <v>0.06</v>
      </c>
      <c r="E486" s="2">
        <f t="shared" si="36"/>
        <v>0.75</v>
      </c>
      <c r="F486" s="10">
        <v>0.02</v>
      </c>
      <c r="G486" s="10">
        <v>7.0000000000000007E-2</v>
      </c>
      <c r="H486" s="12">
        <f t="shared" si="37"/>
        <v>5.04E-2</v>
      </c>
      <c r="I486" s="12">
        <f t="shared" si="38"/>
        <v>0.89040000000000008</v>
      </c>
      <c r="J486" s="2"/>
      <c r="K486" s="2"/>
      <c r="L486" s="2">
        <f>I486*500</f>
        <v>445.20000000000005</v>
      </c>
      <c r="M486" s="2"/>
      <c r="N486" s="2"/>
      <c r="O486" s="2"/>
      <c r="P486" s="2"/>
      <c r="Q486" s="28">
        <f t="shared" si="40"/>
        <v>5.6603773584905657</v>
      </c>
    </row>
    <row r="487" spans="1:17" hidden="1" x14ac:dyDescent="0.25">
      <c r="A487" s="16">
        <v>45637</v>
      </c>
      <c r="B487" s="2" t="s">
        <v>100</v>
      </c>
      <c r="C487" s="2">
        <v>600</v>
      </c>
      <c r="D487" s="11">
        <v>0.17299999999999999</v>
      </c>
      <c r="E487" s="2">
        <f t="shared" si="36"/>
        <v>0.6</v>
      </c>
      <c r="F487" s="10">
        <v>0.02</v>
      </c>
      <c r="G487" s="10">
        <v>7.0000000000000007E-2</v>
      </c>
      <c r="H487" s="12">
        <f t="shared" si="37"/>
        <v>0.11936999999999998</v>
      </c>
      <c r="I487" s="12">
        <f t="shared" si="38"/>
        <v>0.80936999999999992</v>
      </c>
      <c r="J487" s="2"/>
      <c r="K487" s="2"/>
      <c r="L487" s="2">
        <f>I487*500</f>
        <v>404.68499999999995</v>
      </c>
      <c r="M487" s="2"/>
      <c r="N487" s="2"/>
      <c r="O487" s="2"/>
      <c r="P487" s="2"/>
      <c r="Q487" s="28">
        <f t="shared" si="40"/>
        <v>14.74850809889173</v>
      </c>
    </row>
    <row r="488" spans="1:17" hidden="1" x14ac:dyDescent="0.25">
      <c r="A488" s="16">
        <v>45637</v>
      </c>
      <c r="B488" s="2" t="s">
        <v>139</v>
      </c>
      <c r="C488" s="2">
        <v>1280</v>
      </c>
      <c r="D488" s="11">
        <v>0.255</v>
      </c>
      <c r="E488" s="2">
        <f t="shared" si="36"/>
        <v>1.28</v>
      </c>
      <c r="F488" s="10">
        <v>0.02</v>
      </c>
      <c r="G488" s="10">
        <v>7.0000000000000007E-2</v>
      </c>
      <c r="H488" s="12">
        <f t="shared" si="37"/>
        <v>0.34935000000000005</v>
      </c>
      <c r="I488" s="12">
        <f t="shared" si="38"/>
        <v>1.7193500000000002</v>
      </c>
      <c r="J488" s="2"/>
      <c r="K488" s="2">
        <f>I488*330</f>
        <v>567.38550000000009</v>
      </c>
      <c r="L488" s="2"/>
      <c r="M488" s="2"/>
      <c r="N488" s="2">
        <f>I488*1000</f>
        <v>1719.3500000000001</v>
      </c>
      <c r="O488" s="2"/>
      <c r="P488" s="2"/>
      <c r="Q488" s="28">
        <f t="shared" si="40"/>
        <v>20.318725099601597</v>
      </c>
    </row>
    <row r="489" spans="1:17" hidden="1" x14ac:dyDescent="0.25">
      <c r="A489" s="16">
        <v>45637</v>
      </c>
      <c r="B489" s="2" t="s">
        <v>96</v>
      </c>
      <c r="C489" s="2">
        <v>1400</v>
      </c>
      <c r="D489" s="11">
        <v>0.185</v>
      </c>
      <c r="E489" s="2">
        <f t="shared" si="36"/>
        <v>1.4</v>
      </c>
      <c r="F489" s="10">
        <v>0.02</v>
      </c>
      <c r="G489" s="10">
        <v>7.0000000000000007E-2</v>
      </c>
      <c r="H489" s="12">
        <f t="shared" si="37"/>
        <v>0.27565000000000001</v>
      </c>
      <c r="I489" s="12">
        <f t="shared" si="38"/>
        <v>1.7656499999999999</v>
      </c>
      <c r="J489" s="2"/>
      <c r="K489" s="2"/>
      <c r="L489" s="2">
        <f>I489*450</f>
        <v>794.54250000000002</v>
      </c>
      <c r="M489" s="2"/>
      <c r="N489" s="2">
        <f>I489*1000</f>
        <v>1765.6499999999999</v>
      </c>
      <c r="O489" s="2"/>
      <c r="P489" s="2"/>
      <c r="Q489" s="28">
        <f t="shared" si="40"/>
        <v>15.611814345991563</v>
      </c>
    </row>
    <row r="490" spans="1:17" hidden="1" x14ac:dyDescent="0.25">
      <c r="A490" s="16">
        <v>45638</v>
      </c>
      <c r="B490" s="2" t="s">
        <v>100</v>
      </c>
      <c r="C490" s="2">
        <v>600</v>
      </c>
      <c r="D490" s="11">
        <v>0.14499999999999999</v>
      </c>
      <c r="E490" s="2">
        <f t="shared" si="36"/>
        <v>0.6</v>
      </c>
      <c r="F490" s="10">
        <v>0.02</v>
      </c>
      <c r="G490" s="10">
        <v>7.0000000000000007E-2</v>
      </c>
      <c r="H490" s="12">
        <f t="shared" si="37"/>
        <v>0.10004999999999999</v>
      </c>
      <c r="I490" s="12">
        <f t="shared" si="38"/>
        <v>0.79004999999999992</v>
      </c>
      <c r="J490" s="2"/>
      <c r="K490" s="2"/>
      <c r="L490" s="2">
        <f>I490*500</f>
        <v>395.02499999999998</v>
      </c>
      <c r="M490" s="2"/>
      <c r="N490" s="2"/>
      <c r="O490" s="2"/>
      <c r="P490" s="2"/>
      <c r="Q490" s="28">
        <f t="shared" si="40"/>
        <v>12.663755458515283</v>
      </c>
    </row>
    <row r="491" spans="1:17" hidden="1" x14ac:dyDescent="0.25">
      <c r="A491" s="16">
        <v>45638</v>
      </c>
      <c r="B491" s="2" t="s">
        <v>109</v>
      </c>
      <c r="C491" s="2">
        <v>580</v>
      </c>
      <c r="D491" s="11">
        <v>0.26200000000000001</v>
      </c>
      <c r="E491" s="2">
        <f t="shared" si="36"/>
        <v>0.57999999999999996</v>
      </c>
      <c r="F491" s="10">
        <v>0.02</v>
      </c>
      <c r="G491" s="10">
        <v>7.0000000000000007E-2</v>
      </c>
      <c r="H491" s="12">
        <f t="shared" si="37"/>
        <v>0.17554</v>
      </c>
      <c r="I491" s="12">
        <f t="shared" si="38"/>
        <v>0.84553999999999996</v>
      </c>
      <c r="J491" s="2"/>
      <c r="K491" s="2"/>
      <c r="L491" s="2"/>
      <c r="M491" s="2"/>
      <c r="N491" s="2">
        <f>I491*1000</f>
        <v>845.54</v>
      </c>
      <c r="O491" s="2"/>
      <c r="P491" s="2"/>
      <c r="Q491" s="28">
        <f t="shared" si="40"/>
        <v>20.760697305863708</v>
      </c>
    </row>
    <row r="492" spans="1:17" hidden="1" x14ac:dyDescent="0.25">
      <c r="A492" s="16">
        <v>45638</v>
      </c>
      <c r="B492" s="2" t="s">
        <v>122</v>
      </c>
      <c r="C492" s="2">
        <v>580</v>
      </c>
      <c r="D492" s="11">
        <v>0.27</v>
      </c>
      <c r="E492" s="2">
        <f t="shared" si="36"/>
        <v>0.57999999999999996</v>
      </c>
      <c r="F492" s="10">
        <v>0.02</v>
      </c>
      <c r="G492" s="10">
        <v>7.0000000000000007E-2</v>
      </c>
      <c r="H492" s="12">
        <f t="shared" si="37"/>
        <v>0.18090000000000001</v>
      </c>
      <c r="I492" s="12">
        <f t="shared" si="38"/>
        <v>0.85089999999999999</v>
      </c>
      <c r="J492" s="2"/>
      <c r="K492" s="2"/>
      <c r="L492" s="2">
        <f>I492*500</f>
        <v>425.45</v>
      </c>
      <c r="M492" s="2"/>
      <c r="N492" s="2">
        <f>I492*1000</f>
        <v>850.9</v>
      </c>
      <c r="O492" s="2"/>
      <c r="P492" s="2"/>
      <c r="Q492" s="28">
        <f t="shared" si="40"/>
        <v>21.259842519685041</v>
      </c>
    </row>
    <row r="493" spans="1:17" x14ac:dyDescent="0.25">
      <c r="A493" s="16">
        <v>45639</v>
      </c>
      <c r="B493" s="2" t="s">
        <v>119</v>
      </c>
      <c r="C493" s="2">
        <v>600</v>
      </c>
      <c r="D493" s="11">
        <v>0.34399999999999997</v>
      </c>
      <c r="E493" s="2">
        <f t="shared" si="36"/>
        <v>0.6</v>
      </c>
      <c r="F493" s="10">
        <v>0.02</v>
      </c>
      <c r="G493" s="10">
        <v>7.0000000000000007E-2</v>
      </c>
      <c r="H493" s="12">
        <f t="shared" si="37"/>
        <v>0.23735999999999996</v>
      </c>
      <c r="I493" s="12">
        <f t="shared" si="38"/>
        <v>0.92735999999999996</v>
      </c>
      <c r="J493" s="2"/>
      <c r="K493" s="2"/>
      <c r="L493" s="2"/>
      <c r="M493" s="2">
        <f>I493*750</f>
        <v>695.52</v>
      </c>
      <c r="N493" s="2"/>
      <c r="O493" s="2"/>
      <c r="P493" s="2"/>
      <c r="Q493" s="28">
        <f t="shared" si="40"/>
        <v>25.595238095238091</v>
      </c>
    </row>
    <row r="494" spans="1:17" x14ac:dyDescent="0.25">
      <c r="A494" s="16">
        <v>45639</v>
      </c>
      <c r="B494" s="2" t="s">
        <v>127</v>
      </c>
      <c r="C494" s="2">
        <v>600</v>
      </c>
      <c r="D494" s="11">
        <v>0.28999999999999998</v>
      </c>
      <c r="E494" s="2">
        <f t="shared" si="36"/>
        <v>0.6</v>
      </c>
      <c r="F494" s="10">
        <v>0.02</v>
      </c>
      <c r="G494" s="10">
        <v>7.0000000000000007E-2</v>
      </c>
      <c r="H494" s="12">
        <f t="shared" si="37"/>
        <v>0.20009999999999997</v>
      </c>
      <c r="I494" s="12">
        <f t="shared" si="38"/>
        <v>0.89009999999999989</v>
      </c>
      <c r="J494" s="2"/>
      <c r="K494" s="2"/>
      <c r="L494" s="2">
        <f>I494*500</f>
        <v>445.04999999999995</v>
      </c>
      <c r="M494" s="2"/>
      <c r="N494" s="2"/>
      <c r="O494" s="2"/>
      <c r="P494" s="2"/>
      <c r="Q494" s="28">
        <f t="shared" si="40"/>
        <v>22.480620155038757</v>
      </c>
    </row>
    <row r="495" spans="1:17" ht="15.75" hidden="1" customHeight="1" x14ac:dyDescent="0.25">
      <c r="A495" s="16">
        <v>45639</v>
      </c>
      <c r="B495" s="2" t="s">
        <v>109</v>
      </c>
      <c r="C495" s="2">
        <v>500</v>
      </c>
      <c r="D495" s="11">
        <v>0.433</v>
      </c>
      <c r="E495" s="2">
        <f t="shared" si="36"/>
        <v>0.5</v>
      </c>
      <c r="F495" s="10">
        <v>0.02</v>
      </c>
      <c r="G495" s="10">
        <v>7.0000000000000007E-2</v>
      </c>
      <c r="H495" s="12">
        <f t="shared" si="37"/>
        <v>0.25547000000000003</v>
      </c>
      <c r="I495" s="12">
        <f t="shared" si="38"/>
        <v>0.84547000000000017</v>
      </c>
      <c r="J495" s="2"/>
      <c r="K495" s="2"/>
      <c r="L495" s="2"/>
      <c r="M495" s="2"/>
      <c r="N495" s="2">
        <f>I495*1000</f>
        <v>845.47000000000014</v>
      </c>
      <c r="O495" s="2"/>
      <c r="P495" s="2"/>
      <c r="Q495" s="28">
        <f t="shared" si="40"/>
        <v>30.216329378925327</v>
      </c>
    </row>
    <row r="496" spans="1:17" hidden="1" x14ac:dyDescent="0.25">
      <c r="A496" s="16">
        <v>45639</v>
      </c>
      <c r="B496" s="2" t="s">
        <v>149</v>
      </c>
      <c r="C496" s="2">
        <v>1500</v>
      </c>
      <c r="D496" s="11">
        <v>0.27900000000000003</v>
      </c>
      <c r="E496" s="2">
        <f t="shared" si="36"/>
        <v>1.5</v>
      </c>
      <c r="F496" s="10">
        <v>0.02</v>
      </c>
      <c r="G496" s="10">
        <v>7.0000000000000007E-2</v>
      </c>
      <c r="H496" s="12">
        <f t="shared" si="37"/>
        <v>0.44361000000000006</v>
      </c>
      <c r="I496" s="12">
        <f t="shared" si="38"/>
        <v>2.0336100000000004</v>
      </c>
      <c r="J496" s="2"/>
      <c r="K496" s="2"/>
      <c r="L496" s="2"/>
      <c r="M496" s="2">
        <f>I496*750</f>
        <v>1525.2075000000002</v>
      </c>
      <c r="N496" s="2"/>
      <c r="O496" s="2"/>
      <c r="P496" s="2"/>
      <c r="Q496" s="28">
        <f t="shared" si="40"/>
        <v>21.813917122752152</v>
      </c>
    </row>
    <row r="497" spans="1:17" hidden="1" x14ac:dyDescent="0.25">
      <c r="A497" s="16">
        <v>45639</v>
      </c>
      <c r="B497" s="2" t="s">
        <v>86</v>
      </c>
      <c r="C497" s="2">
        <v>980</v>
      </c>
      <c r="D497" s="11">
        <v>0.28999999999999998</v>
      </c>
      <c r="E497" s="2">
        <f t="shared" si="36"/>
        <v>0.98</v>
      </c>
      <c r="F497" s="10">
        <v>0.02</v>
      </c>
      <c r="G497" s="10">
        <v>7.0000000000000007E-2</v>
      </c>
      <c r="H497" s="12">
        <f t="shared" si="37"/>
        <v>0.31030000000000002</v>
      </c>
      <c r="I497" s="12">
        <f t="shared" si="38"/>
        <v>1.3803000000000001</v>
      </c>
      <c r="J497" s="2">
        <f>I497*250</f>
        <v>345.07500000000005</v>
      </c>
      <c r="K497" s="2"/>
      <c r="L497" s="2"/>
      <c r="M497" s="2"/>
      <c r="N497" s="2"/>
      <c r="O497" s="2"/>
      <c r="P497" s="2"/>
      <c r="Q497" s="28">
        <f t="shared" si="40"/>
        <v>22.480620155038761</v>
      </c>
    </row>
    <row r="498" spans="1:17" hidden="1" x14ac:dyDescent="0.25">
      <c r="A498" s="16">
        <v>45639</v>
      </c>
      <c r="B498" s="2" t="s">
        <v>85</v>
      </c>
      <c r="C498" s="2">
        <v>850</v>
      </c>
      <c r="D498" s="11">
        <v>0.22500000000000001</v>
      </c>
      <c r="E498" s="2">
        <f t="shared" si="36"/>
        <v>0.85</v>
      </c>
      <c r="F498" s="10">
        <v>0.02</v>
      </c>
      <c r="G498" s="10">
        <v>7.0000000000000007E-2</v>
      </c>
      <c r="H498" s="12">
        <f t="shared" si="37"/>
        <v>0.21149999999999999</v>
      </c>
      <c r="I498" s="12">
        <f t="shared" si="38"/>
        <v>1.1515</v>
      </c>
      <c r="J498" s="2"/>
      <c r="K498" s="2">
        <f>I498*300</f>
        <v>345.45</v>
      </c>
      <c r="L498" s="2"/>
      <c r="M498" s="2"/>
      <c r="N498" s="2"/>
      <c r="O498" s="2"/>
      <c r="P498" s="2"/>
      <c r="Q498" s="28">
        <f t="shared" si="40"/>
        <v>18.367346938775512</v>
      </c>
    </row>
    <row r="499" spans="1:17" hidden="1" x14ac:dyDescent="0.25">
      <c r="A499" s="16">
        <v>45640</v>
      </c>
      <c r="B499" s="2" t="s">
        <v>84</v>
      </c>
      <c r="C499" s="2"/>
      <c r="D499" s="11">
        <v>0</v>
      </c>
      <c r="E499" s="2">
        <f t="shared" si="36"/>
        <v>0</v>
      </c>
      <c r="F499" s="10">
        <v>0.02</v>
      </c>
      <c r="G499" s="10">
        <v>7.0000000000000007E-2</v>
      </c>
      <c r="H499" s="12">
        <f t="shared" si="37"/>
        <v>0</v>
      </c>
      <c r="I499" s="12">
        <f t="shared" si="38"/>
        <v>9.0000000000000011E-2</v>
      </c>
      <c r="J499" s="2"/>
      <c r="K499" s="2"/>
      <c r="L499" s="2">
        <f>I499*500</f>
        <v>45.000000000000007</v>
      </c>
      <c r="M499" s="2"/>
      <c r="N499" s="2"/>
      <c r="O499" s="2"/>
      <c r="P499" s="2"/>
      <c r="Q499" s="28">
        <f t="shared" si="40"/>
        <v>0</v>
      </c>
    </row>
    <row r="500" spans="1:17" x14ac:dyDescent="0.25">
      <c r="A500" s="16">
        <v>45641</v>
      </c>
      <c r="B500" s="2" t="s">
        <v>127</v>
      </c>
      <c r="C500" s="2">
        <v>620</v>
      </c>
      <c r="D500" s="11">
        <v>0.253</v>
      </c>
      <c r="E500" s="2">
        <f t="shared" si="36"/>
        <v>0.62</v>
      </c>
      <c r="F500" s="10">
        <v>0.02</v>
      </c>
      <c r="G500" s="10">
        <v>7.0000000000000007E-2</v>
      </c>
      <c r="H500" s="12">
        <f t="shared" si="37"/>
        <v>0.17962999999999998</v>
      </c>
      <c r="I500" s="12">
        <f t="shared" si="38"/>
        <v>0.88962999999999992</v>
      </c>
      <c r="J500" s="2"/>
      <c r="K500" s="2"/>
      <c r="L500" s="2">
        <f>I500*500</f>
        <v>444.81499999999994</v>
      </c>
      <c r="M500" s="2"/>
      <c r="N500" s="2"/>
      <c r="O500" s="2"/>
      <c r="P500" s="2"/>
      <c r="Q500" s="28">
        <f t="shared" si="40"/>
        <v>20.191540303272145</v>
      </c>
    </row>
    <row r="501" spans="1:17" hidden="1" x14ac:dyDescent="0.25">
      <c r="A501" s="16">
        <v>45643</v>
      </c>
      <c r="B501" s="2" t="s">
        <v>86</v>
      </c>
      <c r="C501" s="2">
        <v>850</v>
      </c>
      <c r="D501" s="11">
        <v>0.47</v>
      </c>
      <c r="E501" s="2">
        <f t="shared" si="36"/>
        <v>0.85</v>
      </c>
      <c r="F501" s="10">
        <v>0.02</v>
      </c>
      <c r="G501" s="10">
        <v>7.0000000000000007E-2</v>
      </c>
      <c r="H501" s="12">
        <f t="shared" si="37"/>
        <v>0.44179999999999997</v>
      </c>
      <c r="I501" s="12">
        <f t="shared" si="38"/>
        <v>1.3817999999999999</v>
      </c>
      <c r="J501" s="2">
        <f>I501*250</f>
        <v>345.45</v>
      </c>
      <c r="K501" s="2"/>
      <c r="L501" s="2"/>
      <c r="M501" s="2"/>
      <c r="N501" s="2"/>
      <c r="O501" s="2"/>
      <c r="P501" s="2"/>
      <c r="Q501" s="28">
        <f t="shared" si="40"/>
        <v>31.972789115646261</v>
      </c>
    </row>
    <row r="502" spans="1:17" hidden="1" x14ac:dyDescent="0.25">
      <c r="A502" s="16">
        <v>45643</v>
      </c>
      <c r="B502" s="2" t="s">
        <v>85</v>
      </c>
      <c r="C502" s="2">
        <v>850</v>
      </c>
      <c r="D502" s="11">
        <v>0.22500000000000001</v>
      </c>
      <c r="E502" s="2">
        <f t="shared" si="36"/>
        <v>0.85</v>
      </c>
      <c r="F502" s="10">
        <v>0.02</v>
      </c>
      <c r="G502" s="10">
        <v>7.0000000000000007E-2</v>
      </c>
      <c r="H502" s="12">
        <f t="shared" si="37"/>
        <v>0.21149999999999999</v>
      </c>
      <c r="I502" s="12">
        <f t="shared" si="38"/>
        <v>1.1515</v>
      </c>
      <c r="J502" s="2"/>
      <c r="K502" s="2">
        <f>I502*300</f>
        <v>345.45</v>
      </c>
      <c r="L502" s="2"/>
      <c r="M502" s="2"/>
      <c r="N502" s="2"/>
      <c r="O502" s="2"/>
      <c r="P502" s="2"/>
      <c r="Q502" s="28">
        <f t="shared" si="40"/>
        <v>18.367346938775512</v>
      </c>
    </row>
    <row r="503" spans="1:17" x14ac:dyDescent="0.25">
      <c r="A503" s="16">
        <v>45644</v>
      </c>
      <c r="B503" s="2" t="s">
        <v>119</v>
      </c>
      <c r="C503" s="2">
        <v>650</v>
      </c>
      <c r="D503" s="11">
        <v>0.253</v>
      </c>
      <c r="E503" s="2">
        <f t="shared" si="36"/>
        <v>0.65</v>
      </c>
      <c r="F503" s="10">
        <v>0.02</v>
      </c>
      <c r="G503" s="10">
        <v>7.0000000000000007E-2</v>
      </c>
      <c r="H503" s="12">
        <f t="shared" si="37"/>
        <v>0.18722</v>
      </c>
      <c r="I503" s="12">
        <f t="shared" si="38"/>
        <v>0.92721999999999993</v>
      </c>
      <c r="J503" s="2"/>
      <c r="K503" s="2"/>
      <c r="L503" s="2">
        <f>I503*500</f>
        <v>463.60999999999996</v>
      </c>
      <c r="M503" s="2">
        <f>I503*750</f>
        <v>695.41499999999996</v>
      </c>
      <c r="N503" s="2">
        <f>I503*1000</f>
        <v>927.21999999999991</v>
      </c>
      <c r="O503" s="2"/>
      <c r="P503" s="2"/>
      <c r="Q503" s="28">
        <f t="shared" si="40"/>
        <v>20.191540303272149</v>
      </c>
    </row>
    <row r="504" spans="1:17" hidden="1" x14ac:dyDescent="0.25">
      <c r="A504" s="16">
        <v>45644</v>
      </c>
      <c r="B504" s="2" t="s">
        <v>141</v>
      </c>
      <c r="C504" s="2">
        <v>450</v>
      </c>
      <c r="D504" s="11">
        <v>0.28799999999999998</v>
      </c>
      <c r="E504" s="2">
        <f t="shared" si="36"/>
        <v>0.45</v>
      </c>
      <c r="F504" s="10">
        <v>0.02</v>
      </c>
      <c r="G504" s="10">
        <v>7.0000000000000007E-2</v>
      </c>
      <c r="H504" s="12">
        <f t="shared" si="37"/>
        <v>0.15551999999999999</v>
      </c>
      <c r="I504" s="12">
        <f t="shared" si="38"/>
        <v>0.69552000000000003</v>
      </c>
      <c r="J504" s="2"/>
      <c r="K504" s="2"/>
      <c r="L504" s="2"/>
      <c r="M504" s="2"/>
      <c r="N504" s="2">
        <f>I504*1000</f>
        <v>695.52</v>
      </c>
      <c r="O504" s="2"/>
      <c r="P504" s="2"/>
      <c r="Q504" s="28">
        <f t="shared" si="40"/>
        <v>22.360248447204967</v>
      </c>
    </row>
    <row r="505" spans="1:17" hidden="1" x14ac:dyDescent="0.25">
      <c r="A505" s="16">
        <v>45644</v>
      </c>
      <c r="B505" s="2" t="s">
        <v>164</v>
      </c>
      <c r="C505" s="2">
        <v>450</v>
      </c>
      <c r="D505" s="11">
        <v>0.29799999999999999</v>
      </c>
      <c r="E505" s="2">
        <f t="shared" si="36"/>
        <v>0.45</v>
      </c>
      <c r="F505" s="10">
        <v>0.02</v>
      </c>
      <c r="G505" s="10">
        <v>7.0000000000000007E-2</v>
      </c>
      <c r="H505" s="12">
        <f t="shared" si="37"/>
        <v>0.16092000000000001</v>
      </c>
      <c r="I505" s="12">
        <f t="shared" si="38"/>
        <v>0.70091999999999999</v>
      </c>
      <c r="J505" s="2"/>
      <c r="K505" s="2"/>
      <c r="L505" s="2"/>
      <c r="M505" s="2">
        <f>I505*750</f>
        <v>525.68999999999994</v>
      </c>
      <c r="N505" s="2">
        <f>I505*1000</f>
        <v>700.92</v>
      </c>
      <c r="O505" s="2"/>
      <c r="P505" s="2"/>
      <c r="Q505" s="28">
        <f t="shared" si="40"/>
        <v>22.958397534668723</v>
      </c>
    </row>
    <row r="506" spans="1:17" ht="15.75" hidden="1" customHeight="1" x14ac:dyDescent="0.25">
      <c r="A506" s="16">
        <v>45644</v>
      </c>
      <c r="B506" s="2" t="s">
        <v>139</v>
      </c>
      <c r="C506" s="2">
        <v>1200</v>
      </c>
      <c r="D506" s="11">
        <v>0.28199999999999997</v>
      </c>
      <c r="E506" s="2">
        <f t="shared" si="36"/>
        <v>1.2</v>
      </c>
      <c r="F506" s="10">
        <v>0.02</v>
      </c>
      <c r="G506" s="10">
        <v>7.0000000000000007E-2</v>
      </c>
      <c r="H506" s="12">
        <f t="shared" si="37"/>
        <v>0.36377999999999999</v>
      </c>
      <c r="I506" s="12">
        <f t="shared" si="38"/>
        <v>1.65378</v>
      </c>
      <c r="J506" s="2"/>
      <c r="K506" s="2">
        <f>I506*330</f>
        <v>545.74739999999997</v>
      </c>
      <c r="L506" s="2"/>
      <c r="M506" s="2"/>
      <c r="N506" s="2">
        <f>I506*1000</f>
        <v>1653.78</v>
      </c>
      <c r="O506" s="2"/>
      <c r="P506" s="2"/>
      <c r="Q506" s="28">
        <f t="shared" si="40"/>
        <v>21.996879875195006</v>
      </c>
    </row>
    <row r="507" spans="1:17" hidden="1" x14ac:dyDescent="0.25">
      <c r="A507" s="16">
        <v>45644</v>
      </c>
      <c r="B507" s="2" t="s">
        <v>85</v>
      </c>
      <c r="C507" s="2">
        <v>840</v>
      </c>
      <c r="D507" s="11">
        <v>0.24</v>
      </c>
      <c r="E507" s="2">
        <f t="shared" si="36"/>
        <v>0.84</v>
      </c>
      <c r="F507" s="10">
        <v>0.02</v>
      </c>
      <c r="G507" s="10">
        <v>7.0000000000000007E-2</v>
      </c>
      <c r="H507" s="12">
        <f t="shared" si="37"/>
        <v>0.22319999999999998</v>
      </c>
      <c r="I507" s="12">
        <f t="shared" si="38"/>
        <v>1.1532</v>
      </c>
      <c r="J507" s="2"/>
      <c r="K507" s="2">
        <f>I507*300</f>
        <v>345.96</v>
      </c>
      <c r="L507" s="2"/>
      <c r="M507" s="2"/>
      <c r="N507" s="2"/>
      <c r="O507" s="2"/>
      <c r="P507" s="2"/>
      <c r="Q507" s="28">
        <f t="shared" si="40"/>
        <v>19.354838709677416</v>
      </c>
    </row>
    <row r="508" spans="1:17" hidden="1" x14ac:dyDescent="0.25">
      <c r="A508" s="16">
        <v>45645</v>
      </c>
      <c r="B508" s="2" t="s">
        <v>139</v>
      </c>
      <c r="C508" s="2">
        <v>1250</v>
      </c>
      <c r="D508" s="11">
        <v>0.23400000000000001</v>
      </c>
      <c r="E508" s="2">
        <f t="shared" si="36"/>
        <v>1.25</v>
      </c>
      <c r="F508" s="10">
        <v>0.02</v>
      </c>
      <c r="G508" s="10">
        <v>7.0000000000000007E-2</v>
      </c>
      <c r="H508" s="12">
        <f t="shared" si="37"/>
        <v>0.31356000000000006</v>
      </c>
      <c r="I508" s="12">
        <f t="shared" si="38"/>
        <v>1.6535600000000001</v>
      </c>
      <c r="J508" s="2"/>
      <c r="K508" s="2">
        <f>I508*330</f>
        <v>545.6748</v>
      </c>
      <c r="L508" s="2"/>
      <c r="M508" s="2"/>
      <c r="N508" s="2">
        <f>I508*1000</f>
        <v>1653.5600000000002</v>
      </c>
      <c r="O508" s="2"/>
      <c r="P508" s="2"/>
      <c r="Q508" s="28">
        <f t="shared" si="40"/>
        <v>18.962722852512158</v>
      </c>
    </row>
    <row r="509" spans="1:17" x14ac:dyDescent="0.25">
      <c r="A509" s="16">
        <v>45646</v>
      </c>
      <c r="B509" s="2" t="s">
        <v>136</v>
      </c>
      <c r="C509" s="2">
        <v>650</v>
      </c>
      <c r="D509" s="11">
        <v>0.21</v>
      </c>
      <c r="E509" s="2">
        <f t="shared" si="36"/>
        <v>0.65</v>
      </c>
      <c r="F509" s="10">
        <v>0.02</v>
      </c>
      <c r="G509" s="10">
        <v>7.0000000000000007E-2</v>
      </c>
      <c r="H509" s="12">
        <f t="shared" si="37"/>
        <v>0.15539999999999998</v>
      </c>
      <c r="I509" s="12">
        <f t="shared" si="38"/>
        <v>0.89539999999999997</v>
      </c>
      <c r="J509" s="2"/>
      <c r="K509" s="2"/>
      <c r="L509" s="2"/>
      <c r="M509" s="2"/>
      <c r="N509" s="2">
        <f>I509*1000</f>
        <v>895.4</v>
      </c>
      <c r="O509" s="2"/>
      <c r="P509" s="2"/>
      <c r="Q509" s="28">
        <f t="shared" si="40"/>
        <v>17.355371900826444</v>
      </c>
    </row>
    <row r="510" spans="1:17" hidden="1" x14ac:dyDescent="0.25">
      <c r="A510" s="16">
        <v>45646</v>
      </c>
      <c r="B510" s="2" t="s">
        <v>141</v>
      </c>
      <c r="C510" s="2">
        <v>500</v>
      </c>
      <c r="D510" s="11">
        <v>0.34799999999999998</v>
      </c>
      <c r="E510" s="2">
        <f t="shared" si="36"/>
        <v>0.5</v>
      </c>
      <c r="F510" s="10">
        <v>0.02</v>
      </c>
      <c r="G510" s="10">
        <v>7.0000000000000007E-2</v>
      </c>
      <c r="H510" s="12">
        <f t="shared" si="37"/>
        <v>0.20532</v>
      </c>
      <c r="I510" s="12">
        <f t="shared" si="38"/>
        <v>0.79532000000000003</v>
      </c>
      <c r="J510" s="2"/>
      <c r="K510" s="2"/>
      <c r="L510" s="2"/>
      <c r="M510" s="2"/>
      <c r="N510" s="2">
        <f>I510*1000</f>
        <v>795.32</v>
      </c>
      <c r="O510" s="2"/>
      <c r="P510" s="2"/>
      <c r="Q510" s="28">
        <f t="shared" si="40"/>
        <v>25.816023738872403</v>
      </c>
    </row>
    <row r="511" spans="1:17" hidden="1" x14ac:dyDescent="0.25">
      <c r="A511" s="16">
        <v>45646</v>
      </c>
      <c r="B511" s="2" t="s">
        <v>84</v>
      </c>
      <c r="C511" s="2">
        <v>700</v>
      </c>
      <c r="D511" s="11">
        <v>7.5999999999999998E-2</v>
      </c>
      <c r="E511" s="2">
        <f t="shared" si="36"/>
        <v>0.7</v>
      </c>
      <c r="F511" s="10">
        <v>0.02</v>
      </c>
      <c r="G511" s="10">
        <v>7.0000000000000007E-2</v>
      </c>
      <c r="H511" s="12">
        <f t="shared" si="37"/>
        <v>6.0040000000000003E-2</v>
      </c>
      <c r="I511" s="12">
        <f t="shared" si="38"/>
        <v>0.85004000000000002</v>
      </c>
      <c r="J511" s="2"/>
      <c r="K511" s="2"/>
      <c r="L511" s="2">
        <f>I511*500</f>
        <v>425.02</v>
      </c>
      <c r="M511" s="2"/>
      <c r="N511" s="2"/>
      <c r="O511" s="2"/>
      <c r="P511" s="2"/>
      <c r="Q511" s="28">
        <f t="shared" si="40"/>
        <v>7.0631970260223049</v>
      </c>
    </row>
    <row r="512" spans="1:17" hidden="1" x14ac:dyDescent="0.25">
      <c r="A512" s="16">
        <v>45646</v>
      </c>
      <c r="B512" s="2" t="s">
        <v>109</v>
      </c>
      <c r="C512" s="2">
        <v>550</v>
      </c>
      <c r="D512" s="11">
        <v>0.24299999999999999</v>
      </c>
      <c r="E512" s="2">
        <f t="shared" si="36"/>
        <v>0.55000000000000004</v>
      </c>
      <c r="F512" s="10">
        <v>0.02</v>
      </c>
      <c r="G512" s="10">
        <v>7.0000000000000007E-2</v>
      </c>
      <c r="H512" s="12">
        <f t="shared" si="37"/>
        <v>0.15552000000000002</v>
      </c>
      <c r="I512" s="12">
        <f t="shared" si="38"/>
        <v>0.79552000000000012</v>
      </c>
      <c r="J512" s="2"/>
      <c r="K512" s="2"/>
      <c r="L512" s="2"/>
      <c r="M512" s="2"/>
      <c r="N512" s="2">
        <f>I512*1000</f>
        <v>795.5200000000001</v>
      </c>
      <c r="O512" s="2"/>
      <c r="P512" s="2"/>
      <c r="Q512" s="28">
        <f t="shared" si="40"/>
        <v>19.549477071600965</v>
      </c>
    </row>
    <row r="513" spans="1:17" hidden="1" x14ac:dyDescent="0.25">
      <c r="A513" s="16">
        <v>45646</v>
      </c>
      <c r="B513" s="2" t="s">
        <v>122</v>
      </c>
      <c r="C513" s="2">
        <v>550</v>
      </c>
      <c r="D513" s="11">
        <v>0.23499999999999999</v>
      </c>
      <c r="E513" s="2">
        <f t="shared" si="36"/>
        <v>0.55000000000000004</v>
      </c>
      <c r="F513" s="10">
        <v>0.02</v>
      </c>
      <c r="G513" s="10">
        <v>7.0000000000000007E-2</v>
      </c>
      <c r="H513" s="12">
        <f t="shared" si="37"/>
        <v>0.15040000000000003</v>
      </c>
      <c r="I513" s="12">
        <f t="shared" si="38"/>
        <v>0.79040000000000021</v>
      </c>
      <c r="J513" s="2"/>
      <c r="K513" s="2"/>
      <c r="L513" s="2">
        <f>I513*500</f>
        <v>395.2000000000001</v>
      </c>
      <c r="M513" s="2"/>
      <c r="N513" s="2">
        <f>I513*1000</f>
        <v>790.4000000000002</v>
      </c>
      <c r="O513" s="2"/>
      <c r="P513" s="2"/>
      <c r="Q513" s="28">
        <f t="shared" si="40"/>
        <v>19.02834008097166</v>
      </c>
    </row>
    <row r="514" spans="1:17" hidden="1" x14ac:dyDescent="0.25">
      <c r="A514" s="16">
        <v>45646</v>
      </c>
      <c r="B514" s="2" t="s">
        <v>123</v>
      </c>
      <c r="C514" s="2">
        <v>1250</v>
      </c>
      <c r="D514" s="11">
        <v>0.187</v>
      </c>
      <c r="E514" s="2">
        <f t="shared" si="36"/>
        <v>1.25</v>
      </c>
      <c r="F514" s="10">
        <v>0.02</v>
      </c>
      <c r="G514" s="10">
        <v>7.0000000000000007E-2</v>
      </c>
      <c r="H514" s="12">
        <f t="shared" si="37"/>
        <v>0.25058000000000002</v>
      </c>
      <c r="I514" s="12">
        <f t="shared" si="38"/>
        <v>1.5905800000000001</v>
      </c>
      <c r="J514" s="2"/>
      <c r="K514" s="2"/>
      <c r="L514" s="2">
        <f>I514*500</f>
        <v>795.29000000000008</v>
      </c>
      <c r="M514" s="2"/>
      <c r="N514" s="2"/>
      <c r="O514" s="2"/>
      <c r="P514" s="2"/>
      <c r="Q514" s="28">
        <f t="shared" si="40"/>
        <v>15.754001684919967</v>
      </c>
    </row>
    <row r="515" spans="1:17" hidden="1" x14ac:dyDescent="0.25">
      <c r="A515" s="16">
        <v>45646</v>
      </c>
      <c r="B515" s="2" t="s">
        <v>131</v>
      </c>
      <c r="C515" s="2">
        <v>1250</v>
      </c>
      <c r="D515" s="11">
        <v>5.6000000000000001E-2</v>
      </c>
      <c r="E515" s="2">
        <f t="shared" si="36"/>
        <v>1.25</v>
      </c>
      <c r="F515" s="10">
        <v>0.02</v>
      </c>
      <c r="G515" s="10">
        <v>7.0000000000000007E-2</v>
      </c>
      <c r="H515" s="12">
        <f t="shared" si="37"/>
        <v>7.5040000000000009E-2</v>
      </c>
      <c r="I515" s="12">
        <f t="shared" si="38"/>
        <v>1.4150400000000001</v>
      </c>
      <c r="J515" s="2"/>
      <c r="K515" s="2">
        <f>I515*350</f>
        <v>495.26400000000001</v>
      </c>
      <c r="L515" s="2"/>
      <c r="M515" s="2"/>
      <c r="N515" s="2">
        <f>I515*1000</f>
        <v>1415.04</v>
      </c>
      <c r="O515" s="2"/>
      <c r="P515" s="2"/>
      <c r="Q515" s="28">
        <f t="shared" si="40"/>
        <v>5.3030303030303036</v>
      </c>
    </row>
    <row r="516" spans="1:17" hidden="1" x14ac:dyDescent="0.25">
      <c r="A516" s="16">
        <v>45646</v>
      </c>
      <c r="B516" s="2" t="s">
        <v>85</v>
      </c>
      <c r="C516" s="2">
        <v>850</v>
      </c>
      <c r="D516" s="11">
        <v>0.22500000000000001</v>
      </c>
      <c r="E516" s="2">
        <f t="shared" ref="E516:E579" si="41">C516/1000</f>
        <v>0.85</v>
      </c>
      <c r="F516" s="10">
        <v>0.02</v>
      </c>
      <c r="G516" s="10">
        <v>7.0000000000000007E-2</v>
      </c>
      <c r="H516" s="12">
        <f t="shared" ref="H516:H579" si="42">SUM(E516:G516)*D516</f>
        <v>0.21149999999999999</v>
      </c>
      <c r="I516" s="12">
        <f t="shared" ref="I516:I579" si="43">SUM(E516:H516)</f>
        <v>1.1515</v>
      </c>
      <c r="J516" s="2"/>
      <c r="K516" s="2">
        <f>I516*300</f>
        <v>345.45</v>
      </c>
      <c r="L516" s="2"/>
      <c r="M516" s="2"/>
      <c r="N516" s="2"/>
      <c r="O516" s="2"/>
      <c r="P516" s="2"/>
      <c r="Q516" s="28">
        <f t="shared" si="40"/>
        <v>18.367346938775512</v>
      </c>
    </row>
    <row r="517" spans="1:17" x14ac:dyDescent="0.25">
      <c r="A517" s="16">
        <v>45647</v>
      </c>
      <c r="B517" s="2" t="s">
        <v>127</v>
      </c>
      <c r="C517" s="2">
        <v>620</v>
      </c>
      <c r="D517" s="11">
        <v>0.255</v>
      </c>
      <c r="E517" s="2">
        <f t="shared" si="41"/>
        <v>0.62</v>
      </c>
      <c r="F517" s="10">
        <v>0.02</v>
      </c>
      <c r="G517" s="10">
        <v>7.0000000000000007E-2</v>
      </c>
      <c r="H517" s="12">
        <f t="shared" si="42"/>
        <v>0.18104999999999999</v>
      </c>
      <c r="I517" s="12">
        <f t="shared" si="43"/>
        <v>0.8910499999999999</v>
      </c>
      <c r="J517" s="2"/>
      <c r="K517" s="2"/>
      <c r="L517" s="2">
        <f>I517*500</f>
        <v>445.52499999999998</v>
      </c>
      <c r="M517" s="2"/>
      <c r="N517" s="2"/>
      <c r="O517" s="2"/>
      <c r="P517" s="2"/>
      <c r="Q517" s="28">
        <f t="shared" si="40"/>
        <v>20.318725099601597</v>
      </c>
    </row>
    <row r="518" spans="1:17" hidden="1" x14ac:dyDescent="0.25">
      <c r="A518" s="16">
        <v>45647</v>
      </c>
      <c r="B518" s="2" t="s">
        <v>100</v>
      </c>
      <c r="C518" s="2">
        <v>650</v>
      </c>
      <c r="D518" s="11">
        <v>0.20300000000000001</v>
      </c>
      <c r="E518" s="2">
        <f t="shared" si="41"/>
        <v>0.65</v>
      </c>
      <c r="F518" s="10">
        <v>0.02</v>
      </c>
      <c r="G518" s="10">
        <v>7.0000000000000007E-2</v>
      </c>
      <c r="H518" s="12">
        <f t="shared" si="42"/>
        <v>0.15022000000000002</v>
      </c>
      <c r="I518" s="12">
        <f t="shared" si="43"/>
        <v>0.89022000000000001</v>
      </c>
      <c r="J518" s="2"/>
      <c r="K518" s="2"/>
      <c r="L518" s="2">
        <f>I518*500</f>
        <v>445.11</v>
      </c>
      <c r="M518" s="2"/>
      <c r="N518" s="2"/>
      <c r="O518" s="2"/>
      <c r="P518" s="2"/>
      <c r="Q518" s="28">
        <f t="shared" si="40"/>
        <v>16.874480465502909</v>
      </c>
    </row>
    <row r="519" spans="1:17" hidden="1" x14ac:dyDescent="0.25">
      <c r="A519" s="16">
        <v>45647</v>
      </c>
      <c r="B519" s="2" t="s">
        <v>131</v>
      </c>
      <c r="C519" s="2">
        <v>1200</v>
      </c>
      <c r="D519" s="11">
        <v>9.8000000000000004E-2</v>
      </c>
      <c r="E519" s="2">
        <f t="shared" si="41"/>
        <v>1.2</v>
      </c>
      <c r="F519" s="10">
        <v>0.02</v>
      </c>
      <c r="G519" s="10">
        <v>7.0000000000000007E-2</v>
      </c>
      <c r="H519" s="12">
        <f t="shared" si="42"/>
        <v>0.12642</v>
      </c>
      <c r="I519" s="12">
        <f t="shared" si="43"/>
        <v>1.41642</v>
      </c>
      <c r="J519" s="2"/>
      <c r="K519" s="2">
        <f>I519*350</f>
        <v>495.74700000000001</v>
      </c>
      <c r="L519" s="2"/>
      <c r="M519" s="2"/>
      <c r="N519" s="2">
        <f>I519*1000</f>
        <v>1416.42</v>
      </c>
      <c r="O519" s="2"/>
      <c r="P519" s="2"/>
      <c r="Q519" s="28">
        <f t="shared" si="40"/>
        <v>8.9253187613843359</v>
      </c>
    </row>
    <row r="520" spans="1:17" hidden="1" x14ac:dyDescent="0.25">
      <c r="A520" s="45">
        <v>45647</v>
      </c>
      <c r="B520" s="40" t="s">
        <v>139</v>
      </c>
      <c r="C520" s="40">
        <v>1300</v>
      </c>
      <c r="D520" s="39">
        <v>0.29799999999999999</v>
      </c>
      <c r="E520" s="40">
        <f t="shared" si="41"/>
        <v>1.3</v>
      </c>
      <c r="F520" s="41">
        <v>0.02</v>
      </c>
      <c r="G520" s="41">
        <v>7.0000000000000007E-2</v>
      </c>
      <c r="H520" s="42">
        <f t="shared" si="42"/>
        <v>0.41422000000000003</v>
      </c>
      <c r="I520" s="42">
        <f t="shared" si="43"/>
        <v>1.8042200000000002</v>
      </c>
      <c r="J520" s="40"/>
      <c r="K520" s="40">
        <f>I520*330</f>
        <v>595.39260000000002</v>
      </c>
      <c r="L520" s="40"/>
      <c r="M520" s="40"/>
      <c r="N520" s="40">
        <f>I520*1000</f>
        <v>1804.2200000000003</v>
      </c>
      <c r="O520" s="40"/>
      <c r="P520" s="40"/>
      <c r="Q520" s="43">
        <f t="shared" si="40"/>
        <v>22.95839753466872</v>
      </c>
    </row>
    <row r="521" spans="1:17" x14ac:dyDescent="0.25">
      <c r="A521" s="16">
        <v>45648</v>
      </c>
      <c r="B521" s="2" t="s">
        <v>119</v>
      </c>
      <c r="C521" s="2">
        <v>700</v>
      </c>
      <c r="D521" s="11">
        <v>0.17299999999999999</v>
      </c>
      <c r="E521" s="2">
        <f t="shared" si="41"/>
        <v>0.7</v>
      </c>
      <c r="F521" s="10">
        <v>0.02</v>
      </c>
      <c r="G521" s="10">
        <v>7.0000000000000007E-2</v>
      </c>
      <c r="H521" s="12">
        <f t="shared" si="42"/>
        <v>0.13666999999999999</v>
      </c>
      <c r="I521" s="12">
        <f t="shared" si="43"/>
        <v>0.92666999999999999</v>
      </c>
      <c r="J521" s="2"/>
      <c r="K521" s="2"/>
      <c r="L521" s="2" t="s">
        <v>72</v>
      </c>
      <c r="M521" s="2">
        <f>I521*750</f>
        <v>695.00249999999994</v>
      </c>
      <c r="N521" s="2">
        <f>I521*1000</f>
        <v>926.67</v>
      </c>
      <c r="O521" s="2"/>
      <c r="P521" s="2"/>
      <c r="Q521" s="28">
        <f t="shared" si="40"/>
        <v>14.74850809889173</v>
      </c>
    </row>
    <row r="522" spans="1:17" x14ac:dyDescent="0.25">
      <c r="A522" s="46">
        <v>45648</v>
      </c>
      <c r="B522" s="47" t="s">
        <v>127</v>
      </c>
      <c r="C522" s="47">
        <v>700</v>
      </c>
      <c r="D522" s="48">
        <v>0.127</v>
      </c>
      <c r="E522" s="47">
        <f t="shared" si="41"/>
        <v>0.7</v>
      </c>
      <c r="F522" s="49">
        <v>0.02</v>
      </c>
      <c r="G522" s="49">
        <v>7.0000000000000007E-2</v>
      </c>
      <c r="H522" s="50">
        <f t="shared" si="42"/>
        <v>0.10033</v>
      </c>
      <c r="I522" s="50">
        <f t="shared" si="43"/>
        <v>0.89033000000000007</v>
      </c>
      <c r="J522" s="47"/>
      <c r="K522" s="47"/>
      <c r="L522" s="47">
        <f>I522*500</f>
        <v>445.16500000000002</v>
      </c>
      <c r="M522" s="47"/>
      <c r="N522" s="47"/>
      <c r="O522" s="47"/>
      <c r="P522" s="47"/>
      <c r="Q522" s="51">
        <f t="shared" si="40"/>
        <v>11.268855368234249</v>
      </c>
    </row>
    <row r="523" spans="1:17" hidden="1" x14ac:dyDescent="0.25">
      <c r="A523" s="16">
        <v>45648</v>
      </c>
      <c r="B523" s="2" t="s">
        <v>141</v>
      </c>
      <c r="C523" s="2">
        <v>480</v>
      </c>
      <c r="D523" s="11">
        <v>0.39500000000000002</v>
      </c>
      <c r="E523" s="2">
        <f t="shared" si="41"/>
        <v>0.48</v>
      </c>
      <c r="F523" s="10">
        <v>0.02</v>
      </c>
      <c r="G523" s="10">
        <v>7.0000000000000007E-2</v>
      </c>
      <c r="H523" s="12">
        <f t="shared" si="42"/>
        <v>0.22515000000000004</v>
      </c>
      <c r="I523" s="12">
        <f t="shared" si="43"/>
        <v>0.79515000000000013</v>
      </c>
      <c r="J523" s="2"/>
      <c r="K523" s="2"/>
      <c r="L523" s="2"/>
      <c r="M523" s="2"/>
      <c r="N523" s="2">
        <f>I523*1000</f>
        <v>795.15000000000009</v>
      </c>
      <c r="O523" s="2"/>
      <c r="P523" s="2"/>
      <c r="Q523" s="28">
        <f t="shared" si="40"/>
        <v>28.315412186379927</v>
      </c>
    </row>
    <row r="524" spans="1:17" hidden="1" x14ac:dyDescent="0.25">
      <c r="A524" s="16">
        <v>45648</v>
      </c>
      <c r="B524" s="2" t="s">
        <v>164</v>
      </c>
      <c r="C524" s="2">
        <v>480</v>
      </c>
      <c r="D524" s="11">
        <v>0.39200000000000002</v>
      </c>
      <c r="E524" s="2">
        <f t="shared" si="41"/>
        <v>0.48</v>
      </c>
      <c r="F524" s="10">
        <v>0.02</v>
      </c>
      <c r="G524" s="10">
        <v>7.0000000000000007E-2</v>
      </c>
      <c r="H524" s="12">
        <f t="shared" si="42"/>
        <v>0.22344000000000003</v>
      </c>
      <c r="I524" s="12">
        <f t="shared" si="43"/>
        <v>0.79344000000000015</v>
      </c>
      <c r="J524" s="2"/>
      <c r="K524" s="2"/>
      <c r="L524" s="2"/>
      <c r="M524" s="2">
        <f>I524*750</f>
        <v>595.08000000000015</v>
      </c>
      <c r="N524" s="2">
        <f>I524*1000</f>
        <v>793.44000000000017</v>
      </c>
      <c r="O524" s="2"/>
      <c r="P524" s="2"/>
      <c r="Q524" s="28">
        <f t="shared" si="40"/>
        <v>28.160919540229884</v>
      </c>
    </row>
    <row r="525" spans="1:17" hidden="1" x14ac:dyDescent="0.25">
      <c r="A525" s="16">
        <v>45648</v>
      </c>
      <c r="B525" s="2" t="s">
        <v>84</v>
      </c>
      <c r="C525" s="2">
        <v>600</v>
      </c>
      <c r="D525" s="11">
        <v>0.23400000000000001</v>
      </c>
      <c r="E525" s="2">
        <f t="shared" si="41"/>
        <v>0.6</v>
      </c>
      <c r="F525" s="10">
        <v>0.02</v>
      </c>
      <c r="G525" s="10">
        <v>7.0000000000000007E-2</v>
      </c>
      <c r="H525" s="12">
        <f t="shared" si="42"/>
        <v>0.16145999999999999</v>
      </c>
      <c r="I525" s="12">
        <f t="shared" si="43"/>
        <v>0.85145999999999988</v>
      </c>
      <c r="J525" s="2"/>
      <c r="K525" s="2"/>
      <c r="L525" s="2">
        <f>I525*500</f>
        <v>425.72999999999996</v>
      </c>
      <c r="M525" s="2"/>
      <c r="N525" s="2"/>
      <c r="O525" s="2"/>
      <c r="P525" s="2"/>
      <c r="Q525" s="28">
        <f t="shared" si="40"/>
        <v>18.962722852512158</v>
      </c>
    </row>
    <row r="526" spans="1:17" hidden="1" x14ac:dyDescent="0.25">
      <c r="A526" s="16">
        <v>45648</v>
      </c>
      <c r="B526" s="2" t="s">
        <v>100</v>
      </c>
      <c r="C526" s="2">
        <v>700</v>
      </c>
      <c r="D526" s="11">
        <v>0</v>
      </c>
      <c r="E526" s="2">
        <f t="shared" si="41"/>
        <v>0.7</v>
      </c>
      <c r="F526" s="10">
        <v>0.02</v>
      </c>
      <c r="G526" s="10">
        <v>7.0000000000000007E-2</v>
      </c>
      <c r="H526" s="12">
        <f t="shared" si="42"/>
        <v>0</v>
      </c>
      <c r="I526" s="12">
        <f t="shared" si="43"/>
        <v>0.79</v>
      </c>
      <c r="J526" s="2"/>
      <c r="K526" s="2"/>
      <c r="L526" s="2">
        <f>I526*500</f>
        <v>395</v>
      </c>
      <c r="M526" s="2"/>
      <c r="N526" s="2"/>
      <c r="O526" s="2"/>
      <c r="P526" s="2"/>
      <c r="Q526" s="28">
        <f t="shared" si="40"/>
        <v>0</v>
      </c>
    </row>
    <row r="527" spans="1:17" ht="15.75" hidden="1" customHeight="1" x14ac:dyDescent="0.25">
      <c r="A527" s="16">
        <v>45648</v>
      </c>
      <c r="B527" s="2" t="s">
        <v>109</v>
      </c>
      <c r="C527" s="2">
        <v>670</v>
      </c>
      <c r="D527" s="11">
        <v>4.7E-2</v>
      </c>
      <c r="E527" s="2">
        <f t="shared" si="41"/>
        <v>0.67</v>
      </c>
      <c r="F527" s="10">
        <v>0.02</v>
      </c>
      <c r="G527" s="10">
        <v>7.0000000000000007E-2</v>
      </c>
      <c r="H527" s="12">
        <f t="shared" si="42"/>
        <v>3.5720000000000002E-2</v>
      </c>
      <c r="I527" s="12">
        <f t="shared" si="43"/>
        <v>0.79571999999999998</v>
      </c>
      <c r="J527" s="2"/>
      <c r="K527" s="2"/>
      <c r="L527" s="2"/>
      <c r="M527" s="2"/>
      <c r="N527" s="2">
        <f>I527*1000</f>
        <v>795.72</v>
      </c>
      <c r="O527" s="2"/>
      <c r="P527" s="2"/>
      <c r="Q527" s="28">
        <f t="shared" si="40"/>
        <v>4.4890162368672399</v>
      </c>
    </row>
    <row r="528" spans="1:17" hidden="1" x14ac:dyDescent="0.25">
      <c r="A528" s="16">
        <v>45648</v>
      </c>
      <c r="B528" s="2" t="s">
        <v>187</v>
      </c>
      <c r="C528" s="2">
        <v>170</v>
      </c>
      <c r="D528" s="11">
        <v>0.06</v>
      </c>
      <c r="E528" s="2">
        <f t="shared" si="41"/>
        <v>0.17</v>
      </c>
      <c r="F528" s="10">
        <v>0.02</v>
      </c>
      <c r="G528" s="10">
        <v>7.0000000000000007E-2</v>
      </c>
      <c r="H528" s="12">
        <f t="shared" si="42"/>
        <v>1.5599999999999999E-2</v>
      </c>
      <c r="I528" s="12">
        <f t="shared" si="43"/>
        <v>0.27560000000000001</v>
      </c>
      <c r="J528" s="2"/>
      <c r="K528" s="2"/>
      <c r="L528" s="2"/>
      <c r="M528" s="2"/>
      <c r="N528" s="2">
        <f>I528*1000</f>
        <v>275.60000000000002</v>
      </c>
      <c r="O528" s="2"/>
      <c r="P528" s="2"/>
      <c r="Q528" s="28">
        <f t="shared" si="40"/>
        <v>5.6603773584905657</v>
      </c>
    </row>
    <row r="529" spans="1:17" hidden="1" x14ac:dyDescent="0.25">
      <c r="A529" s="16">
        <v>45648</v>
      </c>
      <c r="B529" s="2" t="s">
        <v>139</v>
      </c>
      <c r="C529" s="2">
        <v>1300</v>
      </c>
      <c r="D529" s="11">
        <v>0.22500000000000001</v>
      </c>
      <c r="E529" s="2">
        <f t="shared" si="41"/>
        <v>1.3</v>
      </c>
      <c r="F529" s="10">
        <v>0.02</v>
      </c>
      <c r="G529" s="10">
        <v>7.0000000000000007E-2</v>
      </c>
      <c r="H529" s="12">
        <f t="shared" si="42"/>
        <v>0.31275000000000003</v>
      </c>
      <c r="I529" s="12">
        <f t="shared" si="43"/>
        <v>1.7027500000000002</v>
      </c>
      <c r="J529" s="2"/>
      <c r="K529" s="2">
        <f>I529*350</f>
        <v>595.96250000000009</v>
      </c>
      <c r="L529" s="2"/>
      <c r="M529" s="2"/>
      <c r="N529" s="2">
        <f>I529*1000</f>
        <v>1702.7500000000002</v>
      </c>
      <c r="O529" s="2"/>
      <c r="P529" s="2"/>
      <c r="Q529" s="28">
        <f t="shared" si="40"/>
        <v>18.367346938775512</v>
      </c>
    </row>
    <row r="530" spans="1:17" hidden="1" x14ac:dyDescent="0.25">
      <c r="A530" s="16">
        <v>45648</v>
      </c>
      <c r="B530" s="2" t="s">
        <v>86</v>
      </c>
      <c r="C530" s="2">
        <v>900</v>
      </c>
      <c r="D530" s="11">
        <v>0.39500000000000002</v>
      </c>
      <c r="E530" s="2">
        <f t="shared" si="41"/>
        <v>0.9</v>
      </c>
      <c r="F530" s="10">
        <v>0.02</v>
      </c>
      <c r="G530" s="10">
        <v>7.0000000000000007E-2</v>
      </c>
      <c r="H530" s="12">
        <f t="shared" si="42"/>
        <v>0.39105000000000001</v>
      </c>
      <c r="I530" s="12">
        <f t="shared" si="43"/>
        <v>1.3810500000000001</v>
      </c>
      <c r="J530" s="2">
        <f>I530*250</f>
        <v>345.26250000000005</v>
      </c>
      <c r="K530" s="2"/>
      <c r="L530" s="2"/>
      <c r="M530" s="2"/>
      <c r="N530" s="2">
        <f>I530*1000</f>
        <v>1381.0500000000002</v>
      </c>
      <c r="O530" s="2"/>
      <c r="P530" s="2"/>
      <c r="Q530" s="28">
        <f t="shared" si="40"/>
        <v>28.315412186379927</v>
      </c>
    </row>
    <row r="531" spans="1:17" hidden="1" x14ac:dyDescent="0.25">
      <c r="A531" s="16">
        <v>45648</v>
      </c>
      <c r="B531" s="2" t="s">
        <v>85</v>
      </c>
      <c r="C531" s="2">
        <v>900</v>
      </c>
      <c r="D531" s="11">
        <v>0.26500000000000001</v>
      </c>
      <c r="E531" s="2">
        <f t="shared" si="41"/>
        <v>0.9</v>
      </c>
      <c r="F531" s="10">
        <v>0.02</v>
      </c>
      <c r="G531" s="10">
        <v>7.0000000000000007E-2</v>
      </c>
      <c r="H531" s="12">
        <f t="shared" si="42"/>
        <v>0.26235000000000003</v>
      </c>
      <c r="I531" s="12">
        <f t="shared" si="43"/>
        <v>1.2523500000000001</v>
      </c>
      <c r="J531" s="2"/>
      <c r="K531" s="2">
        <f>I531*300</f>
        <v>375.70500000000004</v>
      </c>
      <c r="L531" s="2"/>
      <c r="M531" s="2"/>
      <c r="N531" s="2"/>
      <c r="O531" s="2"/>
      <c r="P531" s="2"/>
      <c r="Q531" s="28">
        <f t="shared" si="40"/>
        <v>20.948616600790515</v>
      </c>
    </row>
    <row r="532" spans="1:17" x14ac:dyDescent="0.25">
      <c r="A532" s="16">
        <v>45650</v>
      </c>
      <c r="B532" s="2" t="s">
        <v>119</v>
      </c>
      <c r="C532" s="2">
        <v>650</v>
      </c>
      <c r="D532" s="11">
        <v>0.254</v>
      </c>
      <c r="E532" s="2">
        <f t="shared" si="41"/>
        <v>0.65</v>
      </c>
      <c r="F532" s="10">
        <v>0.02</v>
      </c>
      <c r="G532" s="10">
        <v>7.0000000000000007E-2</v>
      </c>
      <c r="H532" s="12">
        <f t="shared" si="42"/>
        <v>0.18795999999999999</v>
      </c>
      <c r="I532" s="12">
        <f t="shared" si="43"/>
        <v>0.92796000000000001</v>
      </c>
      <c r="J532" s="2"/>
      <c r="K532" s="2"/>
      <c r="L532" s="2"/>
      <c r="M532" s="2">
        <f>I532*750</f>
        <v>695.97</v>
      </c>
      <c r="N532" s="2">
        <f>I532*1000</f>
        <v>927.96</v>
      </c>
      <c r="O532" s="2"/>
      <c r="P532" s="2"/>
      <c r="Q532" s="28">
        <f t="shared" si="40"/>
        <v>20.255183413078147</v>
      </c>
    </row>
    <row r="533" spans="1:17" x14ac:dyDescent="0.25">
      <c r="A533" s="16">
        <v>45650</v>
      </c>
      <c r="B533" s="2" t="s">
        <v>127</v>
      </c>
      <c r="C533" s="2">
        <v>650</v>
      </c>
      <c r="D533" s="11">
        <v>0.20300000000000001</v>
      </c>
      <c r="E533" s="2">
        <f t="shared" si="41"/>
        <v>0.65</v>
      </c>
      <c r="F533" s="10">
        <v>0.02</v>
      </c>
      <c r="G533" s="10">
        <v>7.0000000000000007E-2</v>
      </c>
      <c r="H533" s="12">
        <f t="shared" si="42"/>
        <v>0.15022000000000002</v>
      </c>
      <c r="I533" s="12">
        <f t="shared" si="43"/>
        <v>0.89022000000000001</v>
      </c>
      <c r="J533" s="2"/>
      <c r="K533" s="2"/>
      <c r="L533" s="2">
        <f>I533*500</f>
        <v>445.11</v>
      </c>
      <c r="M533" s="2"/>
      <c r="N533" s="2">
        <f>I533*1000</f>
        <v>890.22</v>
      </c>
      <c r="O533" s="2"/>
      <c r="P533" s="2"/>
      <c r="Q533" s="28">
        <f t="shared" si="40"/>
        <v>16.874480465502909</v>
      </c>
    </row>
    <row r="534" spans="1:17" hidden="1" x14ac:dyDescent="0.25">
      <c r="A534" s="16">
        <v>45650</v>
      </c>
      <c r="B534" s="2" t="s">
        <v>98</v>
      </c>
      <c r="C534" s="2">
        <v>650</v>
      </c>
      <c r="D534" s="11">
        <v>0.252</v>
      </c>
      <c r="E534" s="2">
        <f t="shared" si="41"/>
        <v>0.65</v>
      </c>
      <c r="F534" s="10">
        <v>0.02</v>
      </c>
      <c r="G534" s="10">
        <v>7.0000000000000007E-2</v>
      </c>
      <c r="H534" s="12">
        <f t="shared" si="42"/>
        <v>0.18648000000000001</v>
      </c>
      <c r="I534" s="12">
        <f t="shared" si="43"/>
        <v>0.92647999999999997</v>
      </c>
      <c r="J534" s="2"/>
      <c r="K534" s="2"/>
      <c r="L534" s="2"/>
      <c r="M534" s="2">
        <f>I534*750</f>
        <v>694.86</v>
      </c>
      <c r="N534" s="2">
        <f>I534*1000</f>
        <v>926.48</v>
      </c>
      <c r="O534" s="2"/>
      <c r="P534" s="2"/>
      <c r="Q534" s="28">
        <f t="shared" si="40"/>
        <v>20.12779552715655</v>
      </c>
    </row>
    <row r="535" spans="1:17" hidden="1" x14ac:dyDescent="0.25">
      <c r="A535" s="16">
        <v>45650</v>
      </c>
      <c r="B535" s="2" t="s">
        <v>122</v>
      </c>
      <c r="C535" s="2">
        <v>650</v>
      </c>
      <c r="D535" s="11">
        <v>0.20399999999999999</v>
      </c>
      <c r="E535" s="2">
        <f t="shared" si="41"/>
        <v>0.65</v>
      </c>
      <c r="F535" s="10">
        <v>0.02</v>
      </c>
      <c r="G535" s="10">
        <v>7.0000000000000007E-2</v>
      </c>
      <c r="H535" s="12">
        <f t="shared" si="42"/>
        <v>0.15095999999999998</v>
      </c>
      <c r="I535" s="12">
        <f t="shared" si="43"/>
        <v>0.89095999999999997</v>
      </c>
      <c r="J535" s="2"/>
      <c r="K535" s="2"/>
      <c r="L535" s="2">
        <f>I535*500</f>
        <v>445.47999999999996</v>
      </c>
      <c r="M535" s="2"/>
      <c r="N535" s="2">
        <f>I535*1000</f>
        <v>890.95999999999992</v>
      </c>
      <c r="O535" s="2"/>
      <c r="P535" s="2"/>
      <c r="Q535" s="28">
        <f t="shared" si="40"/>
        <v>16.943521594684384</v>
      </c>
    </row>
    <row r="536" spans="1:17" hidden="1" x14ac:dyDescent="0.25">
      <c r="A536" s="16">
        <v>45650</v>
      </c>
      <c r="B536" s="2" t="s">
        <v>139</v>
      </c>
      <c r="C536" s="2">
        <v>1300</v>
      </c>
      <c r="D536" s="11">
        <v>0.22320000000000001</v>
      </c>
      <c r="E536" s="2">
        <f t="shared" si="41"/>
        <v>1.3</v>
      </c>
      <c r="F536" s="10">
        <v>0.02</v>
      </c>
      <c r="G536" s="10">
        <v>7.0000000000000007E-2</v>
      </c>
      <c r="H536" s="12">
        <f t="shared" si="42"/>
        <v>0.31024800000000002</v>
      </c>
      <c r="I536" s="12">
        <f t="shared" si="43"/>
        <v>1.7002480000000002</v>
      </c>
      <c r="J536" s="2"/>
      <c r="K536" s="2">
        <f>I536*350</f>
        <v>595.08680000000004</v>
      </c>
      <c r="L536" s="2"/>
      <c r="M536" s="2"/>
      <c r="N536" s="2"/>
      <c r="O536" s="2"/>
      <c r="P536" s="2"/>
      <c r="Q536" s="28">
        <f t="shared" si="40"/>
        <v>18.247220405493788</v>
      </c>
    </row>
    <row r="537" spans="1:17" hidden="1" x14ac:dyDescent="0.25">
      <c r="A537" s="16">
        <v>45650</v>
      </c>
      <c r="B537" s="2" t="s">
        <v>85</v>
      </c>
      <c r="C537" s="2">
        <v>900</v>
      </c>
      <c r="D537" s="11">
        <v>0.26400000000000001</v>
      </c>
      <c r="E537" s="2">
        <f t="shared" si="41"/>
        <v>0.9</v>
      </c>
      <c r="F537" s="10">
        <v>0.02</v>
      </c>
      <c r="G537" s="10">
        <v>7.0000000000000007E-2</v>
      </c>
      <c r="H537" s="12">
        <f t="shared" si="42"/>
        <v>0.26136000000000004</v>
      </c>
      <c r="I537" s="12">
        <f t="shared" si="43"/>
        <v>1.25136</v>
      </c>
      <c r="J537" s="2"/>
      <c r="K537" s="2">
        <f>I537*300</f>
        <v>375.40800000000002</v>
      </c>
      <c r="L537" s="2"/>
      <c r="M537" s="2"/>
      <c r="N537" s="2"/>
      <c r="O537" s="2"/>
      <c r="P537" s="2"/>
      <c r="Q537" s="28">
        <f t="shared" si="40"/>
        <v>20.886075949367093</v>
      </c>
    </row>
    <row r="538" spans="1:17" hidden="1" x14ac:dyDescent="0.25">
      <c r="A538" s="16">
        <v>45650</v>
      </c>
      <c r="B538" s="2" t="s">
        <v>96</v>
      </c>
      <c r="C538" s="2">
        <v>1600</v>
      </c>
      <c r="D538" s="11">
        <v>0.24299999999999999</v>
      </c>
      <c r="E538" s="2">
        <f t="shared" si="41"/>
        <v>1.6</v>
      </c>
      <c r="F538" s="10">
        <v>0.02</v>
      </c>
      <c r="G538" s="10">
        <v>7.0000000000000007E-2</v>
      </c>
      <c r="H538" s="12">
        <f t="shared" si="42"/>
        <v>0.41067000000000004</v>
      </c>
      <c r="I538" s="12">
        <f t="shared" si="43"/>
        <v>2.10067</v>
      </c>
      <c r="J538" s="2"/>
      <c r="K538" s="2"/>
      <c r="L538" s="2">
        <f>I538*450</f>
        <v>945.30150000000003</v>
      </c>
      <c r="M538" s="2"/>
      <c r="N538" s="2">
        <f>I538*1000</f>
        <v>2100.67</v>
      </c>
      <c r="O538" s="2"/>
      <c r="P538" s="2"/>
      <c r="Q538" s="28">
        <f t="shared" si="40"/>
        <v>19.549477071600968</v>
      </c>
    </row>
    <row r="539" spans="1:17" hidden="1" x14ac:dyDescent="0.25">
      <c r="A539" s="16">
        <v>45651</v>
      </c>
      <c r="B539" s="2" t="s">
        <v>188</v>
      </c>
      <c r="C539" s="2">
        <v>750</v>
      </c>
      <c r="D539" s="11">
        <v>0.19</v>
      </c>
      <c r="E539" s="2">
        <f t="shared" si="41"/>
        <v>0.75</v>
      </c>
      <c r="F539" s="10">
        <v>0.02</v>
      </c>
      <c r="G539" s="10">
        <v>7.0000000000000007E-2</v>
      </c>
      <c r="H539" s="12">
        <f t="shared" si="42"/>
        <v>0.15960000000000002</v>
      </c>
      <c r="I539" s="12">
        <f t="shared" si="43"/>
        <v>0.99960000000000004</v>
      </c>
      <c r="J539" s="2"/>
      <c r="K539" s="2"/>
      <c r="L539" s="2"/>
      <c r="M539" s="2"/>
      <c r="N539" s="2">
        <f>I539*1000</f>
        <v>999.6</v>
      </c>
      <c r="O539" s="2"/>
      <c r="P539" s="2">
        <f>I539*1500</f>
        <v>1499.4</v>
      </c>
      <c r="Q539" s="28">
        <f t="shared" si="40"/>
        <v>15.966386554621851</v>
      </c>
    </row>
    <row r="540" spans="1:17" hidden="1" x14ac:dyDescent="0.25">
      <c r="A540" s="16">
        <v>45651</v>
      </c>
      <c r="B540" s="47" t="s">
        <v>84</v>
      </c>
      <c r="C540" s="47">
        <v>700</v>
      </c>
      <c r="D540" s="48">
        <v>7.5999999999999998E-2</v>
      </c>
      <c r="E540" s="47">
        <f t="shared" si="41"/>
        <v>0.7</v>
      </c>
      <c r="F540" s="49">
        <v>0.02</v>
      </c>
      <c r="G540" s="49">
        <v>7.0000000000000007E-2</v>
      </c>
      <c r="H540" s="50">
        <f t="shared" si="42"/>
        <v>6.0040000000000003E-2</v>
      </c>
      <c r="I540" s="50">
        <f t="shared" si="43"/>
        <v>0.85004000000000002</v>
      </c>
      <c r="J540" s="47"/>
      <c r="K540" s="47"/>
      <c r="L540" s="47">
        <f>I540*500</f>
        <v>425.02</v>
      </c>
      <c r="M540" s="47"/>
      <c r="N540" s="47"/>
      <c r="O540" s="47"/>
      <c r="P540" s="47"/>
      <c r="Q540" s="51">
        <f t="shared" si="40"/>
        <v>7.0631970260223049</v>
      </c>
    </row>
    <row r="541" spans="1:17" ht="14.25" hidden="1" customHeight="1" x14ac:dyDescent="0.25">
      <c r="A541" s="16">
        <v>45651</v>
      </c>
      <c r="B541" s="2" t="s">
        <v>100</v>
      </c>
      <c r="C541" s="2">
        <v>600</v>
      </c>
      <c r="D541" s="11">
        <v>0.14499999999999999</v>
      </c>
      <c r="E541" s="2">
        <f t="shared" si="41"/>
        <v>0.6</v>
      </c>
      <c r="F541" s="10">
        <v>0.02</v>
      </c>
      <c r="G541" s="10">
        <v>7.0000000000000007E-2</v>
      </c>
      <c r="H541" s="12">
        <f t="shared" si="42"/>
        <v>0.10004999999999999</v>
      </c>
      <c r="I541" s="12">
        <f t="shared" si="43"/>
        <v>0.79004999999999992</v>
      </c>
      <c r="J541" s="2"/>
      <c r="K541" s="2"/>
      <c r="L541" s="2">
        <f>I541*500</f>
        <v>395.02499999999998</v>
      </c>
      <c r="M541" s="2"/>
      <c r="N541" s="2"/>
      <c r="O541" s="2"/>
      <c r="P541" s="2"/>
      <c r="Q541" s="28">
        <f t="shared" si="40"/>
        <v>12.663755458515283</v>
      </c>
    </row>
    <row r="542" spans="1:17" hidden="1" x14ac:dyDescent="0.25">
      <c r="A542" s="16">
        <v>45651</v>
      </c>
      <c r="B542" s="2" t="s">
        <v>139</v>
      </c>
      <c r="C542" s="2">
        <v>1250</v>
      </c>
      <c r="D542" s="11">
        <v>0.27</v>
      </c>
      <c r="E542" s="2">
        <f t="shared" si="41"/>
        <v>1.25</v>
      </c>
      <c r="F542" s="10">
        <v>0.02</v>
      </c>
      <c r="G542" s="10">
        <v>7.0000000000000007E-2</v>
      </c>
      <c r="H542" s="12">
        <f t="shared" si="42"/>
        <v>0.36180000000000007</v>
      </c>
      <c r="I542" s="12">
        <f t="shared" si="43"/>
        <v>1.7018000000000002</v>
      </c>
      <c r="J542" s="2"/>
      <c r="K542" s="2">
        <f>I542*350</f>
        <v>595.63000000000011</v>
      </c>
      <c r="L542" s="2"/>
      <c r="M542" s="2"/>
      <c r="N542" s="2">
        <f>I542*1000</f>
        <v>1701.8000000000002</v>
      </c>
      <c r="O542" s="2"/>
      <c r="P542" s="2"/>
      <c r="Q542" s="28">
        <f t="shared" si="40"/>
        <v>21.259842519685041</v>
      </c>
    </row>
    <row r="543" spans="1:17" hidden="1" x14ac:dyDescent="0.25">
      <c r="A543" s="16">
        <v>45651</v>
      </c>
      <c r="B543" s="2" t="s">
        <v>86</v>
      </c>
      <c r="C543" s="2">
        <v>1050</v>
      </c>
      <c r="D543" s="11">
        <v>0.315</v>
      </c>
      <c r="E543" s="2">
        <f t="shared" si="41"/>
        <v>1.05</v>
      </c>
      <c r="F543" s="10">
        <v>0.02</v>
      </c>
      <c r="G543" s="10">
        <v>7.0000000000000007E-2</v>
      </c>
      <c r="H543" s="12">
        <f t="shared" si="42"/>
        <v>0.35910000000000003</v>
      </c>
      <c r="I543" s="12">
        <f t="shared" si="43"/>
        <v>1.4991000000000001</v>
      </c>
      <c r="J543" s="2">
        <f>I543*250</f>
        <v>374.77500000000003</v>
      </c>
      <c r="K543" s="2"/>
      <c r="L543" s="2"/>
      <c r="M543" s="2"/>
      <c r="N543" s="2">
        <f>I543*1000</f>
        <v>1499.1000000000001</v>
      </c>
      <c r="O543" s="2"/>
      <c r="P543" s="2"/>
      <c r="Q543" s="28">
        <f t="shared" si="40"/>
        <v>23.954372623574145</v>
      </c>
    </row>
    <row r="544" spans="1:17" hidden="1" x14ac:dyDescent="0.25">
      <c r="A544" s="16">
        <v>45652</v>
      </c>
      <c r="B544" s="2" t="s">
        <v>89</v>
      </c>
      <c r="C544" s="2">
        <v>550</v>
      </c>
      <c r="D544" s="11">
        <v>0.24</v>
      </c>
      <c r="E544" s="2">
        <f t="shared" si="41"/>
        <v>0.55000000000000004</v>
      </c>
      <c r="F544" s="10">
        <v>0.02</v>
      </c>
      <c r="G544" s="10">
        <v>7.0000000000000007E-2</v>
      </c>
      <c r="H544" s="12">
        <f t="shared" si="42"/>
        <v>0.15360000000000001</v>
      </c>
      <c r="I544" s="12">
        <f t="shared" si="43"/>
        <v>0.79360000000000008</v>
      </c>
      <c r="J544" s="2"/>
      <c r="K544" s="2"/>
      <c r="L544" s="2"/>
      <c r="M544" s="2">
        <f>I544*750</f>
        <v>595.20000000000005</v>
      </c>
      <c r="N544" s="2">
        <f>I544*1000</f>
        <v>793.60000000000014</v>
      </c>
      <c r="O544" s="2"/>
      <c r="P544" s="2"/>
      <c r="Q544" s="28">
        <f t="shared" si="40"/>
        <v>19.35483870967742</v>
      </c>
    </row>
    <row r="545" spans="1:17" hidden="1" x14ac:dyDescent="0.25">
      <c r="A545" s="16">
        <v>45652</v>
      </c>
      <c r="B545" s="2" t="s">
        <v>85</v>
      </c>
      <c r="C545" s="2">
        <v>900</v>
      </c>
      <c r="D545" s="11">
        <v>0.26200000000000001</v>
      </c>
      <c r="E545" s="2">
        <f t="shared" si="41"/>
        <v>0.9</v>
      </c>
      <c r="F545" s="10">
        <v>0.02</v>
      </c>
      <c r="G545" s="10">
        <v>7.0000000000000007E-2</v>
      </c>
      <c r="H545" s="12">
        <f t="shared" si="42"/>
        <v>0.25938</v>
      </c>
      <c r="I545" s="12">
        <f t="shared" si="43"/>
        <v>1.2493799999999999</v>
      </c>
      <c r="J545" s="2"/>
      <c r="K545" s="2">
        <f>I545*300</f>
        <v>374.81399999999996</v>
      </c>
      <c r="L545" s="2"/>
      <c r="M545" s="2"/>
      <c r="N545" s="2"/>
      <c r="O545" s="2"/>
      <c r="P545" s="2"/>
      <c r="Q545" s="28">
        <f t="shared" si="40"/>
        <v>20.760697305863708</v>
      </c>
    </row>
    <row r="546" spans="1:17" x14ac:dyDescent="0.25">
      <c r="A546" s="16">
        <v>45653</v>
      </c>
      <c r="B546" s="2" t="s">
        <v>136</v>
      </c>
      <c r="C546" s="2">
        <v>700</v>
      </c>
      <c r="D546" s="11">
        <v>0.13400000000000001</v>
      </c>
      <c r="E546" s="2">
        <f t="shared" si="41"/>
        <v>0.7</v>
      </c>
      <c r="F546" s="10">
        <v>0.02</v>
      </c>
      <c r="G546" s="10">
        <v>7.0000000000000007E-2</v>
      </c>
      <c r="H546" s="12">
        <f t="shared" si="42"/>
        <v>0.10586000000000001</v>
      </c>
      <c r="I546" s="12">
        <f t="shared" si="43"/>
        <v>0.8958600000000001</v>
      </c>
      <c r="J546" s="2"/>
      <c r="K546" s="2"/>
      <c r="L546" s="2"/>
      <c r="M546" s="2"/>
      <c r="N546" s="2">
        <f>I546*1000</f>
        <v>895.86000000000013</v>
      </c>
      <c r="O546" s="2"/>
      <c r="P546" s="2"/>
      <c r="Q546" s="28">
        <f t="shared" si="40"/>
        <v>11.81657848324515</v>
      </c>
    </row>
    <row r="547" spans="1:17" x14ac:dyDescent="0.25">
      <c r="A547" s="16">
        <v>45653</v>
      </c>
      <c r="B547" s="2" t="s">
        <v>119</v>
      </c>
      <c r="C547" s="2">
        <v>700</v>
      </c>
      <c r="D547" s="11">
        <v>0.17249999999999999</v>
      </c>
      <c r="E547" s="2">
        <f t="shared" si="41"/>
        <v>0.7</v>
      </c>
      <c r="F547" s="10">
        <v>0.02</v>
      </c>
      <c r="G547" s="10">
        <v>7.0000000000000007E-2</v>
      </c>
      <c r="H547" s="12">
        <f t="shared" si="42"/>
        <v>0.13627500000000001</v>
      </c>
      <c r="I547" s="12">
        <f t="shared" si="43"/>
        <v>0.92627500000000007</v>
      </c>
      <c r="J547" s="2"/>
      <c r="K547" s="2"/>
      <c r="L547" s="2"/>
      <c r="M547" s="2">
        <f>I547*750</f>
        <v>694.70625000000007</v>
      </c>
      <c r="N547" s="2">
        <f>I547*1000</f>
        <v>926.27500000000009</v>
      </c>
      <c r="O547" s="2"/>
      <c r="P547" s="2"/>
      <c r="Q547" s="28">
        <f t="shared" si="40"/>
        <v>14.712153518123667</v>
      </c>
    </row>
    <row r="548" spans="1:17" x14ac:dyDescent="0.25">
      <c r="A548" s="16">
        <v>45653</v>
      </c>
      <c r="B548" s="2" t="s">
        <v>127</v>
      </c>
      <c r="C548" s="2">
        <v>700</v>
      </c>
      <c r="D548" s="11">
        <v>0.127</v>
      </c>
      <c r="E548" s="2">
        <f t="shared" si="41"/>
        <v>0.7</v>
      </c>
      <c r="F548" s="10">
        <v>0.02</v>
      </c>
      <c r="G548" s="10">
        <v>7.0000000000000007E-2</v>
      </c>
      <c r="H548" s="12">
        <f t="shared" si="42"/>
        <v>0.10033</v>
      </c>
      <c r="I548" s="12">
        <f t="shared" si="43"/>
        <v>0.89033000000000007</v>
      </c>
      <c r="J548" s="2"/>
      <c r="K548" s="2"/>
      <c r="L548" s="2">
        <f>I548*500</f>
        <v>445.16500000000002</v>
      </c>
      <c r="M548" s="2"/>
      <c r="N548" s="2">
        <f>I548*1000</f>
        <v>890.33</v>
      </c>
      <c r="O548" s="2"/>
      <c r="P548" s="2"/>
      <c r="Q548" s="28">
        <f t="shared" si="40"/>
        <v>11.268855368234249</v>
      </c>
    </row>
    <row r="549" spans="1:17" hidden="1" x14ac:dyDescent="0.25">
      <c r="A549" s="16">
        <v>45653</v>
      </c>
      <c r="B549" s="2" t="s">
        <v>141</v>
      </c>
      <c r="C549" s="2">
        <v>450</v>
      </c>
      <c r="D549" s="11">
        <v>0.65800000000000003</v>
      </c>
      <c r="E549" s="2">
        <f t="shared" si="41"/>
        <v>0.45</v>
      </c>
      <c r="F549" s="10">
        <v>0.02</v>
      </c>
      <c r="G549" s="10">
        <v>7.0000000000000007E-2</v>
      </c>
      <c r="H549" s="12">
        <f t="shared" si="42"/>
        <v>0.35532000000000002</v>
      </c>
      <c r="I549" s="12">
        <f t="shared" si="43"/>
        <v>0.89532000000000012</v>
      </c>
      <c r="J549" s="2"/>
      <c r="K549" s="2"/>
      <c r="L549" s="2"/>
      <c r="M549" s="2"/>
      <c r="N549" s="2">
        <f>I549*1000</f>
        <v>895.32000000000016</v>
      </c>
      <c r="O549" s="2"/>
      <c r="P549" s="2"/>
      <c r="Q549" s="28">
        <f t="shared" ref="Q549:Q615" si="44">H549/I549%</f>
        <v>39.686369119420988</v>
      </c>
    </row>
    <row r="550" spans="1:17" hidden="1" x14ac:dyDescent="0.25">
      <c r="A550" s="16">
        <v>45653</v>
      </c>
      <c r="B550" s="2" t="s">
        <v>164</v>
      </c>
      <c r="C550" s="2">
        <v>480</v>
      </c>
      <c r="D550" s="11">
        <v>0.625</v>
      </c>
      <c r="E550" s="2">
        <f t="shared" si="41"/>
        <v>0.48</v>
      </c>
      <c r="F550" s="10">
        <v>0.02</v>
      </c>
      <c r="G550" s="10">
        <v>7.0000000000000007E-2</v>
      </c>
      <c r="H550" s="12">
        <f t="shared" si="42"/>
        <v>0.35625000000000007</v>
      </c>
      <c r="I550" s="12">
        <f t="shared" si="43"/>
        <v>0.92625000000000013</v>
      </c>
      <c r="J550" s="2"/>
      <c r="K550" s="2"/>
      <c r="L550" s="2"/>
      <c r="M550" s="2">
        <f>I550*750</f>
        <v>694.68750000000011</v>
      </c>
      <c r="N550" s="2">
        <f>I550*1000</f>
        <v>926.25000000000011</v>
      </c>
      <c r="O550" s="2"/>
      <c r="P550" s="2"/>
      <c r="Q550" s="28">
        <f t="shared" si="44"/>
        <v>38.46153846153846</v>
      </c>
    </row>
    <row r="551" spans="1:17" hidden="1" x14ac:dyDescent="0.25">
      <c r="A551" s="16">
        <v>45653</v>
      </c>
      <c r="B551" s="2" t="s">
        <v>84</v>
      </c>
      <c r="C551" s="2">
        <v>700</v>
      </c>
      <c r="D551" s="11">
        <v>7.5999999999999998E-2</v>
      </c>
      <c r="E551" s="2">
        <f t="shared" si="41"/>
        <v>0.7</v>
      </c>
      <c r="F551" s="10">
        <v>0.02</v>
      </c>
      <c r="G551" s="10">
        <v>7.0000000000000007E-2</v>
      </c>
      <c r="H551" s="12">
        <f t="shared" si="42"/>
        <v>6.0040000000000003E-2</v>
      </c>
      <c r="I551" s="12">
        <f t="shared" si="43"/>
        <v>0.85004000000000002</v>
      </c>
      <c r="J551" s="2"/>
      <c r="K551" s="2"/>
      <c r="L551" s="2">
        <f>I551*500</f>
        <v>425.02</v>
      </c>
      <c r="M551" s="2"/>
      <c r="N551" s="2"/>
      <c r="O551" s="2"/>
      <c r="P551" s="2"/>
      <c r="Q551" s="28">
        <f t="shared" si="44"/>
        <v>7.0631970260223049</v>
      </c>
    </row>
    <row r="552" spans="1:17" ht="16.5" hidden="1" customHeight="1" x14ac:dyDescent="0.25">
      <c r="A552" s="16">
        <v>45653</v>
      </c>
      <c r="B552" s="2" t="s">
        <v>100</v>
      </c>
      <c r="C552" s="2">
        <v>600</v>
      </c>
      <c r="D552" s="11">
        <v>8.6999999999999994E-2</v>
      </c>
      <c r="E552" s="2">
        <f t="shared" si="41"/>
        <v>0.6</v>
      </c>
      <c r="F552" s="10">
        <v>0.02</v>
      </c>
      <c r="G552" s="10">
        <v>7.0000000000000007E-2</v>
      </c>
      <c r="H552" s="12">
        <f t="shared" si="42"/>
        <v>6.0029999999999993E-2</v>
      </c>
      <c r="I552" s="12">
        <f t="shared" si="43"/>
        <v>0.75002999999999997</v>
      </c>
      <c r="J552" s="2"/>
      <c r="K552" s="2"/>
      <c r="L552" s="2">
        <f>I552*500</f>
        <v>375.01499999999999</v>
      </c>
      <c r="M552" s="2"/>
      <c r="N552" s="2"/>
      <c r="O552" s="2"/>
      <c r="P552" s="2"/>
      <c r="Q552" s="28">
        <f t="shared" si="44"/>
        <v>8.0036798528058863</v>
      </c>
    </row>
    <row r="553" spans="1:17" hidden="1" x14ac:dyDescent="0.25">
      <c r="A553" s="16">
        <v>45653</v>
      </c>
      <c r="B553" s="2" t="s">
        <v>175</v>
      </c>
      <c r="C553" s="2">
        <v>650</v>
      </c>
      <c r="D553" s="11">
        <v>0.217</v>
      </c>
      <c r="E553" s="2">
        <f t="shared" si="41"/>
        <v>0.65</v>
      </c>
      <c r="F553" s="10">
        <v>0.02</v>
      </c>
      <c r="G553" s="10">
        <v>7.0000000000000007E-2</v>
      </c>
      <c r="H553" s="12">
        <f t="shared" si="42"/>
        <v>0.16058</v>
      </c>
      <c r="I553" s="12">
        <f t="shared" si="43"/>
        <v>0.90057999999999994</v>
      </c>
      <c r="J553" s="2"/>
      <c r="K553" s="2"/>
      <c r="L553" s="2"/>
      <c r="M553" s="2"/>
      <c r="N553" s="2">
        <f t="shared" ref="N553:N561" si="45">I553*1000</f>
        <v>900.57999999999993</v>
      </c>
      <c r="O553" s="2">
        <f>I553*1250</f>
        <v>1125.7249999999999</v>
      </c>
      <c r="P553" s="2"/>
      <c r="Q553" s="28">
        <f t="shared" si="44"/>
        <v>17.830731306491373</v>
      </c>
    </row>
    <row r="554" spans="1:17" hidden="1" x14ac:dyDescent="0.25">
      <c r="A554" s="16">
        <v>45653</v>
      </c>
      <c r="B554" s="2" t="s">
        <v>149</v>
      </c>
      <c r="C554" s="2">
        <v>1500</v>
      </c>
      <c r="D554" s="11">
        <v>0.254</v>
      </c>
      <c r="E554" s="2">
        <f t="shared" si="41"/>
        <v>1.5</v>
      </c>
      <c r="F554" s="10">
        <v>0.02</v>
      </c>
      <c r="G554" s="10">
        <v>7.0000000000000007E-2</v>
      </c>
      <c r="H554" s="12">
        <f t="shared" si="42"/>
        <v>0.40386000000000005</v>
      </c>
      <c r="I554" s="12">
        <f t="shared" si="43"/>
        <v>1.9938600000000002</v>
      </c>
      <c r="J554" s="2"/>
      <c r="K554" s="2"/>
      <c r="L554" s="2"/>
      <c r="M554" s="2">
        <f>I554*750</f>
        <v>1495.3950000000002</v>
      </c>
      <c r="N554" s="2">
        <f t="shared" si="45"/>
        <v>1993.8600000000001</v>
      </c>
      <c r="O554" s="2"/>
      <c r="P554" s="2"/>
      <c r="Q554" s="28">
        <f t="shared" si="44"/>
        <v>20.25518341307815</v>
      </c>
    </row>
    <row r="555" spans="1:17" hidden="1" x14ac:dyDescent="0.25">
      <c r="A555" s="16">
        <v>45654</v>
      </c>
      <c r="B555" s="2" t="s">
        <v>178</v>
      </c>
      <c r="C555" s="2">
        <v>480</v>
      </c>
      <c r="D555" s="11">
        <v>0.32700000000000001</v>
      </c>
      <c r="E555" s="2">
        <f t="shared" si="41"/>
        <v>0.48</v>
      </c>
      <c r="F555" s="10">
        <v>0.02</v>
      </c>
      <c r="G555" s="10">
        <v>7.0000000000000007E-2</v>
      </c>
      <c r="H555" s="12">
        <f t="shared" si="42"/>
        <v>0.18639000000000003</v>
      </c>
      <c r="I555" s="12">
        <f t="shared" si="43"/>
        <v>0.75639000000000012</v>
      </c>
      <c r="J555" s="2"/>
      <c r="K555" s="2"/>
      <c r="L555" s="2"/>
      <c r="M555" s="2"/>
      <c r="N555" s="2">
        <f t="shared" si="45"/>
        <v>756.3900000000001</v>
      </c>
      <c r="O555" s="2">
        <f>I555*1250</f>
        <v>945.48750000000018</v>
      </c>
      <c r="P555" s="2"/>
      <c r="Q555" s="28">
        <f t="shared" si="44"/>
        <v>24.642049736247174</v>
      </c>
    </row>
    <row r="556" spans="1:17" hidden="1" x14ac:dyDescent="0.25">
      <c r="A556" s="16">
        <v>45654</v>
      </c>
      <c r="B556" s="2" t="s">
        <v>109</v>
      </c>
      <c r="C556" s="2">
        <v>620</v>
      </c>
      <c r="D556" s="11">
        <v>0.26100000000000001</v>
      </c>
      <c r="E556" s="2">
        <f t="shared" si="41"/>
        <v>0.62</v>
      </c>
      <c r="F556" s="10">
        <v>0.02</v>
      </c>
      <c r="G556" s="10">
        <v>7.0000000000000007E-2</v>
      </c>
      <c r="H556" s="12">
        <f t="shared" si="42"/>
        <v>0.18531</v>
      </c>
      <c r="I556" s="12">
        <f t="shared" si="43"/>
        <v>0.89530999999999994</v>
      </c>
      <c r="J556" s="2"/>
      <c r="K556" s="2"/>
      <c r="L556" s="2"/>
      <c r="M556" s="2"/>
      <c r="N556" s="2">
        <f t="shared" si="45"/>
        <v>895.31</v>
      </c>
      <c r="O556" s="2"/>
      <c r="P556" s="2"/>
      <c r="Q556" s="28">
        <f t="shared" si="44"/>
        <v>20.697858842188744</v>
      </c>
    </row>
    <row r="557" spans="1:17" hidden="1" x14ac:dyDescent="0.25">
      <c r="A557" s="16">
        <v>45654</v>
      </c>
      <c r="B557" s="2" t="s">
        <v>123</v>
      </c>
      <c r="C557" s="2">
        <v>1300</v>
      </c>
      <c r="D557" s="11">
        <v>0.22500000000000001</v>
      </c>
      <c r="E557" s="2">
        <f t="shared" si="41"/>
        <v>1.3</v>
      </c>
      <c r="F557" s="10">
        <v>0.02</v>
      </c>
      <c r="G557" s="10">
        <v>7.0000000000000007E-2</v>
      </c>
      <c r="H557" s="12">
        <f t="shared" si="42"/>
        <v>0.31275000000000003</v>
      </c>
      <c r="I557" s="12">
        <f t="shared" si="43"/>
        <v>1.7027500000000002</v>
      </c>
      <c r="J557" s="2"/>
      <c r="K557" s="2"/>
      <c r="L557" s="2">
        <f>I557*500</f>
        <v>851.37500000000011</v>
      </c>
      <c r="M557" s="2"/>
      <c r="N557" s="2">
        <f t="shared" si="45"/>
        <v>1702.7500000000002</v>
      </c>
      <c r="O557" s="2"/>
      <c r="P557" s="2"/>
      <c r="Q557" s="28">
        <f t="shared" si="44"/>
        <v>18.367346938775512</v>
      </c>
    </row>
    <row r="558" spans="1:17" hidden="1" x14ac:dyDescent="0.25">
      <c r="A558" s="16">
        <v>45654</v>
      </c>
      <c r="B558" s="2" t="s">
        <v>139</v>
      </c>
      <c r="C558" s="2">
        <v>1350</v>
      </c>
      <c r="D558" s="11">
        <v>0.18099999999999999</v>
      </c>
      <c r="E558" s="2">
        <f t="shared" si="41"/>
        <v>1.35</v>
      </c>
      <c r="F558" s="10">
        <v>0.02</v>
      </c>
      <c r="G558" s="10">
        <v>7.0000000000000007E-2</v>
      </c>
      <c r="H558" s="12">
        <f t="shared" si="42"/>
        <v>0.26064000000000004</v>
      </c>
      <c r="I558" s="12">
        <f t="shared" si="43"/>
        <v>1.7006400000000002</v>
      </c>
      <c r="J558" s="2"/>
      <c r="K558" s="2">
        <f>I558*350</f>
        <v>595.22400000000005</v>
      </c>
      <c r="L558" s="2"/>
      <c r="M558" s="2"/>
      <c r="N558" s="2">
        <f t="shared" si="45"/>
        <v>1700.64</v>
      </c>
      <c r="O558" s="2"/>
      <c r="P558" s="2"/>
      <c r="Q558" s="28">
        <f t="shared" si="44"/>
        <v>15.325994919559696</v>
      </c>
    </row>
    <row r="559" spans="1:17" hidden="1" x14ac:dyDescent="0.25">
      <c r="A559" s="16">
        <v>45657</v>
      </c>
      <c r="B559" s="47" t="s">
        <v>141</v>
      </c>
      <c r="C559" s="47">
        <v>470</v>
      </c>
      <c r="D559" s="48">
        <v>0.43</v>
      </c>
      <c r="E559" s="47">
        <f t="shared" si="41"/>
        <v>0.47</v>
      </c>
      <c r="F559" s="49">
        <v>0.02</v>
      </c>
      <c r="G559" s="49">
        <v>7.0000000000000007E-2</v>
      </c>
      <c r="H559" s="50">
        <f t="shared" si="42"/>
        <v>0.24080000000000001</v>
      </c>
      <c r="I559" s="50">
        <f t="shared" si="43"/>
        <v>0.80080000000000007</v>
      </c>
      <c r="J559" s="47"/>
      <c r="K559" s="47"/>
      <c r="L559" s="47"/>
      <c r="M559" s="47"/>
      <c r="N559" s="47">
        <f t="shared" si="45"/>
        <v>800.80000000000007</v>
      </c>
      <c r="O559" s="47"/>
      <c r="P559" s="47"/>
      <c r="Q559" s="51">
        <f t="shared" si="44"/>
        <v>30.069930069930066</v>
      </c>
    </row>
    <row r="560" spans="1:17" hidden="1" x14ac:dyDescent="0.25">
      <c r="A560" s="16">
        <v>45657</v>
      </c>
      <c r="B560" s="2" t="s">
        <v>164</v>
      </c>
      <c r="C560" s="2">
        <v>470</v>
      </c>
      <c r="D560" s="11">
        <v>0.43</v>
      </c>
      <c r="E560" s="2">
        <f t="shared" si="41"/>
        <v>0.47</v>
      </c>
      <c r="F560" s="10">
        <v>0.02</v>
      </c>
      <c r="G560" s="10">
        <v>7.0000000000000007E-2</v>
      </c>
      <c r="H560" s="12">
        <f t="shared" si="42"/>
        <v>0.24080000000000001</v>
      </c>
      <c r="I560" s="12">
        <f t="shared" si="43"/>
        <v>0.80080000000000007</v>
      </c>
      <c r="J560" s="2"/>
      <c r="K560" s="2"/>
      <c r="L560" s="2"/>
      <c r="M560" s="2">
        <f>I560*750</f>
        <v>600.6</v>
      </c>
      <c r="N560" s="2">
        <f t="shared" si="45"/>
        <v>800.80000000000007</v>
      </c>
      <c r="O560" s="2"/>
      <c r="P560" s="2"/>
      <c r="Q560" s="28">
        <f t="shared" si="44"/>
        <v>30.069930069930066</v>
      </c>
    </row>
    <row r="561" spans="1:17" hidden="1" x14ac:dyDescent="0.25">
      <c r="A561" s="16">
        <v>45657</v>
      </c>
      <c r="B561" s="2" t="s">
        <v>109</v>
      </c>
      <c r="C561" s="2">
        <v>630</v>
      </c>
      <c r="D561" s="11">
        <v>0.24399999999999999</v>
      </c>
      <c r="E561" s="2">
        <f t="shared" si="41"/>
        <v>0.63</v>
      </c>
      <c r="F561" s="10">
        <v>0.02</v>
      </c>
      <c r="G561" s="10">
        <v>7.0000000000000007E-2</v>
      </c>
      <c r="H561" s="12">
        <f t="shared" si="42"/>
        <v>0.17568</v>
      </c>
      <c r="I561" s="12">
        <f t="shared" si="43"/>
        <v>0.89568000000000003</v>
      </c>
      <c r="J561" s="2"/>
      <c r="K561" s="2"/>
      <c r="L561" s="2"/>
      <c r="M561" s="2"/>
      <c r="N561" s="2">
        <f t="shared" si="45"/>
        <v>895.68000000000006</v>
      </c>
      <c r="O561" s="2"/>
      <c r="P561" s="2"/>
      <c r="Q561" s="28">
        <f t="shared" si="44"/>
        <v>19.614147909967844</v>
      </c>
    </row>
    <row r="562" spans="1:17" hidden="1" x14ac:dyDescent="0.25">
      <c r="A562" s="16">
        <v>45657</v>
      </c>
      <c r="B562" s="2" t="s">
        <v>98</v>
      </c>
      <c r="C562" s="2">
        <v>630</v>
      </c>
      <c r="D562" s="11">
        <v>0.25</v>
      </c>
      <c r="E562" s="2">
        <f t="shared" si="41"/>
        <v>0.63</v>
      </c>
      <c r="F562" s="10">
        <v>0.02</v>
      </c>
      <c r="G562" s="10">
        <v>7.0000000000000007E-2</v>
      </c>
      <c r="H562" s="12">
        <f t="shared" si="42"/>
        <v>0.18</v>
      </c>
      <c r="I562" s="12">
        <f t="shared" si="43"/>
        <v>0.89999999999999991</v>
      </c>
      <c r="J562" s="2"/>
      <c r="K562" s="2"/>
      <c r="L562" s="2"/>
      <c r="M562" s="2">
        <f>I562*750</f>
        <v>674.99999999999989</v>
      </c>
      <c r="N562" s="2"/>
      <c r="O562" s="2"/>
      <c r="P562" s="2"/>
      <c r="Q562" s="28">
        <f t="shared" si="44"/>
        <v>20</v>
      </c>
    </row>
    <row r="563" spans="1:17" x14ac:dyDescent="0.25">
      <c r="A563" s="16">
        <v>45658</v>
      </c>
      <c r="B563" s="2" t="s">
        <v>136</v>
      </c>
      <c r="C563" s="2">
        <v>720</v>
      </c>
      <c r="D563" s="11">
        <v>0.105</v>
      </c>
      <c r="E563" s="2">
        <f t="shared" si="41"/>
        <v>0.72</v>
      </c>
      <c r="F563" s="10">
        <v>0.02</v>
      </c>
      <c r="G563" s="10">
        <v>7.0000000000000007E-2</v>
      </c>
      <c r="H563" s="12">
        <f t="shared" si="42"/>
        <v>8.5050000000000001E-2</v>
      </c>
      <c r="I563" s="12">
        <f t="shared" si="43"/>
        <v>0.89505000000000001</v>
      </c>
      <c r="J563" s="2"/>
      <c r="K563" s="2"/>
      <c r="L563" s="2"/>
      <c r="M563" s="2"/>
      <c r="N563" s="2">
        <f>I563*1000</f>
        <v>895.05000000000007</v>
      </c>
      <c r="O563" s="2"/>
      <c r="P563" s="2"/>
      <c r="Q563" s="28">
        <f t="shared" si="44"/>
        <v>9.502262443438914</v>
      </c>
    </row>
    <row r="564" spans="1:17" x14ac:dyDescent="0.25">
      <c r="A564" s="16">
        <v>45658</v>
      </c>
      <c r="B564" s="2" t="s">
        <v>119</v>
      </c>
      <c r="C564" s="2">
        <v>720</v>
      </c>
      <c r="D564" s="11">
        <v>0.112</v>
      </c>
      <c r="E564" s="2">
        <f t="shared" si="41"/>
        <v>0.72</v>
      </c>
      <c r="F564" s="10">
        <v>0.02</v>
      </c>
      <c r="G564" s="10">
        <v>7.0000000000000007E-2</v>
      </c>
      <c r="H564" s="12">
        <f t="shared" si="42"/>
        <v>9.0720000000000009E-2</v>
      </c>
      <c r="I564" s="12">
        <f t="shared" si="43"/>
        <v>0.90072000000000008</v>
      </c>
      <c r="J564" s="2"/>
      <c r="K564" s="2"/>
      <c r="L564" s="2"/>
      <c r="M564" s="2">
        <f>I564*750</f>
        <v>675.54000000000008</v>
      </c>
      <c r="N564" s="2"/>
      <c r="O564" s="2"/>
      <c r="P564" s="2"/>
      <c r="Q564" s="28">
        <f t="shared" si="44"/>
        <v>10.071942446043167</v>
      </c>
    </row>
    <row r="565" spans="1:17" hidden="1" x14ac:dyDescent="0.25">
      <c r="A565" s="16">
        <v>45658</v>
      </c>
      <c r="B565" s="2" t="s">
        <v>188</v>
      </c>
      <c r="C565" s="2">
        <v>720</v>
      </c>
      <c r="D565" s="11">
        <v>0.107</v>
      </c>
      <c r="E565" s="2">
        <f t="shared" si="41"/>
        <v>0.72</v>
      </c>
      <c r="F565" s="10">
        <v>0.02</v>
      </c>
      <c r="G565" s="10">
        <v>7.0000000000000007E-2</v>
      </c>
      <c r="H565" s="12">
        <f t="shared" si="42"/>
        <v>8.6670000000000011E-2</v>
      </c>
      <c r="I565" s="12">
        <f t="shared" si="43"/>
        <v>0.89667000000000008</v>
      </c>
      <c r="J565" s="2"/>
      <c r="K565" s="2"/>
      <c r="L565" s="2"/>
      <c r="M565" s="2"/>
      <c r="N565" s="2">
        <f>I565*1000</f>
        <v>896.67000000000007</v>
      </c>
      <c r="O565" s="2"/>
      <c r="P565" s="2">
        <f>I565*1500</f>
        <v>1345.0050000000001</v>
      </c>
      <c r="Q565" s="28">
        <f t="shared" si="44"/>
        <v>9.6657633242999097</v>
      </c>
    </row>
    <row r="566" spans="1:17" hidden="1" x14ac:dyDescent="0.25">
      <c r="A566" s="16">
        <v>45658</v>
      </c>
      <c r="B566" s="35" t="s">
        <v>123</v>
      </c>
      <c r="C566" s="35">
        <v>1500</v>
      </c>
      <c r="D566" s="11">
        <v>0.191</v>
      </c>
      <c r="E566" s="35">
        <f t="shared" si="41"/>
        <v>1.5</v>
      </c>
      <c r="F566" s="10">
        <v>0.02</v>
      </c>
      <c r="G566" s="10">
        <v>7.0000000000000007E-2</v>
      </c>
      <c r="H566" s="12">
        <f t="shared" si="42"/>
        <v>0.30369000000000002</v>
      </c>
      <c r="I566" s="12">
        <f t="shared" si="43"/>
        <v>1.8936900000000001</v>
      </c>
      <c r="J566" s="2"/>
      <c r="K566" s="2"/>
      <c r="L566" s="2">
        <f>I566*500</f>
        <v>946.84500000000003</v>
      </c>
      <c r="M566" s="2"/>
      <c r="N566" s="2">
        <f>I566*1000</f>
        <v>1893.69</v>
      </c>
      <c r="O566" s="2"/>
      <c r="P566" s="2"/>
      <c r="Q566" s="28">
        <f t="shared" si="44"/>
        <v>16.03694374475231</v>
      </c>
    </row>
    <row r="567" spans="1:17" hidden="1" x14ac:dyDescent="0.25">
      <c r="A567" s="16">
        <v>45658</v>
      </c>
      <c r="B567" s="2" t="s">
        <v>86</v>
      </c>
      <c r="C567" s="2">
        <v>1100</v>
      </c>
      <c r="D567" s="11">
        <v>0.16</v>
      </c>
      <c r="E567" s="2">
        <f t="shared" si="41"/>
        <v>1.1000000000000001</v>
      </c>
      <c r="F567" s="10">
        <v>0.02</v>
      </c>
      <c r="G567" s="10">
        <v>7.0000000000000007E-2</v>
      </c>
      <c r="H567" s="12">
        <f t="shared" si="42"/>
        <v>0.19040000000000004</v>
      </c>
      <c r="I567" s="12">
        <f t="shared" si="43"/>
        <v>1.3804000000000003</v>
      </c>
      <c r="J567" s="2">
        <f>I567*250</f>
        <v>345.10000000000008</v>
      </c>
      <c r="K567" s="2"/>
      <c r="L567" s="2"/>
      <c r="M567" s="2"/>
      <c r="N567" s="2"/>
      <c r="O567" s="2"/>
      <c r="P567" s="2"/>
      <c r="Q567" s="28">
        <f t="shared" si="44"/>
        <v>13.793103448275861</v>
      </c>
    </row>
    <row r="568" spans="1:17" hidden="1" x14ac:dyDescent="0.25">
      <c r="A568" s="16">
        <v>45658</v>
      </c>
      <c r="B568" s="2" t="s">
        <v>193</v>
      </c>
      <c r="C568" s="2">
        <v>1800</v>
      </c>
      <c r="D568" s="11">
        <v>0.108</v>
      </c>
      <c r="E568" s="2">
        <f t="shared" si="41"/>
        <v>1.8</v>
      </c>
      <c r="F568" s="10">
        <v>0.02</v>
      </c>
      <c r="G568" s="10">
        <v>7.0000000000000007E-2</v>
      </c>
      <c r="H568" s="12">
        <f t="shared" si="42"/>
        <v>0.20412000000000002</v>
      </c>
      <c r="I568" s="12">
        <f t="shared" si="43"/>
        <v>2.0941200000000002</v>
      </c>
      <c r="J568" s="2"/>
      <c r="K568" s="2"/>
      <c r="L568" s="2"/>
      <c r="M568" s="2"/>
      <c r="N568" s="2">
        <f t="shared" ref="N568:N575" si="46">I568*1000</f>
        <v>2094.1200000000003</v>
      </c>
      <c r="O568" s="2"/>
      <c r="P568" s="2"/>
      <c r="Q568" s="28">
        <f t="shared" si="44"/>
        <v>9.7472924187725631</v>
      </c>
    </row>
    <row r="569" spans="1:17" x14ac:dyDescent="0.25">
      <c r="A569" s="16">
        <v>45659</v>
      </c>
      <c r="B569" s="2" t="s">
        <v>136</v>
      </c>
      <c r="C569" s="2">
        <v>650</v>
      </c>
      <c r="D569" s="11">
        <v>0.21</v>
      </c>
      <c r="E569" s="2">
        <f t="shared" si="41"/>
        <v>0.65</v>
      </c>
      <c r="F569" s="10">
        <v>0.02</v>
      </c>
      <c r="G569" s="10">
        <v>7.0000000000000007E-2</v>
      </c>
      <c r="H569" s="12">
        <f t="shared" si="42"/>
        <v>0.15539999999999998</v>
      </c>
      <c r="I569" s="12">
        <f t="shared" si="43"/>
        <v>0.89539999999999997</v>
      </c>
      <c r="J569" s="2"/>
      <c r="K569" s="2"/>
      <c r="L569" s="2"/>
      <c r="M569" s="2"/>
      <c r="N569" s="2">
        <f t="shared" si="46"/>
        <v>895.4</v>
      </c>
      <c r="O569" s="2"/>
      <c r="P569" s="2"/>
      <c r="Q569" s="28">
        <f t="shared" si="44"/>
        <v>17.355371900826444</v>
      </c>
    </row>
    <row r="570" spans="1:17" hidden="1" x14ac:dyDescent="0.25">
      <c r="A570" s="16">
        <v>45659</v>
      </c>
      <c r="B570" s="2" t="s">
        <v>167</v>
      </c>
      <c r="C570" s="2">
        <v>650</v>
      </c>
      <c r="D570" s="39">
        <v>0.20499999999999999</v>
      </c>
      <c r="E570" s="2">
        <f t="shared" si="41"/>
        <v>0.65</v>
      </c>
      <c r="F570" s="41">
        <v>0.02</v>
      </c>
      <c r="G570" s="41">
        <v>7.0000000000000007E-2</v>
      </c>
      <c r="H570" s="42">
        <f t="shared" si="42"/>
        <v>0.1517</v>
      </c>
      <c r="I570" s="42">
        <f t="shared" si="43"/>
        <v>0.89169999999999994</v>
      </c>
      <c r="J570" s="2"/>
      <c r="K570" s="2"/>
      <c r="L570" s="2"/>
      <c r="M570" s="2"/>
      <c r="N570" s="2">
        <f t="shared" si="46"/>
        <v>891.69999999999993</v>
      </c>
      <c r="O570" s="2">
        <f>I570*1250</f>
        <v>1114.625</v>
      </c>
      <c r="P570" s="2">
        <f>I570*1500</f>
        <v>1337.55</v>
      </c>
      <c r="Q570" s="43">
        <f t="shared" si="44"/>
        <v>17.012448132780083</v>
      </c>
    </row>
    <row r="571" spans="1:17" hidden="1" x14ac:dyDescent="0.25">
      <c r="A571" s="16">
        <v>45659</v>
      </c>
      <c r="B571" s="2" t="s">
        <v>141</v>
      </c>
      <c r="C571" s="2">
        <v>480</v>
      </c>
      <c r="D571" s="39">
        <v>0.39400000000000002</v>
      </c>
      <c r="E571" s="2">
        <f t="shared" si="41"/>
        <v>0.48</v>
      </c>
      <c r="F571" s="41">
        <v>0.02</v>
      </c>
      <c r="G571" s="41">
        <v>7.0000000000000007E-2</v>
      </c>
      <c r="H571" s="42">
        <f t="shared" si="42"/>
        <v>0.22458000000000003</v>
      </c>
      <c r="I571" s="42">
        <f t="shared" si="43"/>
        <v>0.79458000000000006</v>
      </c>
      <c r="J571" s="2"/>
      <c r="K571" s="2"/>
      <c r="L571" s="2"/>
      <c r="M571" s="2"/>
      <c r="N571" s="2">
        <f t="shared" si="46"/>
        <v>794.58</v>
      </c>
      <c r="O571" s="2"/>
      <c r="P571" s="2"/>
      <c r="Q571" s="43">
        <f t="shared" si="44"/>
        <v>28.263988522238165</v>
      </c>
    </row>
    <row r="572" spans="1:17" hidden="1" x14ac:dyDescent="0.25">
      <c r="A572" s="16">
        <v>45659</v>
      </c>
      <c r="B572" s="2" t="s">
        <v>164</v>
      </c>
      <c r="C572" s="2">
        <v>480</v>
      </c>
      <c r="D572" s="11">
        <v>0.57999999999999996</v>
      </c>
      <c r="E572" s="2">
        <f t="shared" si="41"/>
        <v>0.48</v>
      </c>
      <c r="F572" s="10">
        <v>0.02</v>
      </c>
      <c r="G572" s="10">
        <v>7.0000000000000007E-2</v>
      </c>
      <c r="H572" s="12">
        <f t="shared" si="42"/>
        <v>0.3306</v>
      </c>
      <c r="I572" s="12">
        <f t="shared" si="43"/>
        <v>0.90060000000000007</v>
      </c>
      <c r="J572" s="2"/>
      <c r="K572" s="2"/>
      <c r="L572" s="2"/>
      <c r="M572" s="2">
        <f>I572*750</f>
        <v>675.45</v>
      </c>
      <c r="N572" s="2">
        <f t="shared" si="46"/>
        <v>900.6</v>
      </c>
      <c r="O572" s="2"/>
      <c r="P572" s="2"/>
      <c r="Q572" s="28">
        <f t="shared" si="44"/>
        <v>36.708860759493668</v>
      </c>
    </row>
    <row r="573" spans="1:17" hidden="1" x14ac:dyDescent="0.25">
      <c r="A573" s="16">
        <v>45659</v>
      </c>
      <c r="B573" s="2" t="s">
        <v>109</v>
      </c>
      <c r="C573" s="2">
        <v>620</v>
      </c>
      <c r="D573" s="39">
        <v>0.26100000000000001</v>
      </c>
      <c r="E573" s="2">
        <f t="shared" si="41"/>
        <v>0.62</v>
      </c>
      <c r="F573" s="41">
        <v>0.02</v>
      </c>
      <c r="G573" s="41">
        <v>7.0000000000000007E-2</v>
      </c>
      <c r="H573" s="42">
        <f t="shared" si="42"/>
        <v>0.18531</v>
      </c>
      <c r="I573" s="42">
        <f t="shared" si="43"/>
        <v>0.89530999999999994</v>
      </c>
      <c r="J573" s="2"/>
      <c r="K573" s="2"/>
      <c r="L573" s="2"/>
      <c r="M573" s="2"/>
      <c r="N573" s="2">
        <f t="shared" si="46"/>
        <v>895.31</v>
      </c>
      <c r="O573" s="2"/>
      <c r="P573" s="2"/>
      <c r="Q573" s="43">
        <f t="shared" si="44"/>
        <v>20.697858842188744</v>
      </c>
    </row>
    <row r="574" spans="1:17" hidden="1" x14ac:dyDescent="0.25">
      <c r="A574" s="16">
        <v>45659</v>
      </c>
      <c r="B574" s="2" t="s">
        <v>98</v>
      </c>
      <c r="C574" s="2">
        <v>620</v>
      </c>
      <c r="D574" s="11">
        <v>0.26900000000000002</v>
      </c>
      <c r="E574" s="2">
        <f t="shared" si="41"/>
        <v>0.62</v>
      </c>
      <c r="F574" s="10">
        <v>0.02</v>
      </c>
      <c r="G574" s="10">
        <v>7.0000000000000007E-2</v>
      </c>
      <c r="H574" s="12">
        <f t="shared" si="42"/>
        <v>0.19098999999999999</v>
      </c>
      <c r="I574" s="12">
        <f t="shared" si="43"/>
        <v>0.90098999999999996</v>
      </c>
      <c r="J574" s="2"/>
      <c r="K574" s="2"/>
      <c r="L574" s="2"/>
      <c r="M574" s="2">
        <f>I574*750</f>
        <v>675.74249999999995</v>
      </c>
      <c r="N574" s="2">
        <f t="shared" si="46"/>
        <v>900.99</v>
      </c>
      <c r="O574" s="2"/>
      <c r="P574" s="2"/>
      <c r="Q574" s="28">
        <f t="shared" si="44"/>
        <v>21.19779353821907</v>
      </c>
    </row>
    <row r="575" spans="1:17" hidden="1" x14ac:dyDescent="0.25">
      <c r="A575" s="16">
        <v>45659</v>
      </c>
      <c r="B575" s="2" t="s">
        <v>122</v>
      </c>
      <c r="C575" s="2">
        <v>620</v>
      </c>
      <c r="D575" s="11">
        <v>0.255</v>
      </c>
      <c r="E575" s="2">
        <f t="shared" si="41"/>
        <v>0.62</v>
      </c>
      <c r="F575" s="10">
        <v>0.02</v>
      </c>
      <c r="G575" s="10">
        <v>7.0000000000000007E-2</v>
      </c>
      <c r="H575" s="12">
        <f t="shared" si="42"/>
        <v>0.18104999999999999</v>
      </c>
      <c r="I575" s="12">
        <f t="shared" si="43"/>
        <v>0.8910499999999999</v>
      </c>
      <c r="J575" s="2"/>
      <c r="K575" s="2"/>
      <c r="L575" s="2">
        <f>I575*500</f>
        <v>445.52499999999998</v>
      </c>
      <c r="M575" s="2"/>
      <c r="N575" s="2">
        <f t="shared" si="46"/>
        <v>891.05</v>
      </c>
      <c r="O575" s="2"/>
      <c r="P575" s="2"/>
      <c r="Q575" s="28">
        <f t="shared" si="44"/>
        <v>20.318725099601597</v>
      </c>
    </row>
    <row r="576" spans="1:17" hidden="1" x14ac:dyDescent="0.25">
      <c r="A576" s="16">
        <v>45659</v>
      </c>
      <c r="B576" s="2" t="s">
        <v>89</v>
      </c>
      <c r="C576" s="10">
        <v>500</v>
      </c>
      <c r="D576" s="11">
        <v>0.34499999999999997</v>
      </c>
      <c r="E576" s="10">
        <f t="shared" si="41"/>
        <v>0.5</v>
      </c>
      <c r="F576" s="10">
        <v>0.02</v>
      </c>
      <c r="G576" s="10">
        <v>7.0000000000000007E-2</v>
      </c>
      <c r="H576" s="12">
        <f t="shared" si="42"/>
        <v>0.20355000000000001</v>
      </c>
      <c r="I576" s="12">
        <f t="shared" si="43"/>
        <v>0.79355000000000009</v>
      </c>
      <c r="J576" s="10"/>
      <c r="K576" s="10"/>
      <c r="L576" s="10"/>
      <c r="M576" s="10">
        <f>I576*750</f>
        <v>595.16250000000002</v>
      </c>
      <c r="N576" s="10"/>
      <c r="O576" s="10"/>
      <c r="P576" s="10"/>
      <c r="Q576" s="28">
        <f t="shared" si="44"/>
        <v>25.650557620817839</v>
      </c>
    </row>
    <row r="577" spans="1:17" hidden="1" x14ac:dyDescent="0.25">
      <c r="A577" s="16">
        <v>45659</v>
      </c>
      <c r="B577" s="2" t="s">
        <v>86</v>
      </c>
      <c r="C577" s="2">
        <v>1050</v>
      </c>
      <c r="D577" s="11">
        <v>0.21</v>
      </c>
      <c r="E577" s="2">
        <f t="shared" si="41"/>
        <v>1.05</v>
      </c>
      <c r="F577" s="10">
        <v>0.02</v>
      </c>
      <c r="G577" s="10">
        <v>7.0000000000000007E-2</v>
      </c>
      <c r="H577" s="12">
        <f t="shared" si="42"/>
        <v>0.23940000000000003</v>
      </c>
      <c r="I577" s="12">
        <f t="shared" si="43"/>
        <v>1.3794000000000002</v>
      </c>
      <c r="J577" s="2">
        <f>I577*250</f>
        <v>344.85</v>
      </c>
      <c r="K577" s="2"/>
      <c r="L577" s="2"/>
      <c r="M577" s="2"/>
      <c r="N577" s="2">
        <f>I577*1000</f>
        <v>1379.4</v>
      </c>
      <c r="O577" s="2"/>
      <c r="P577" s="2"/>
      <c r="Q577" s="28">
        <f t="shared" si="44"/>
        <v>17.355371900826444</v>
      </c>
    </row>
    <row r="578" spans="1:17" x14ac:dyDescent="0.25">
      <c r="A578" s="16">
        <v>45661</v>
      </c>
      <c r="B578" s="47" t="s">
        <v>136</v>
      </c>
      <c r="C578" s="47">
        <v>630</v>
      </c>
      <c r="D578" s="48">
        <v>0.24399999999999999</v>
      </c>
      <c r="E578" s="47">
        <f t="shared" si="41"/>
        <v>0.63</v>
      </c>
      <c r="F578" s="49">
        <v>0.02</v>
      </c>
      <c r="G578" s="49">
        <v>7.0000000000000007E-2</v>
      </c>
      <c r="H578" s="50">
        <f t="shared" si="42"/>
        <v>0.17568</v>
      </c>
      <c r="I578" s="50">
        <f t="shared" si="43"/>
        <v>0.89568000000000003</v>
      </c>
      <c r="J578" s="47"/>
      <c r="K578" s="47"/>
      <c r="L578" s="47"/>
      <c r="M578" s="47"/>
      <c r="N578" s="47">
        <f>I578*1000</f>
        <v>895.68000000000006</v>
      </c>
      <c r="O578" s="47"/>
      <c r="P578" s="47"/>
      <c r="Q578" s="51">
        <f t="shared" si="44"/>
        <v>19.614147909967844</v>
      </c>
    </row>
    <row r="579" spans="1:17" x14ac:dyDescent="0.25">
      <c r="A579" s="16">
        <v>45661</v>
      </c>
      <c r="B579" s="2" t="s">
        <v>119</v>
      </c>
      <c r="C579" s="2">
        <v>630</v>
      </c>
      <c r="D579" s="39">
        <v>0.25</v>
      </c>
      <c r="E579" s="2">
        <f t="shared" si="41"/>
        <v>0.63</v>
      </c>
      <c r="F579" s="41">
        <v>0.02</v>
      </c>
      <c r="G579" s="41">
        <v>7.0000000000000007E-2</v>
      </c>
      <c r="H579" s="42">
        <f t="shared" si="42"/>
        <v>0.18</v>
      </c>
      <c r="I579" s="42">
        <f t="shared" si="43"/>
        <v>0.89999999999999991</v>
      </c>
      <c r="J579" s="2"/>
      <c r="K579" s="2"/>
      <c r="L579" s="2"/>
      <c r="M579" s="2">
        <f>I579*750</f>
        <v>674.99999999999989</v>
      </c>
      <c r="N579" s="40"/>
      <c r="O579" s="2"/>
      <c r="P579" s="2"/>
      <c r="Q579" s="51">
        <f t="shared" si="44"/>
        <v>20</v>
      </c>
    </row>
    <row r="580" spans="1:17" hidden="1" x14ac:dyDescent="0.25">
      <c r="A580" s="16">
        <v>45661</v>
      </c>
      <c r="B580" s="2" t="s">
        <v>141</v>
      </c>
      <c r="C580" s="2">
        <v>500</v>
      </c>
      <c r="D580" s="39">
        <v>0.34799999999999998</v>
      </c>
      <c r="E580" s="2">
        <f t="shared" ref="E580:E615" si="47">C580/1000</f>
        <v>0.5</v>
      </c>
      <c r="F580" s="41">
        <v>0.02</v>
      </c>
      <c r="G580" s="41">
        <v>7.0000000000000007E-2</v>
      </c>
      <c r="H580" s="42">
        <f t="shared" ref="H580:H615" si="48">SUM(E580:G580)*D580</f>
        <v>0.20532</v>
      </c>
      <c r="I580" s="42">
        <f t="shared" ref="I580:I615" si="49">SUM(E580:H580)</f>
        <v>0.79532000000000003</v>
      </c>
      <c r="J580" s="2"/>
      <c r="K580" s="2"/>
      <c r="L580" s="2"/>
      <c r="M580" s="2"/>
      <c r="N580" s="40">
        <f>I580*1000</f>
        <v>795.32</v>
      </c>
      <c r="O580" s="2"/>
      <c r="P580" s="2"/>
      <c r="Q580" s="51">
        <f t="shared" si="44"/>
        <v>25.816023738872403</v>
      </c>
    </row>
    <row r="581" spans="1:17" hidden="1" x14ac:dyDescent="0.25">
      <c r="A581" s="16">
        <v>45661</v>
      </c>
      <c r="B581" s="2" t="s">
        <v>109</v>
      </c>
      <c r="C581" s="2">
        <v>600</v>
      </c>
      <c r="D581" s="39">
        <v>0.29799999999999999</v>
      </c>
      <c r="E581" s="2">
        <f t="shared" si="47"/>
        <v>0.6</v>
      </c>
      <c r="F581" s="41">
        <v>0.02</v>
      </c>
      <c r="G581" s="41">
        <v>7.0000000000000007E-2</v>
      </c>
      <c r="H581" s="42">
        <f t="shared" si="48"/>
        <v>0.20561999999999997</v>
      </c>
      <c r="I581" s="42">
        <f t="shared" si="49"/>
        <v>0.89561999999999986</v>
      </c>
      <c r="J581" s="2"/>
      <c r="K581" s="2"/>
      <c r="L581" s="2"/>
      <c r="M581" s="2"/>
      <c r="N581" s="40">
        <f>I581*1000</f>
        <v>895.61999999999989</v>
      </c>
      <c r="O581" s="2"/>
      <c r="P581" s="2"/>
      <c r="Q581" s="51">
        <f t="shared" si="44"/>
        <v>22.95839753466872</v>
      </c>
    </row>
    <row r="582" spans="1:17" hidden="1" x14ac:dyDescent="0.25">
      <c r="A582" s="16">
        <v>45661</v>
      </c>
      <c r="B582" s="2" t="s">
        <v>149</v>
      </c>
      <c r="C582" s="2">
        <v>1750</v>
      </c>
      <c r="D582" s="39">
        <v>0.17599999999999999</v>
      </c>
      <c r="E582" s="2">
        <f t="shared" si="47"/>
        <v>1.75</v>
      </c>
      <c r="F582" s="41">
        <v>0.02</v>
      </c>
      <c r="G582" s="41">
        <v>7.0000000000000007E-2</v>
      </c>
      <c r="H582" s="42">
        <f t="shared" si="48"/>
        <v>0.32384000000000002</v>
      </c>
      <c r="I582" s="42">
        <f t="shared" si="49"/>
        <v>2.16384</v>
      </c>
      <c r="J582" s="2"/>
      <c r="K582" s="2"/>
      <c r="L582" s="2"/>
      <c r="M582" s="2">
        <f>I582*830</f>
        <v>1795.9872</v>
      </c>
      <c r="N582" s="40">
        <f>I582*1000</f>
        <v>2163.84</v>
      </c>
      <c r="O582" s="2"/>
      <c r="P582" s="2"/>
      <c r="Q582" s="51">
        <f t="shared" si="44"/>
        <v>14.965986394557826</v>
      </c>
    </row>
    <row r="583" spans="1:17" hidden="1" x14ac:dyDescent="0.25">
      <c r="A583" s="16">
        <v>45661</v>
      </c>
      <c r="B583" s="2" t="s">
        <v>86</v>
      </c>
      <c r="C583" s="2">
        <v>1180</v>
      </c>
      <c r="D583" s="39">
        <v>8.6999999999999994E-2</v>
      </c>
      <c r="E583" s="2">
        <f t="shared" si="47"/>
        <v>1.18</v>
      </c>
      <c r="F583" s="41">
        <v>0.02</v>
      </c>
      <c r="G583" s="41">
        <v>7.0000000000000007E-2</v>
      </c>
      <c r="H583" s="42">
        <f t="shared" si="48"/>
        <v>0.11048999999999999</v>
      </c>
      <c r="I583" s="42">
        <f t="shared" si="49"/>
        <v>1.38049</v>
      </c>
      <c r="J583" s="2">
        <f>I583*250</f>
        <v>345.1225</v>
      </c>
      <c r="K583" s="2"/>
      <c r="L583" s="2"/>
      <c r="M583" s="2"/>
      <c r="N583" s="40"/>
      <c r="O583" s="2"/>
      <c r="P583" s="2"/>
      <c r="Q583" s="51">
        <f t="shared" si="44"/>
        <v>8.0036798528058863</v>
      </c>
    </row>
    <row r="584" spans="1:17" hidden="1" x14ac:dyDescent="0.25">
      <c r="A584" s="16">
        <v>45661</v>
      </c>
      <c r="B584" s="2" t="s">
        <v>85</v>
      </c>
      <c r="C584" s="2">
        <v>1000</v>
      </c>
      <c r="D584" s="39">
        <v>0.14799999999999999</v>
      </c>
      <c r="E584" s="2">
        <f t="shared" si="47"/>
        <v>1</v>
      </c>
      <c r="F584" s="41">
        <v>0.02</v>
      </c>
      <c r="G584" s="41">
        <v>7.0000000000000007E-2</v>
      </c>
      <c r="H584" s="42">
        <f t="shared" si="48"/>
        <v>0.16131999999999999</v>
      </c>
      <c r="I584" s="42">
        <f t="shared" si="49"/>
        <v>1.25132</v>
      </c>
      <c r="J584" s="2"/>
      <c r="K584" s="2">
        <f>I584*300</f>
        <v>375.39600000000002</v>
      </c>
      <c r="L584" s="2"/>
      <c r="M584" s="2"/>
      <c r="N584" s="40"/>
      <c r="O584" s="2"/>
      <c r="P584" s="2"/>
      <c r="Q584" s="51">
        <f t="shared" si="44"/>
        <v>12.89198606271777</v>
      </c>
    </row>
    <row r="585" spans="1:17" x14ac:dyDescent="0.25">
      <c r="A585" s="16">
        <v>45662</v>
      </c>
      <c r="B585" s="2" t="s">
        <v>136</v>
      </c>
      <c r="C585" s="2">
        <v>700</v>
      </c>
      <c r="D585" s="39">
        <v>0.13400000000000001</v>
      </c>
      <c r="E585" s="2">
        <f t="shared" si="47"/>
        <v>0.7</v>
      </c>
      <c r="F585" s="41">
        <v>0.02</v>
      </c>
      <c r="G585" s="41">
        <v>7.0000000000000007E-2</v>
      </c>
      <c r="H585" s="42">
        <f t="shared" si="48"/>
        <v>0.10586000000000001</v>
      </c>
      <c r="I585" s="42">
        <f t="shared" si="49"/>
        <v>0.8958600000000001</v>
      </c>
      <c r="J585" s="2"/>
      <c r="K585" s="2"/>
      <c r="L585" s="2"/>
      <c r="M585" s="2"/>
      <c r="N585" s="40">
        <f>I585*1000</f>
        <v>895.86000000000013</v>
      </c>
      <c r="O585" s="2"/>
      <c r="P585" s="2"/>
      <c r="Q585" s="51">
        <f t="shared" si="44"/>
        <v>11.81657848324515</v>
      </c>
    </row>
    <row r="586" spans="1:17" hidden="1" x14ac:dyDescent="0.25">
      <c r="A586" s="16">
        <v>45662</v>
      </c>
      <c r="B586" s="2" t="s">
        <v>144</v>
      </c>
      <c r="C586" s="2">
        <v>700</v>
      </c>
      <c r="D586" s="39">
        <v>0.127</v>
      </c>
      <c r="E586" s="2">
        <f t="shared" si="47"/>
        <v>0.7</v>
      </c>
      <c r="F586" s="41">
        <v>0.02</v>
      </c>
      <c r="G586" s="41">
        <v>7.0000000000000007E-2</v>
      </c>
      <c r="H586" s="42">
        <f t="shared" si="48"/>
        <v>0.10033</v>
      </c>
      <c r="I586" s="42">
        <f t="shared" si="49"/>
        <v>0.89033000000000007</v>
      </c>
      <c r="J586" s="2"/>
      <c r="K586" s="2"/>
      <c r="L586" s="2">
        <f>I586*500</f>
        <v>445.16500000000002</v>
      </c>
      <c r="M586" s="2"/>
      <c r="N586" s="40">
        <f>I586*1000</f>
        <v>890.33</v>
      </c>
      <c r="O586" s="2"/>
      <c r="P586" s="2"/>
      <c r="Q586" s="51">
        <f t="shared" si="44"/>
        <v>11.268855368234249</v>
      </c>
    </row>
    <row r="587" spans="1:17" hidden="1" x14ac:dyDescent="0.25">
      <c r="A587" s="16">
        <v>45662</v>
      </c>
      <c r="B587" s="2" t="s">
        <v>84</v>
      </c>
      <c r="C587" s="2">
        <v>700</v>
      </c>
      <c r="D587" s="39">
        <v>0.127</v>
      </c>
      <c r="E587" s="2">
        <f t="shared" si="47"/>
        <v>0.7</v>
      </c>
      <c r="F587" s="41">
        <v>0.02</v>
      </c>
      <c r="G587" s="41">
        <v>7.0000000000000007E-2</v>
      </c>
      <c r="H587" s="42">
        <f t="shared" si="48"/>
        <v>0.10033</v>
      </c>
      <c r="I587" s="42">
        <f t="shared" si="49"/>
        <v>0.89033000000000007</v>
      </c>
      <c r="J587" s="2"/>
      <c r="K587" s="2"/>
      <c r="L587" s="2">
        <f>I587*500</f>
        <v>445.16500000000002</v>
      </c>
      <c r="M587" s="2"/>
      <c r="N587" s="2">
        <f>I587*1000</f>
        <v>890.33</v>
      </c>
      <c r="O587" s="2"/>
      <c r="P587" s="2"/>
      <c r="Q587" s="51">
        <f t="shared" si="44"/>
        <v>11.268855368234249</v>
      </c>
    </row>
    <row r="588" spans="1:17" hidden="1" x14ac:dyDescent="0.25">
      <c r="A588" s="16">
        <v>45662</v>
      </c>
      <c r="B588" s="2" t="s">
        <v>163</v>
      </c>
      <c r="C588" s="2">
        <v>500</v>
      </c>
      <c r="D588" s="39">
        <v>0.34</v>
      </c>
      <c r="E588" s="2">
        <f t="shared" si="47"/>
        <v>0.5</v>
      </c>
      <c r="F588" s="41">
        <v>0.02</v>
      </c>
      <c r="G588" s="41">
        <v>7.0000000000000007E-2</v>
      </c>
      <c r="H588" s="42">
        <f t="shared" si="48"/>
        <v>0.20060000000000003</v>
      </c>
      <c r="I588" s="42">
        <f t="shared" si="49"/>
        <v>0.79060000000000008</v>
      </c>
      <c r="J588" s="2"/>
      <c r="K588" s="2"/>
      <c r="L588" s="2">
        <f>I588*500</f>
        <v>395.30000000000007</v>
      </c>
      <c r="M588" s="2"/>
      <c r="N588" s="2">
        <f>I588*1000</f>
        <v>790.60000000000014</v>
      </c>
      <c r="O588" s="2"/>
      <c r="P588" s="2"/>
      <c r="Q588" s="51">
        <f t="shared" si="44"/>
        <v>25.373134328358208</v>
      </c>
    </row>
    <row r="589" spans="1:17" hidden="1" x14ac:dyDescent="0.25">
      <c r="A589" s="16">
        <v>45662</v>
      </c>
      <c r="B589" s="2" t="s">
        <v>109</v>
      </c>
      <c r="C589" s="2">
        <v>600</v>
      </c>
      <c r="D589" s="39">
        <v>0.29799999999999999</v>
      </c>
      <c r="E589" s="2">
        <f t="shared" si="47"/>
        <v>0.6</v>
      </c>
      <c r="F589" s="41">
        <v>0.02</v>
      </c>
      <c r="G589" s="41">
        <v>7.0000000000000007E-2</v>
      </c>
      <c r="H589" s="42">
        <f t="shared" si="48"/>
        <v>0.20561999999999997</v>
      </c>
      <c r="I589" s="42">
        <f t="shared" si="49"/>
        <v>0.89561999999999986</v>
      </c>
      <c r="J589" s="2"/>
      <c r="K589" s="2"/>
      <c r="L589" s="2"/>
      <c r="M589" s="2"/>
      <c r="N589" s="2">
        <f>I589*1000</f>
        <v>895.61999999999989</v>
      </c>
      <c r="O589" s="2"/>
      <c r="P589" s="2"/>
      <c r="Q589" s="51">
        <f t="shared" si="44"/>
        <v>22.95839753466872</v>
      </c>
    </row>
    <row r="590" spans="1:17" hidden="1" x14ac:dyDescent="0.25">
      <c r="A590" s="16">
        <v>45662</v>
      </c>
      <c r="B590" s="2" t="s">
        <v>98</v>
      </c>
      <c r="C590" s="2">
        <v>600</v>
      </c>
      <c r="D590" s="39">
        <v>0.30499999999999999</v>
      </c>
      <c r="E590" s="2">
        <f t="shared" si="47"/>
        <v>0.6</v>
      </c>
      <c r="F590" s="41">
        <v>0.02</v>
      </c>
      <c r="G590" s="41">
        <v>7.0000000000000007E-2</v>
      </c>
      <c r="H590" s="42">
        <f t="shared" si="48"/>
        <v>0.21044999999999997</v>
      </c>
      <c r="I590" s="42">
        <f t="shared" si="49"/>
        <v>0.90044999999999997</v>
      </c>
      <c r="J590" s="2"/>
      <c r="K590" s="2"/>
      <c r="L590" s="2"/>
      <c r="M590" s="2">
        <f>I590*750</f>
        <v>675.33749999999998</v>
      </c>
      <c r="N590" s="2"/>
      <c r="O590" s="2"/>
      <c r="P590" s="2"/>
      <c r="Q590" s="51">
        <f t="shared" si="44"/>
        <v>23.371647509578541</v>
      </c>
    </row>
    <row r="591" spans="1:17" hidden="1" x14ac:dyDescent="0.25">
      <c r="A591" s="16">
        <v>45662</v>
      </c>
      <c r="B591" s="2" t="s">
        <v>123</v>
      </c>
      <c r="C591" s="2">
        <v>1550</v>
      </c>
      <c r="D591" s="39">
        <v>0.153</v>
      </c>
      <c r="E591" s="2">
        <f t="shared" si="47"/>
        <v>1.55</v>
      </c>
      <c r="F591" s="41">
        <v>0.02</v>
      </c>
      <c r="G591" s="41">
        <v>7.0000000000000007E-2</v>
      </c>
      <c r="H591" s="42">
        <f t="shared" si="48"/>
        <v>0.25092000000000003</v>
      </c>
      <c r="I591" s="42">
        <f t="shared" si="49"/>
        <v>1.8909200000000002</v>
      </c>
      <c r="J591" s="2"/>
      <c r="K591" s="2"/>
      <c r="L591" s="2">
        <f>I591*500</f>
        <v>945.46</v>
      </c>
      <c r="M591" s="2"/>
      <c r="N591" s="2">
        <f t="shared" ref="N591:N612" si="50">I591*1000</f>
        <v>1890.92</v>
      </c>
      <c r="O591" s="2"/>
      <c r="P591" s="2"/>
      <c r="Q591" s="51">
        <f t="shared" si="44"/>
        <v>13.269731136166524</v>
      </c>
    </row>
    <row r="592" spans="1:17" x14ac:dyDescent="0.25">
      <c r="A592" s="16">
        <v>45664</v>
      </c>
      <c r="B592" s="2" t="s">
        <v>136</v>
      </c>
      <c r="C592" s="2">
        <v>620</v>
      </c>
      <c r="D592" s="39">
        <v>0.26100000000000001</v>
      </c>
      <c r="E592" s="2">
        <f t="shared" si="47"/>
        <v>0.62</v>
      </c>
      <c r="F592" s="41">
        <v>0.02</v>
      </c>
      <c r="G592" s="41">
        <v>7.0000000000000007E-2</v>
      </c>
      <c r="H592" s="42">
        <f t="shared" si="48"/>
        <v>0.18531</v>
      </c>
      <c r="I592" s="42">
        <f t="shared" si="49"/>
        <v>0.89530999999999994</v>
      </c>
      <c r="J592" s="2"/>
      <c r="K592" s="2"/>
      <c r="L592" s="2"/>
      <c r="M592" s="2"/>
      <c r="N592" s="2">
        <f t="shared" si="50"/>
        <v>895.31</v>
      </c>
      <c r="O592" s="2"/>
      <c r="P592" s="2"/>
      <c r="Q592" s="51">
        <f t="shared" si="44"/>
        <v>20.697858842188744</v>
      </c>
    </row>
    <row r="593" spans="1:17" x14ac:dyDescent="0.25">
      <c r="A593" s="16">
        <v>45664</v>
      </c>
      <c r="B593" s="2" t="s">
        <v>119</v>
      </c>
      <c r="C593" s="2">
        <v>620</v>
      </c>
      <c r="D593" s="39">
        <v>0.26800000000000002</v>
      </c>
      <c r="E593" s="2">
        <f t="shared" si="47"/>
        <v>0.62</v>
      </c>
      <c r="F593" s="41">
        <v>0.02</v>
      </c>
      <c r="G593" s="41">
        <v>7.0000000000000007E-2</v>
      </c>
      <c r="H593" s="42">
        <f t="shared" si="48"/>
        <v>0.19028</v>
      </c>
      <c r="I593" s="42">
        <f t="shared" si="49"/>
        <v>0.90027999999999997</v>
      </c>
      <c r="J593" s="2"/>
      <c r="K593" s="2"/>
      <c r="L593" s="2"/>
      <c r="M593" s="2">
        <f>I593*750</f>
        <v>675.20999999999992</v>
      </c>
      <c r="N593" s="2">
        <f t="shared" si="50"/>
        <v>900.28</v>
      </c>
      <c r="O593" s="2"/>
      <c r="P593" s="2"/>
      <c r="Q593" s="51">
        <f t="shared" si="44"/>
        <v>21.135646687697161</v>
      </c>
    </row>
    <row r="594" spans="1:17" hidden="1" x14ac:dyDescent="0.25">
      <c r="A594" s="16">
        <v>45664</v>
      </c>
      <c r="B594" s="2" t="s">
        <v>109</v>
      </c>
      <c r="C594" s="2">
        <v>550</v>
      </c>
      <c r="D594" s="39">
        <v>0.39900000000000002</v>
      </c>
      <c r="E594" s="2">
        <f t="shared" si="47"/>
        <v>0.55000000000000004</v>
      </c>
      <c r="F594" s="41">
        <v>0.02</v>
      </c>
      <c r="G594" s="41">
        <v>7.0000000000000007E-2</v>
      </c>
      <c r="H594" s="42">
        <f t="shared" si="48"/>
        <v>0.25536000000000009</v>
      </c>
      <c r="I594" s="42">
        <f t="shared" si="49"/>
        <v>0.89536000000000016</v>
      </c>
      <c r="J594" s="2"/>
      <c r="K594" s="2"/>
      <c r="L594" s="2"/>
      <c r="M594" s="2"/>
      <c r="N594" s="2">
        <f t="shared" si="50"/>
        <v>895.36000000000013</v>
      </c>
      <c r="O594" s="2"/>
      <c r="P594" s="2"/>
      <c r="Q594" s="43">
        <f t="shared" si="44"/>
        <v>28.520371694067197</v>
      </c>
    </row>
    <row r="595" spans="1:17" hidden="1" x14ac:dyDescent="0.25">
      <c r="A595" s="16">
        <v>45664</v>
      </c>
      <c r="B595" s="2" t="s">
        <v>98</v>
      </c>
      <c r="C595" s="2">
        <v>550</v>
      </c>
      <c r="D595" s="39">
        <v>0.40799999999999997</v>
      </c>
      <c r="E595" s="2">
        <f t="shared" si="47"/>
        <v>0.55000000000000004</v>
      </c>
      <c r="F595" s="41">
        <v>0.02</v>
      </c>
      <c r="G595" s="41">
        <v>7.0000000000000007E-2</v>
      </c>
      <c r="H595" s="42">
        <f t="shared" si="48"/>
        <v>0.26112000000000002</v>
      </c>
      <c r="I595" s="42">
        <f t="shared" si="49"/>
        <v>0.90112000000000014</v>
      </c>
      <c r="J595" s="2"/>
      <c r="K595" s="2"/>
      <c r="L595" s="2">
        <f>I595*500</f>
        <v>450.56000000000006</v>
      </c>
      <c r="M595" s="2">
        <f>I595*750</f>
        <v>675.84000000000015</v>
      </c>
      <c r="N595" s="2">
        <f t="shared" si="50"/>
        <v>901.12000000000012</v>
      </c>
      <c r="O595" s="2"/>
      <c r="P595" s="2"/>
      <c r="Q595" s="43">
        <f t="shared" si="44"/>
        <v>28.977272727272723</v>
      </c>
    </row>
    <row r="596" spans="1:17" hidden="1" x14ac:dyDescent="0.25">
      <c r="A596" s="16">
        <v>45664</v>
      </c>
      <c r="B596" s="2" t="s">
        <v>150</v>
      </c>
      <c r="C596" s="2">
        <v>1650</v>
      </c>
      <c r="D596" s="39">
        <v>0.376</v>
      </c>
      <c r="E596" s="2">
        <f t="shared" si="47"/>
        <v>1.65</v>
      </c>
      <c r="F596" s="41">
        <v>0.02</v>
      </c>
      <c r="G596" s="41">
        <v>7.0000000000000007E-2</v>
      </c>
      <c r="H596" s="42">
        <f t="shared" si="48"/>
        <v>0.65424000000000004</v>
      </c>
      <c r="I596" s="42">
        <f t="shared" si="49"/>
        <v>2.3942399999999999</v>
      </c>
      <c r="J596" s="2"/>
      <c r="K596" s="2"/>
      <c r="L596" s="2"/>
      <c r="M596" s="2">
        <f>I596*750</f>
        <v>1795.6799999999998</v>
      </c>
      <c r="N596" s="2">
        <f t="shared" si="50"/>
        <v>2394.2399999999998</v>
      </c>
      <c r="O596" s="2"/>
      <c r="P596" s="2"/>
      <c r="Q596" s="43">
        <f t="shared" si="44"/>
        <v>27.325581395348841</v>
      </c>
    </row>
    <row r="597" spans="1:17" hidden="1" x14ac:dyDescent="0.25">
      <c r="A597" s="16">
        <v>45664</v>
      </c>
      <c r="B597" s="2" t="s">
        <v>139</v>
      </c>
      <c r="C597" s="2">
        <v>1380</v>
      </c>
      <c r="D597" s="39">
        <v>0.157</v>
      </c>
      <c r="E597" s="2">
        <f t="shared" si="47"/>
        <v>1.38</v>
      </c>
      <c r="F597" s="41">
        <v>0.02</v>
      </c>
      <c r="G597" s="41">
        <v>7.0000000000000007E-2</v>
      </c>
      <c r="H597" s="42">
        <f t="shared" si="48"/>
        <v>0.23079</v>
      </c>
      <c r="I597" s="42">
        <f t="shared" si="49"/>
        <v>1.70079</v>
      </c>
      <c r="J597" s="2"/>
      <c r="K597" s="2">
        <f>I597*350</f>
        <v>595.27650000000006</v>
      </c>
      <c r="L597" s="2"/>
      <c r="M597" s="2"/>
      <c r="N597" s="2">
        <f t="shared" si="50"/>
        <v>1700.79</v>
      </c>
      <c r="O597" s="2"/>
      <c r="P597" s="2"/>
      <c r="Q597" s="43">
        <f t="shared" si="44"/>
        <v>13.569576490924806</v>
      </c>
    </row>
    <row r="598" spans="1:17" hidden="1" x14ac:dyDescent="0.25">
      <c r="A598" s="16">
        <v>45664</v>
      </c>
      <c r="B598" s="2" t="s">
        <v>85</v>
      </c>
      <c r="C598" s="2">
        <v>1050</v>
      </c>
      <c r="D598" s="39">
        <v>9.7000000000000003E-2</v>
      </c>
      <c r="E598" s="2">
        <f t="shared" si="47"/>
        <v>1.05</v>
      </c>
      <c r="F598" s="41">
        <v>0.02</v>
      </c>
      <c r="G598" s="41">
        <v>7.0000000000000007E-2</v>
      </c>
      <c r="H598" s="42">
        <f t="shared" si="48"/>
        <v>0.11058000000000001</v>
      </c>
      <c r="I598" s="42">
        <f t="shared" si="49"/>
        <v>1.2505800000000002</v>
      </c>
      <c r="J598" s="2"/>
      <c r="K598" s="2">
        <f>I598*300</f>
        <v>375.17400000000009</v>
      </c>
      <c r="L598" s="2"/>
      <c r="M598" s="2"/>
      <c r="N598" s="2">
        <f t="shared" si="50"/>
        <v>1250.5800000000002</v>
      </c>
      <c r="O598" s="2"/>
      <c r="P598" s="2"/>
      <c r="Q598" s="43">
        <f t="shared" si="44"/>
        <v>8.8422971741112111</v>
      </c>
    </row>
    <row r="599" spans="1:17" hidden="1" x14ac:dyDescent="0.25">
      <c r="A599" s="16">
        <v>45665</v>
      </c>
      <c r="B599" s="2" t="s">
        <v>123</v>
      </c>
      <c r="C599" s="2">
        <v>1400</v>
      </c>
      <c r="D599" s="39">
        <v>0.26800000000000002</v>
      </c>
      <c r="E599" s="2">
        <f t="shared" si="47"/>
        <v>1.4</v>
      </c>
      <c r="F599" s="41">
        <v>0.02</v>
      </c>
      <c r="G599" s="41">
        <v>7.0000000000000007E-2</v>
      </c>
      <c r="H599" s="42">
        <f t="shared" si="48"/>
        <v>0.39932000000000001</v>
      </c>
      <c r="I599" s="42">
        <f t="shared" si="49"/>
        <v>1.8893200000000001</v>
      </c>
      <c r="J599" s="2"/>
      <c r="K599" s="2"/>
      <c r="L599" s="2">
        <f>I599*500</f>
        <v>944.66000000000008</v>
      </c>
      <c r="M599" s="2"/>
      <c r="N599" s="2">
        <f t="shared" si="50"/>
        <v>1889.3200000000002</v>
      </c>
      <c r="O599" s="2"/>
      <c r="P599" s="2"/>
      <c r="Q599" s="43">
        <f t="shared" si="44"/>
        <v>21.135646687697157</v>
      </c>
    </row>
    <row r="600" spans="1:17" hidden="1" x14ac:dyDescent="0.25">
      <c r="A600" s="16">
        <v>45665</v>
      </c>
      <c r="B600" s="2" t="s">
        <v>86</v>
      </c>
      <c r="C600" s="2">
        <v>1200</v>
      </c>
      <c r="D600" s="39">
        <v>0.16500000000000001</v>
      </c>
      <c r="E600" s="2">
        <f t="shared" si="47"/>
        <v>1.2</v>
      </c>
      <c r="F600" s="41">
        <v>0.02</v>
      </c>
      <c r="G600" s="41">
        <v>7.0000000000000007E-2</v>
      </c>
      <c r="H600" s="42">
        <f t="shared" si="48"/>
        <v>0.21285000000000001</v>
      </c>
      <c r="I600" s="42">
        <f t="shared" si="49"/>
        <v>1.50285</v>
      </c>
      <c r="J600" s="2">
        <f>I600*250</f>
        <v>375.71249999999998</v>
      </c>
      <c r="K600" s="2"/>
      <c r="L600" s="2"/>
      <c r="M600" s="2"/>
      <c r="N600" s="2">
        <f t="shared" si="50"/>
        <v>1502.85</v>
      </c>
      <c r="O600" s="2"/>
      <c r="P600" s="2"/>
      <c r="Q600" s="43">
        <f t="shared" si="44"/>
        <v>14.163090128755366</v>
      </c>
    </row>
    <row r="601" spans="1:17" x14ac:dyDescent="0.25">
      <c r="A601" s="16">
        <v>45666</v>
      </c>
      <c r="B601" s="2" t="s">
        <v>119</v>
      </c>
      <c r="C601" s="2">
        <v>600</v>
      </c>
      <c r="D601" s="11">
        <v>0.30499999999999999</v>
      </c>
      <c r="E601" s="2">
        <f t="shared" si="47"/>
        <v>0.6</v>
      </c>
      <c r="F601" s="10">
        <v>0.02</v>
      </c>
      <c r="G601" s="10">
        <v>7.0000000000000007E-2</v>
      </c>
      <c r="H601" s="12">
        <f t="shared" si="48"/>
        <v>0.21044999999999997</v>
      </c>
      <c r="I601" s="12">
        <f t="shared" si="49"/>
        <v>0.90044999999999997</v>
      </c>
      <c r="J601" s="2"/>
      <c r="K601" s="2"/>
      <c r="L601" s="2"/>
      <c r="M601" s="2">
        <f>I601*750</f>
        <v>675.33749999999998</v>
      </c>
      <c r="N601" s="2">
        <f t="shared" si="50"/>
        <v>900.44999999999993</v>
      </c>
      <c r="O601" s="2"/>
      <c r="P601" s="2"/>
      <c r="Q601" s="51">
        <f t="shared" si="44"/>
        <v>23.371647509578541</v>
      </c>
    </row>
    <row r="602" spans="1:17" x14ac:dyDescent="0.25">
      <c r="A602" s="16">
        <v>45666</v>
      </c>
      <c r="B602" s="47" t="s">
        <v>127</v>
      </c>
      <c r="C602" s="47">
        <v>600</v>
      </c>
      <c r="D602" s="48">
        <v>0.28999999999999998</v>
      </c>
      <c r="E602" s="47">
        <f t="shared" si="47"/>
        <v>0.6</v>
      </c>
      <c r="F602" s="49">
        <v>0.02</v>
      </c>
      <c r="G602" s="49">
        <v>7.0000000000000007E-2</v>
      </c>
      <c r="H602" s="50">
        <f t="shared" si="48"/>
        <v>0.20009999999999997</v>
      </c>
      <c r="I602" s="50">
        <f t="shared" si="49"/>
        <v>0.89009999999999989</v>
      </c>
      <c r="J602" s="47"/>
      <c r="K602" s="47"/>
      <c r="L602" s="47">
        <f>I602*500</f>
        <v>445.04999999999995</v>
      </c>
      <c r="M602" s="47"/>
      <c r="N602" s="47">
        <f t="shared" si="50"/>
        <v>890.09999999999991</v>
      </c>
      <c r="O602" s="47"/>
      <c r="P602" s="47"/>
      <c r="Q602" s="51">
        <f t="shared" si="44"/>
        <v>22.480620155038757</v>
      </c>
    </row>
    <row r="603" spans="1:17" hidden="1" x14ac:dyDescent="0.25">
      <c r="A603" s="16">
        <v>45666</v>
      </c>
      <c r="B603" s="2" t="s">
        <v>109</v>
      </c>
      <c r="C603" s="2">
        <v>570</v>
      </c>
      <c r="D603" s="39">
        <v>0.35599999999999998</v>
      </c>
      <c r="E603" s="2">
        <f t="shared" si="47"/>
        <v>0.56999999999999995</v>
      </c>
      <c r="F603" s="41">
        <v>0.02</v>
      </c>
      <c r="G603" s="41">
        <v>7.0000000000000007E-2</v>
      </c>
      <c r="H603" s="42">
        <f t="shared" si="48"/>
        <v>0.23495999999999995</v>
      </c>
      <c r="I603" s="42">
        <f t="shared" si="49"/>
        <v>0.89495999999999987</v>
      </c>
      <c r="J603" s="2"/>
      <c r="K603" s="2"/>
      <c r="L603" s="2"/>
      <c r="M603" s="2"/>
      <c r="N603" s="2">
        <f t="shared" si="50"/>
        <v>894.95999999999992</v>
      </c>
      <c r="O603" s="2"/>
      <c r="P603" s="2"/>
      <c r="Q603" s="43">
        <f t="shared" si="44"/>
        <v>26.253687315634217</v>
      </c>
    </row>
    <row r="604" spans="1:17" hidden="1" x14ac:dyDescent="0.25">
      <c r="A604" s="16">
        <v>45666</v>
      </c>
      <c r="B604" s="2" t="s">
        <v>98</v>
      </c>
      <c r="C604" s="2">
        <v>570</v>
      </c>
      <c r="D604" s="11">
        <v>0.36499999999999999</v>
      </c>
      <c r="E604" s="2">
        <f t="shared" si="47"/>
        <v>0.56999999999999995</v>
      </c>
      <c r="F604" s="10">
        <v>0.02</v>
      </c>
      <c r="G604" s="10">
        <v>7.0000000000000007E-2</v>
      </c>
      <c r="H604" s="12">
        <f t="shared" si="48"/>
        <v>0.24089999999999998</v>
      </c>
      <c r="I604" s="12">
        <f t="shared" si="49"/>
        <v>0.90089999999999992</v>
      </c>
      <c r="J604" s="2"/>
      <c r="K604" s="2"/>
      <c r="L604" s="2">
        <f>I604*500</f>
        <v>450.45</v>
      </c>
      <c r="M604" s="2">
        <f>I604*750</f>
        <v>675.67499999999995</v>
      </c>
      <c r="N604" s="2">
        <f t="shared" si="50"/>
        <v>900.9</v>
      </c>
      <c r="O604" s="2"/>
      <c r="P604" s="2"/>
      <c r="Q604" s="28">
        <f t="shared" si="44"/>
        <v>26.739926739926737</v>
      </c>
    </row>
    <row r="605" spans="1:17" hidden="1" x14ac:dyDescent="0.25">
      <c r="A605" s="16">
        <v>45666</v>
      </c>
      <c r="B605" s="2" t="s">
        <v>122</v>
      </c>
      <c r="C605" s="2">
        <v>570</v>
      </c>
      <c r="D605" s="39">
        <v>0.35</v>
      </c>
      <c r="E605" s="2">
        <f t="shared" si="47"/>
        <v>0.56999999999999995</v>
      </c>
      <c r="F605" s="41">
        <v>0.02</v>
      </c>
      <c r="G605" s="41">
        <v>7.0000000000000007E-2</v>
      </c>
      <c r="H605" s="42">
        <f t="shared" si="48"/>
        <v>0.23099999999999996</v>
      </c>
      <c r="I605" s="42">
        <f t="shared" si="49"/>
        <v>0.8909999999999999</v>
      </c>
      <c r="J605" s="2"/>
      <c r="K605" s="2"/>
      <c r="L605" s="2">
        <f>I605*500</f>
        <v>445.49999999999994</v>
      </c>
      <c r="M605" s="2"/>
      <c r="N605" s="2">
        <f t="shared" si="50"/>
        <v>890.99999999999989</v>
      </c>
      <c r="O605" s="2"/>
      <c r="P605" s="2"/>
      <c r="Q605" s="43">
        <f t="shared" si="44"/>
        <v>25.925925925925924</v>
      </c>
    </row>
    <row r="606" spans="1:17" hidden="1" x14ac:dyDescent="0.25">
      <c r="A606" s="16">
        <v>45666</v>
      </c>
      <c r="B606" s="47" t="s">
        <v>123</v>
      </c>
      <c r="C606" s="47">
        <v>1570</v>
      </c>
      <c r="D606" s="48">
        <v>0.13800000000000001</v>
      </c>
      <c r="E606" s="47">
        <f t="shared" si="47"/>
        <v>1.57</v>
      </c>
      <c r="F606" s="49">
        <v>0.02</v>
      </c>
      <c r="G606" s="49">
        <v>7.0000000000000007E-2</v>
      </c>
      <c r="H606" s="50">
        <f t="shared" si="48"/>
        <v>0.22908000000000003</v>
      </c>
      <c r="I606" s="50">
        <f t="shared" si="49"/>
        <v>1.8890800000000001</v>
      </c>
      <c r="J606" s="47"/>
      <c r="K606" s="47"/>
      <c r="L606" s="47">
        <f>I606*500</f>
        <v>944.54000000000008</v>
      </c>
      <c r="M606" s="47"/>
      <c r="N606" s="47">
        <f t="shared" si="50"/>
        <v>1889.0800000000002</v>
      </c>
      <c r="O606" s="47"/>
      <c r="P606" s="47"/>
      <c r="Q606" s="51">
        <f t="shared" si="44"/>
        <v>12.126537785588754</v>
      </c>
    </row>
    <row r="607" spans="1:17" hidden="1" x14ac:dyDescent="0.25">
      <c r="A607" s="16">
        <v>45666</v>
      </c>
      <c r="B607" s="2" t="s">
        <v>86</v>
      </c>
      <c r="C607" s="2">
        <v>1250</v>
      </c>
      <c r="D607" s="11">
        <v>0.12</v>
      </c>
      <c r="E607" s="2">
        <f t="shared" si="47"/>
        <v>1.25</v>
      </c>
      <c r="F607" s="10">
        <v>0.02</v>
      </c>
      <c r="G607" s="10">
        <v>7.0000000000000007E-2</v>
      </c>
      <c r="H607" s="12">
        <f t="shared" si="48"/>
        <v>0.1608</v>
      </c>
      <c r="I607" s="12">
        <f t="shared" si="49"/>
        <v>1.5008000000000001</v>
      </c>
      <c r="J607" s="2">
        <f>I607*250</f>
        <v>375.20000000000005</v>
      </c>
      <c r="K607" s="2"/>
      <c r="L607" s="2"/>
      <c r="M607" s="2"/>
      <c r="N607" s="2">
        <f t="shared" si="50"/>
        <v>1500.8000000000002</v>
      </c>
      <c r="O607" s="2"/>
      <c r="P607" s="2"/>
      <c r="Q607" s="51">
        <f t="shared" si="44"/>
        <v>10.714285714285714</v>
      </c>
    </row>
    <row r="608" spans="1:17" hidden="1" x14ac:dyDescent="0.25">
      <c r="A608" s="16">
        <v>45666</v>
      </c>
      <c r="B608" s="2" t="s">
        <v>85</v>
      </c>
      <c r="C608" s="2">
        <v>1050</v>
      </c>
      <c r="D608" s="11">
        <v>0.155</v>
      </c>
      <c r="E608" s="2">
        <f t="shared" si="47"/>
        <v>1.05</v>
      </c>
      <c r="F608" s="10">
        <v>0.02</v>
      </c>
      <c r="G608" s="10">
        <v>7.0000000000000007E-2</v>
      </c>
      <c r="H608" s="12">
        <f t="shared" si="48"/>
        <v>0.17670000000000002</v>
      </c>
      <c r="I608" s="12">
        <f t="shared" si="49"/>
        <v>1.3167000000000002</v>
      </c>
      <c r="J608" s="2"/>
      <c r="K608" s="2">
        <f>I608*300</f>
        <v>395.01000000000005</v>
      </c>
      <c r="L608" s="2"/>
      <c r="M608" s="2"/>
      <c r="N608" s="2">
        <f t="shared" si="50"/>
        <v>1316.7000000000003</v>
      </c>
      <c r="O608" s="2"/>
      <c r="P608" s="2"/>
      <c r="Q608" s="28">
        <f t="shared" si="44"/>
        <v>13.419913419913421</v>
      </c>
    </row>
    <row r="609" spans="1:17" hidden="1" x14ac:dyDescent="0.25">
      <c r="A609" s="16">
        <v>45667</v>
      </c>
      <c r="B609" s="2" t="s">
        <v>84</v>
      </c>
      <c r="C609" s="2">
        <v>700</v>
      </c>
      <c r="D609" s="39">
        <v>0.20300000000000001</v>
      </c>
      <c r="E609" s="2">
        <f t="shared" si="47"/>
        <v>0.7</v>
      </c>
      <c r="F609" s="41">
        <v>0.02</v>
      </c>
      <c r="G609" s="41">
        <v>7.0000000000000007E-2</v>
      </c>
      <c r="H609" s="42">
        <f t="shared" si="48"/>
        <v>0.16037000000000001</v>
      </c>
      <c r="I609" s="42">
        <f t="shared" si="49"/>
        <v>0.95037000000000005</v>
      </c>
      <c r="J609" s="2"/>
      <c r="K609" s="2"/>
      <c r="L609" s="2">
        <f>I609*500</f>
        <v>475.185</v>
      </c>
      <c r="M609" s="2"/>
      <c r="N609" s="2">
        <f t="shared" si="50"/>
        <v>950.37</v>
      </c>
      <c r="O609" s="2"/>
      <c r="P609" s="2"/>
      <c r="Q609" s="43">
        <f t="shared" si="44"/>
        <v>16.874480465502909</v>
      </c>
    </row>
    <row r="610" spans="1:17" hidden="1" x14ac:dyDescent="0.25">
      <c r="A610" s="16">
        <v>45667</v>
      </c>
      <c r="B610" s="2" t="s">
        <v>163</v>
      </c>
      <c r="C610" s="2">
        <v>650</v>
      </c>
      <c r="D610" s="39">
        <v>0.15</v>
      </c>
      <c r="E610" s="2">
        <f t="shared" si="47"/>
        <v>0.65</v>
      </c>
      <c r="F610" s="41">
        <v>0.02</v>
      </c>
      <c r="G610" s="41">
        <v>7.0000000000000007E-2</v>
      </c>
      <c r="H610" s="42">
        <f t="shared" si="48"/>
        <v>0.111</v>
      </c>
      <c r="I610" s="42">
        <f t="shared" si="49"/>
        <v>0.85099999999999998</v>
      </c>
      <c r="J610" s="2"/>
      <c r="K610" s="2"/>
      <c r="L610" s="2">
        <f>I610*500</f>
        <v>425.5</v>
      </c>
      <c r="M610" s="2"/>
      <c r="N610" s="2">
        <f t="shared" si="50"/>
        <v>851</v>
      </c>
      <c r="O610" s="2"/>
      <c r="P610" s="2"/>
      <c r="Q610" s="43">
        <f t="shared" si="44"/>
        <v>13.043478260869565</v>
      </c>
    </row>
    <row r="611" spans="1:17" hidden="1" x14ac:dyDescent="0.25">
      <c r="A611" s="16">
        <v>45667</v>
      </c>
      <c r="B611" s="2" t="s">
        <v>150</v>
      </c>
      <c r="C611" s="2">
        <v>1700</v>
      </c>
      <c r="D611" s="39">
        <v>0.17699999999999999</v>
      </c>
      <c r="E611" s="2">
        <f t="shared" si="47"/>
        <v>1.7</v>
      </c>
      <c r="F611" s="41">
        <v>0.02</v>
      </c>
      <c r="G611" s="41">
        <v>7.0000000000000007E-2</v>
      </c>
      <c r="H611" s="42">
        <f t="shared" si="48"/>
        <v>0.31683</v>
      </c>
      <c r="I611" s="42">
        <f t="shared" si="49"/>
        <v>2.10683</v>
      </c>
      <c r="J611" s="2"/>
      <c r="K611" s="2"/>
      <c r="L611" s="2"/>
      <c r="M611" s="2">
        <f>I611*900</f>
        <v>1896.1469999999999</v>
      </c>
      <c r="N611" s="2">
        <f t="shared" si="50"/>
        <v>2106.83</v>
      </c>
      <c r="O611" s="2"/>
      <c r="P611" s="2"/>
      <c r="Q611" s="43">
        <f t="shared" si="44"/>
        <v>15.038232795242143</v>
      </c>
    </row>
    <row r="612" spans="1:17" hidden="1" x14ac:dyDescent="0.25">
      <c r="A612" s="16">
        <v>45668</v>
      </c>
      <c r="B612" s="2" t="s">
        <v>144</v>
      </c>
      <c r="C612" s="2">
        <v>700</v>
      </c>
      <c r="D612" s="39">
        <v>0.19600000000000001</v>
      </c>
      <c r="E612" s="2">
        <f t="shared" si="47"/>
        <v>0.7</v>
      </c>
      <c r="F612" s="41">
        <v>0.02</v>
      </c>
      <c r="G612" s="41">
        <v>7.0000000000000007E-2</v>
      </c>
      <c r="H612" s="42">
        <f t="shared" si="48"/>
        <v>0.15484000000000001</v>
      </c>
      <c r="I612" s="42">
        <f t="shared" si="49"/>
        <v>0.94484000000000001</v>
      </c>
      <c r="J612" s="2"/>
      <c r="K612" s="2"/>
      <c r="L612" s="2">
        <f>I612*500</f>
        <v>472.42</v>
      </c>
      <c r="M612" s="2"/>
      <c r="N612" s="2">
        <f t="shared" si="50"/>
        <v>944.84</v>
      </c>
      <c r="O612" s="2"/>
      <c r="P612" s="2"/>
      <c r="Q612" s="51">
        <f t="shared" si="44"/>
        <v>16.387959866220736</v>
      </c>
    </row>
    <row r="613" spans="1:17" hidden="1" x14ac:dyDescent="0.25">
      <c r="A613" s="16">
        <v>45668</v>
      </c>
      <c r="B613" s="2" t="s">
        <v>100</v>
      </c>
      <c r="C613" s="2">
        <v>650</v>
      </c>
      <c r="D613" s="39">
        <v>0.14799999999999999</v>
      </c>
      <c r="E613" s="2">
        <f t="shared" si="47"/>
        <v>0.65</v>
      </c>
      <c r="F613" s="41">
        <v>0.02</v>
      </c>
      <c r="G613" s="41">
        <v>7.0000000000000007E-2</v>
      </c>
      <c r="H613" s="42">
        <f t="shared" si="48"/>
        <v>0.10951999999999999</v>
      </c>
      <c r="I613" s="42">
        <f t="shared" si="49"/>
        <v>0.84951999999999994</v>
      </c>
      <c r="J613" s="2"/>
      <c r="K613" s="2"/>
      <c r="L613" s="2">
        <f>I613*500</f>
        <v>424.76</v>
      </c>
      <c r="M613" s="2"/>
      <c r="N613" s="2"/>
      <c r="O613" s="2"/>
      <c r="P613" s="2"/>
      <c r="Q613" s="51">
        <f t="shared" si="44"/>
        <v>12.89198606271777</v>
      </c>
    </row>
    <row r="614" spans="1:17" hidden="1" x14ac:dyDescent="0.25">
      <c r="A614" s="16">
        <v>45668</v>
      </c>
      <c r="B614" s="2" t="s">
        <v>163</v>
      </c>
      <c r="C614" s="2">
        <v>650</v>
      </c>
      <c r="D614" s="39">
        <v>7.0000000000000007E-2</v>
      </c>
      <c r="E614" s="2">
        <f t="shared" si="47"/>
        <v>0.65</v>
      </c>
      <c r="F614" s="41">
        <v>0.02</v>
      </c>
      <c r="G614" s="41">
        <v>7.0000000000000007E-2</v>
      </c>
      <c r="H614" s="42">
        <f t="shared" si="48"/>
        <v>5.1800000000000006E-2</v>
      </c>
      <c r="I614" s="42">
        <f t="shared" si="49"/>
        <v>0.79179999999999995</v>
      </c>
      <c r="J614" s="2"/>
      <c r="K614" s="2"/>
      <c r="L614" s="2">
        <f>I614*500</f>
        <v>395.9</v>
      </c>
      <c r="M614" s="2"/>
      <c r="N614" s="2">
        <f>I614*1000</f>
        <v>791.8</v>
      </c>
      <c r="O614" s="2"/>
      <c r="P614" s="2"/>
      <c r="Q614" s="52">
        <f t="shared" si="44"/>
        <v>6.5420560747663563</v>
      </c>
    </row>
    <row r="615" spans="1:17" hidden="1" x14ac:dyDescent="0.25">
      <c r="A615" s="16">
        <v>45668</v>
      </c>
      <c r="B615" s="47" t="s">
        <v>86</v>
      </c>
      <c r="C615" s="47">
        <v>1050</v>
      </c>
      <c r="D615" s="48">
        <v>0.315</v>
      </c>
      <c r="E615" s="47">
        <f t="shared" si="47"/>
        <v>1.05</v>
      </c>
      <c r="F615" s="49">
        <v>0.02</v>
      </c>
      <c r="G615" s="49">
        <v>7.0000000000000007E-2</v>
      </c>
      <c r="H615" s="50">
        <f t="shared" si="48"/>
        <v>0.35910000000000003</v>
      </c>
      <c r="I615" s="50">
        <f t="shared" si="49"/>
        <v>1.4991000000000001</v>
      </c>
      <c r="J615" s="47">
        <f>I615*250</f>
        <v>374.77500000000003</v>
      </c>
      <c r="K615" s="47"/>
      <c r="L615" s="47"/>
      <c r="M615" s="47"/>
      <c r="N615" s="47">
        <f>I615*1000</f>
        <v>1499.1000000000001</v>
      </c>
      <c r="O615" s="47"/>
      <c r="P615" s="47"/>
      <c r="Q615" s="51">
        <f t="shared" si="44"/>
        <v>23.954372623574145</v>
      </c>
    </row>
    <row r="616" spans="1:17" hidden="1" x14ac:dyDescent="0.25">
      <c r="A616" s="16">
        <v>45668</v>
      </c>
      <c r="B616" s="2" t="s">
        <v>85</v>
      </c>
      <c r="C616" s="2">
        <v>1020</v>
      </c>
      <c r="D616" s="39">
        <v>0.155</v>
      </c>
      <c r="E616" s="2">
        <v>1.05</v>
      </c>
      <c r="F616" s="41">
        <v>0.02</v>
      </c>
      <c r="G616" s="41">
        <v>7.0000000000000007E-2</v>
      </c>
      <c r="H616" s="42">
        <v>0.17670000000000002</v>
      </c>
      <c r="I616" s="42">
        <v>1.3167000000000002</v>
      </c>
      <c r="J616" s="2"/>
      <c r="K616" s="2">
        <v>395.01000000000005</v>
      </c>
      <c r="L616" s="2"/>
      <c r="M616" s="2"/>
      <c r="N616" s="2">
        <v>1316.7000000000003</v>
      </c>
      <c r="O616" s="2"/>
      <c r="P616" s="2"/>
      <c r="Q616" s="51">
        <v>13.419913419913421</v>
      </c>
    </row>
    <row r="617" spans="1:17" ht="14.25" customHeight="1" x14ac:dyDescent="0.25">
      <c r="A617" s="16">
        <v>45669</v>
      </c>
      <c r="B617" s="2" t="s">
        <v>119</v>
      </c>
      <c r="C617" s="2">
        <v>700</v>
      </c>
      <c r="D617" s="14">
        <v>0.09</v>
      </c>
      <c r="E617" s="2">
        <f t="shared" ref="E617:E643" si="51">C617/1000</f>
        <v>0.7</v>
      </c>
      <c r="F617" s="10">
        <v>0.02</v>
      </c>
      <c r="G617" s="10">
        <v>7.0000000000000007E-2</v>
      </c>
      <c r="H617" s="12">
        <f t="shared" ref="H617:H643" si="52">SUM(E617:G617)*D617</f>
        <v>7.1099999999999997E-2</v>
      </c>
      <c r="I617" s="12">
        <f t="shared" ref="I617:I643" si="53">SUM(E617:H617)</f>
        <v>0.86109999999999998</v>
      </c>
      <c r="J617" s="2"/>
      <c r="K617" s="2"/>
      <c r="L617" s="2"/>
      <c r="M617" s="2">
        <f>I617*750</f>
        <v>645.82499999999993</v>
      </c>
      <c r="N617" s="2">
        <f t="shared" ref="N617:N636" si="54">I617*1000</f>
        <v>861.1</v>
      </c>
      <c r="O617" s="2"/>
      <c r="P617" s="2"/>
      <c r="Q617" s="28">
        <v>23.371647509578541</v>
      </c>
    </row>
    <row r="618" spans="1:17" hidden="1" x14ac:dyDescent="0.25">
      <c r="A618" s="16">
        <v>45669</v>
      </c>
      <c r="B618" s="2" t="s">
        <v>109</v>
      </c>
      <c r="C618" s="2">
        <v>600</v>
      </c>
      <c r="D618" s="39">
        <v>0.29799999999999999</v>
      </c>
      <c r="E618" s="2">
        <f t="shared" si="51"/>
        <v>0.6</v>
      </c>
      <c r="F618" s="41">
        <v>0.02</v>
      </c>
      <c r="G618" s="41">
        <v>7.0000000000000007E-2</v>
      </c>
      <c r="H618" s="42">
        <f t="shared" si="52"/>
        <v>0.20561999999999997</v>
      </c>
      <c r="I618" s="42">
        <f t="shared" si="53"/>
        <v>0.89561999999999986</v>
      </c>
      <c r="J618" s="2"/>
      <c r="K618" s="2"/>
      <c r="L618" s="2"/>
      <c r="M618" s="2"/>
      <c r="N618" s="2">
        <f t="shared" si="54"/>
        <v>895.61999999999989</v>
      </c>
      <c r="O618" s="2"/>
      <c r="P618" s="2"/>
      <c r="Q618" s="51">
        <f t="shared" ref="Q618:Q632" si="55">H618/I618%</f>
        <v>22.95839753466872</v>
      </c>
    </row>
    <row r="619" spans="1:17" hidden="1" x14ac:dyDescent="0.25">
      <c r="A619" s="45">
        <v>45669</v>
      </c>
      <c r="B619" s="47" t="s">
        <v>98</v>
      </c>
      <c r="C619" s="47">
        <v>600</v>
      </c>
      <c r="D619" s="11">
        <v>0.30599999999999999</v>
      </c>
      <c r="E619" s="47">
        <f t="shared" si="51"/>
        <v>0.6</v>
      </c>
      <c r="F619" s="49">
        <v>0.02</v>
      </c>
      <c r="G619" s="49">
        <v>7.0000000000000007E-2</v>
      </c>
      <c r="H619" s="50">
        <f t="shared" si="52"/>
        <v>0.21113999999999997</v>
      </c>
      <c r="I619" s="50">
        <f t="shared" si="53"/>
        <v>0.90113999999999994</v>
      </c>
      <c r="J619" s="47"/>
      <c r="K619" s="47"/>
      <c r="L619" s="47">
        <f>I619*500</f>
        <v>450.57</v>
      </c>
      <c r="M619" s="47">
        <f>I619*750</f>
        <v>675.8549999999999</v>
      </c>
      <c r="N619" s="47">
        <f t="shared" si="54"/>
        <v>901.14</v>
      </c>
      <c r="O619" s="47"/>
      <c r="P619" s="47"/>
      <c r="Q619" s="51">
        <f t="shared" si="55"/>
        <v>23.43032159264931</v>
      </c>
    </row>
    <row r="620" spans="1:17" hidden="1" x14ac:dyDescent="0.25">
      <c r="A620" s="16">
        <v>45669</v>
      </c>
      <c r="B620" s="2" t="s">
        <v>123</v>
      </c>
      <c r="C620" s="2">
        <v>1550</v>
      </c>
      <c r="D620" s="39">
        <v>0.153</v>
      </c>
      <c r="E620" s="2">
        <f t="shared" si="51"/>
        <v>1.55</v>
      </c>
      <c r="F620" s="41">
        <v>0.02</v>
      </c>
      <c r="G620" s="41">
        <v>7.0000000000000007E-2</v>
      </c>
      <c r="H620" s="42">
        <f t="shared" si="52"/>
        <v>0.25092000000000003</v>
      </c>
      <c r="I620" s="42">
        <f t="shared" si="53"/>
        <v>1.8909200000000002</v>
      </c>
      <c r="J620" s="2"/>
      <c r="K620" s="2"/>
      <c r="L620" s="2">
        <f>I620*500</f>
        <v>945.46</v>
      </c>
      <c r="M620" s="2"/>
      <c r="N620" s="2">
        <f t="shared" si="54"/>
        <v>1890.92</v>
      </c>
      <c r="O620" s="2"/>
      <c r="P620" s="2"/>
      <c r="Q620" s="43">
        <f t="shared" si="55"/>
        <v>13.269731136166524</v>
      </c>
    </row>
    <row r="621" spans="1:17" hidden="1" x14ac:dyDescent="0.25">
      <c r="A621" s="16">
        <v>45669</v>
      </c>
      <c r="B621" s="2" t="s">
        <v>150</v>
      </c>
      <c r="C621" s="2">
        <v>1650</v>
      </c>
      <c r="D621" s="11">
        <v>0.26150000000000001</v>
      </c>
      <c r="E621" s="2">
        <f t="shared" si="51"/>
        <v>1.65</v>
      </c>
      <c r="F621" s="41">
        <v>0.02</v>
      </c>
      <c r="G621" s="41">
        <v>7.0000000000000007E-2</v>
      </c>
      <c r="H621" s="42">
        <f t="shared" si="52"/>
        <v>0.45501000000000003</v>
      </c>
      <c r="I621" s="42">
        <f t="shared" si="53"/>
        <v>2.1950099999999999</v>
      </c>
      <c r="J621" s="2"/>
      <c r="K621" s="2"/>
      <c r="L621" s="2"/>
      <c r="M621" s="2">
        <f>I621*900</f>
        <v>1975.509</v>
      </c>
      <c r="N621" s="40">
        <f t="shared" si="54"/>
        <v>2195.0099999999998</v>
      </c>
      <c r="O621" s="2"/>
      <c r="P621" s="2"/>
      <c r="Q621" s="28">
        <f t="shared" si="55"/>
        <v>20.729290527150219</v>
      </c>
    </row>
    <row r="622" spans="1:17" ht="14.25" hidden="1" customHeight="1" x14ac:dyDescent="0.25">
      <c r="A622" s="45">
        <v>45669</v>
      </c>
      <c r="B622" s="2" t="s">
        <v>86</v>
      </c>
      <c r="C622" s="2">
        <v>1150</v>
      </c>
      <c r="D622" s="11">
        <v>0.21</v>
      </c>
      <c r="E622" s="2">
        <f t="shared" si="51"/>
        <v>1.1499999999999999</v>
      </c>
      <c r="F622" s="10">
        <v>0.02</v>
      </c>
      <c r="G622" s="10">
        <v>7.0000000000000007E-2</v>
      </c>
      <c r="H622" s="12">
        <f t="shared" si="52"/>
        <v>0.26039999999999996</v>
      </c>
      <c r="I622" s="12">
        <f t="shared" si="53"/>
        <v>1.5004</v>
      </c>
      <c r="J622" s="2">
        <f>I622*250</f>
        <v>375.09999999999997</v>
      </c>
      <c r="K622" s="2"/>
      <c r="L622" s="2"/>
      <c r="M622" s="2"/>
      <c r="N622" s="2">
        <f t="shared" si="54"/>
        <v>1500.3999999999999</v>
      </c>
      <c r="O622" s="2"/>
      <c r="P622" s="2"/>
      <c r="Q622" s="51">
        <f t="shared" si="55"/>
        <v>17.355371900826444</v>
      </c>
    </row>
    <row r="623" spans="1:17" hidden="1" x14ac:dyDescent="0.25">
      <c r="A623" s="16">
        <v>45669</v>
      </c>
      <c r="B623" s="2" t="s">
        <v>85</v>
      </c>
      <c r="C623" s="2">
        <v>950</v>
      </c>
      <c r="D623" s="39">
        <v>0.26500000000000001</v>
      </c>
      <c r="E623" s="2">
        <f t="shared" si="51"/>
        <v>0.95</v>
      </c>
      <c r="F623" s="41">
        <v>0.02</v>
      </c>
      <c r="G623" s="41">
        <v>7.0000000000000007E-2</v>
      </c>
      <c r="H623" s="42">
        <f t="shared" si="52"/>
        <v>0.27560000000000001</v>
      </c>
      <c r="I623" s="42">
        <f t="shared" si="53"/>
        <v>1.3156000000000001</v>
      </c>
      <c r="J623" s="2"/>
      <c r="K623" s="2">
        <f>I623*300</f>
        <v>394.68</v>
      </c>
      <c r="L623" s="2"/>
      <c r="M623" s="2"/>
      <c r="N623" s="2">
        <f t="shared" si="54"/>
        <v>1315.6000000000001</v>
      </c>
      <c r="O623" s="2"/>
      <c r="P623" s="2"/>
      <c r="Q623" s="43">
        <f t="shared" si="55"/>
        <v>20.948616600790512</v>
      </c>
    </row>
    <row r="624" spans="1:17" hidden="1" x14ac:dyDescent="0.25">
      <c r="A624" s="16">
        <v>45671</v>
      </c>
      <c r="B624" s="2" t="s">
        <v>163</v>
      </c>
      <c r="C624" s="2">
        <v>600</v>
      </c>
      <c r="D624" s="39">
        <v>0.14499999999999999</v>
      </c>
      <c r="E624" s="2">
        <f t="shared" si="51"/>
        <v>0.6</v>
      </c>
      <c r="F624" s="41">
        <v>0.02</v>
      </c>
      <c r="G624" s="41">
        <v>7.0000000000000007E-2</v>
      </c>
      <c r="H624" s="42">
        <f t="shared" si="52"/>
        <v>0.10004999999999999</v>
      </c>
      <c r="I624" s="42">
        <f t="shared" si="53"/>
        <v>0.79004999999999992</v>
      </c>
      <c r="J624" s="2"/>
      <c r="K624" s="2"/>
      <c r="L624" s="2">
        <f>I624*500</f>
        <v>395.02499999999998</v>
      </c>
      <c r="M624" s="2"/>
      <c r="N624" s="2">
        <f t="shared" si="54"/>
        <v>790.05</v>
      </c>
      <c r="O624" s="2"/>
      <c r="P624" s="2"/>
      <c r="Q624" s="43">
        <f t="shared" si="55"/>
        <v>12.663755458515283</v>
      </c>
    </row>
    <row r="625" spans="1:22" hidden="1" x14ac:dyDescent="0.25">
      <c r="A625" s="16">
        <v>45671</v>
      </c>
      <c r="B625" s="2" t="s">
        <v>109</v>
      </c>
      <c r="C625" s="2">
        <v>580</v>
      </c>
      <c r="D625" s="39">
        <v>0.33500000000000002</v>
      </c>
      <c r="E625" s="2">
        <f t="shared" si="51"/>
        <v>0.57999999999999996</v>
      </c>
      <c r="F625" s="41">
        <v>0.02</v>
      </c>
      <c r="G625" s="41">
        <v>7.0000000000000007E-2</v>
      </c>
      <c r="H625" s="42">
        <f t="shared" si="52"/>
        <v>0.22444999999999998</v>
      </c>
      <c r="I625" s="42">
        <f t="shared" si="53"/>
        <v>0.89444999999999997</v>
      </c>
      <c r="J625" s="2"/>
      <c r="K625" s="2"/>
      <c r="L625" s="2"/>
      <c r="M625" s="2"/>
      <c r="N625" s="2">
        <f t="shared" si="54"/>
        <v>894.44999999999993</v>
      </c>
      <c r="O625" s="2"/>
      <c r="P625" s="2"/>
      <c r="Q625" s="43">
        <f t="shared" si="55"/>
        <v>25.093632958801496</v>
      </c>
    </row>
    <row r="626" spans="1:22" ht="15.75" hidden="1" customHeight="1" x14ac:dyDescent="0.25">
      <c r="A626" s="16">
        <v>45671</v>
      </c>
      <c r="B626" s="2" t="s">
        <v>98</v>
      </c>
      <c r="C626" s="2">
        <v>580</v>
      </c>
      <c r="D626" s="39">
        <v>0.34499999999999997</v>
      </c>
      <c r="E626" s="2">
        <f t="shared" si="51"/>
        <v>0.57999999999999996</v>
      </c>
      <c r="F626" s="41">
        <v>0.02</v>
      </c>
      <c r="G626" s="41">
        <v>7.0000000000000007E-2</v>
      </c>
      <c r="H626" s="42">
        <f t="shared" si="52"/>
        <v>0.23114999999999997</v>
      </c>
      <c r="I626" s="42">
        <f t="shared" si="53"/>
        <v>0.9011499999999999</v>
      </c>
      <c r="J626" s="2"/>
      <c r="K626" s="2"/>
      <c r="L626" s="2">
        <f>I626*500</f>
        <v>450.57499999999993</v>
      </c>
      <c r="M626" s="2">
        <f>I626*750</f>
        <v>675.86249999999995</v>
      </c>
      <c r="N626" s="2">
        <f t="shared" si="54"/>
        <v>901.14999999999986</v>
      </c>
      <c r="O626" s="2"/>
      <c r="P626" s="2"/>
      <c r="Q626" s="51">
        <f t="shared" si="55"/>
        <v>25.650557620817843</v>
      </c>
    </row>
    <row r="627" spans="1:22" hidden="1" x14ac:dyDescent="0.25">
      <c r="A627" s="16">
        <v>45671</v>
      </c>
      <c r="B627" s="2" t="s">
        <v>122</v>
      </c>
      <c r="C627" s="2">
        <v>580</v>
      </c>
      <c r="D627" s="39">
        <v>0.33</v>
      </c>
      <c r="E627" s="2">
        <f t="shared" si="51"/>
        <v>0.57999999999999996</v>
      </c>
      <c r="F627" s="41">
        <v>0.02</v>
      </c>
      <c r="G627" s="41">
        <v>7.0000000000000007E-2</v>
      </c>
      <c r="H627" s="42">
        <f t="shared" si="52"/>
        <v>0.22109999999999999</v>
      </c>
      <c r="I627" s="42">
        <f t="shared" si="53"/>
        <v>0.89109999999999989</v>
      </c>
      <c r="J627" s="2"/>
      <c r="K627" s="2"/>
      <c r="L627" s="2">
        <f>I627*500</f>
        <v>445.54999999999995</v>
      </c>
      <c r="M627" s="2"/>
      <c r="N627" s="2">
        <f t="shared" si="54"/>
        <v>891.09999999999991</v>
      </c>
      <c r="O627" s="2"/>
      <c r="P627" s="2"/>
      <c r="Q627" s="43">
        <f t="shared" si="55"/>
        <v>24.812030075187973</v>
      </c>
    </row>
    <row r="628" spans="1:22" hidden="1" x14ac:dyDescent="0.25">
      <c r="A628" s="16">
        <v>45671</v>
      </c>
      <c r="B628" s="2" t="s">
        <v>139</v>
      </c>
      <c r="C628" s="2">
        <v>1320</v>
      </c>
      <c r="D628" s="11">
        <v>0.20499999999999999</v>
      </c>
      <c r="E628" s="2">
        <f t="shared" si="51"/>
        <v>1.32</v>
      </c>
      <c r="F628" s="10">
        <v>0.02</v>
      </c>
      <c r="G628" s="10">
        <v>7.0000000000000007E-2</v>
      </c>
      <c r="H628" s="12">
        <f t="shared" si="52"/>
        <v>0.28905000000000003</v>
      </c>
      <c r="I628" s="12">
        <f t="shared" si="53"/>
        <v>1.6990500000000002</v>
      </c>
      <c r="J628" s="2"/>
      <c r="K628" s="2">
        <f>I628*350</f>
        <v>594.66750000000002</v>
      </c>
      <c r="L628" s="2"/>
      <c r="M628" s="2"/>
      <c r="N628" s="2">
        <f t="shared" si="54"/>
        <v>1699.0500000000002</v>
      </c>
      <c r="O628" s="2"/>
      <c r="P628" s="2"/>
      <c r="Q628" s="28">
        <f t="shared" si="55"/>
        <v>17.012448132780083</v>
      </c>
    </row>
    <row r="629" spans="1:22" ht="15.75" hidden="1" customHeight="1" x14ac:dyDescent="0.25">
      <c r="A629" s="16">
        <v>45671</v>
      </c>
      <c r="B629" s="2" t="s">
        <v>85</v>
      </c>
      <c r="C629" s="2">
        <v>980</v>
      </c>
      <c r="D629" s="39">
        <v>0.23</v>
      </c>
      <c r="E629" s="2">
        <f t="shared" si="51"/>
        <v>0.98</v>
      </c>
      <c r="F629" s="41">
        <v>0.02</v>
      </c>
      <c r="G629" s="41">
        <v>7.0000000000000007E-2</v>
      </c>
      <c r="H629" s="42">
        <f t="shared" si="52"/>
        <v>0.24610000000000001</v>
      </c>
      <c r="I629" s="42">
        <f t="shared" si="53"/>
        <v>1.3161</v>
      </c>
      <c r="J629" s="2"/>
      <c r="K629" s="2">
        <f>I629*300</f>
        <v>394.83000000000004</v>
      </c>
      <c r="L629" s="2"/>
      <c r="M629" s="2"/>
      <c r="N629" s="2">
        <f t="shared" si="54"/>
        <v>1316.1000000000001</v>
      </c>
      <c r="O629" s="2"/>
      <c r="P629" s="2"/>
      <c r="Q629" s="43">
        <f t="shared" si="55"/>
        <v>18.699186991869919</v>
      </c>
    </row>
    <row r="630" spans="1:22" hidden="1" x14ac:dyDescent="0.25">
      <c r="A630" s="16">
        <v>45672</v>
      </c>
      <c r="B630" s="2" t="s">
        <v>122</v>
      </c>
      <c r="C630" s="2">
        <v>570</v>
      </c>
      <c r="D630" s="39">
        <v>0.35</v>
      </c>
      <c r="E630" s="2">
        <f t="shared" si="51"/>
        <v>0.56999999999999995</v>
      </c>
      <c r="F630" s="41">
        <v>0.02</v>
      </c>
      <c r="G630" s="41">
        <v>7.0000000000000007E-2</v>
      </c>
      <c r="H630" s="42">
        <f t="shared" si="52"/>
        <v>0.23099999999999996</v>
      </c>
      <c r="I630" s="42">
        <f t="shared" si="53"/>
        <v>0.8909999999999999</v>
      </c>
      <c r="J630" s="2"/>
      <c r="K630" s="2"/>
      <c r="L630" s="2">
        <f>I630*500</f>
        <v>445.49999999999994</v>
      </c>
      <c r="M630" s="2"/>
      <c r="N630" s="2">
        <f t="shared" si="54"/>
        <v>890.99999999999989</v>
      </c>
      <c r="O630" s="2"/>
      <c r="P630" s="2"/>
      <c r="Q630" s="43">
        <f t="shared" si="55"/>
        <v>25.925925925925924</v>
      </c>
    </row>
    <row r="631" spans="1:22" hidden="1" x14ac:dyDescent="0.25">
      <c r="A631" s="16">
        <v>45673</v>
      </c>
      <c r="B631" s="2" t="s">
        <v>109</v>
      </c>
      <c r="C631" s="2">
        <v>570</v>
      </c>
      <c r="D631" s="39">
        <v>0.35620000000000002</v>
      </c>
      <c r="E631" s="2">
        <f t="shared" si="51"/>
        <v>0.56999999999999995</v>
      </c>
      <c r="F631" s="41">
        <v>0.02</v>
      </c>
      <c r="G631" s="41">
        <v>7.0000000000000007E-2</v>
      </c>
      <c r="H631" s="42">
        <f t="shared" si="52"/>
        <v>0.235092</v>
      </c>
      <c r="I631" s="42">
        <f t="shared" si="53"/>
        <v>0.89509199999999989</v>
      </c>
      <c r="J631" s="2"/>
      <c r="K631" s="2"/>
      <c r="L631" s="2"/>
      <c r="M631" s="2"/>
      <c r="N631" s="2">
        <f t="shared" si="54"/>
        <v>895.09199999999987</v>
      </c>
      <c r="O631" s="2"/>
      <c r="P631" s="2"/>
      <c r="Q631" s="43">
        <f t="shared" si="55"/>
        <v>26.264562748857102</v>
      </c>
    </row>
    <row r="632" spans="1:22" hidden="1" x14ac:dyDescent="0.25">
      <c r="A632" s="16">
        <v>45673</v>
      </c>
      <c r="B632" s="2" t="s">
        <v>85</v>
      </c>
      <c r="C632" s="2">
        <v>950</v>
      </c>
      <c r="D632" s="11">
        <v>0.26500000000000001</v>
      </c>
      <c r="E632" s="2">
        <f t="shared" si="51"/>
        <v>0.95</v>
      </c>
      <c r="F632" s="10">
        <v>0.02</v>
      </c>
      <c r="G632" s="10">
        <v>7.0000000000000007E-2</v>
      </c>
      <c r="H632" s="12">
        <f t="shared" si="52"/>
        <v>0.27560000000000001</v>
      </c>
      <c r="I632" s="12">
        <f t="shared" si="53"/>
        <v>1.3156000000000001</v>
      </c>
      <c r="J632" s="2"/>
      <c r="K632" s="2">
        <f>I632*300</f>
        <v>394.68</v>
      </c>
      <c r="L632" s="2"/>
      <c r="M632" s="2"/>
      <c r="N632" s="2">
        <f t="shared" si="54"/>
        <v>1315.6000000000001</v>
      </c>
      <c r="O632" s="2"/>
      <c r="P632" s="2"/>
      <c r="Q632" s="28">
        <f t="shared" si="55"/>
        <v>20.948616600790512</v>
      </c>
    </row>
    <row r="633" spans="1:22" x14ac:dyDescent="0.25">
      <c r="A633" s="16">
        <v>45674</v>
      </c>
      <c r="B633" s="2" t="s">
        <v>119</v>
      </c>
      <c r="C633" s="2">
        <v>580</v>
      </c>
      <c r="D633" s="57">
        <v>0.34499999999999997</v>
      </c>
      <c r="E633" s="2">
        <f t="shared" si="51"/>
        <v>0.57999999999999996</v>
      </c>
      <c r="F633" s="41">
        <v>0.02</v>
      </c>
      <c r="G633" s="41">
        <v>7.0000000000000007E-2</v>
      </c>
      <c r="H633" s="42">
        <f t="shared" si="52"/>
        <v>0.23114999999999997</v>
      </c>
      <c r="I633" s="42">
        <f t="shared" si="53"/>
        <v>0.9011499999999999</v>
      </c>
      <c r="J633" s="2"/>
      <c r="K633" s="2"/>
      <c r="L633" s="2"/>
      <c r="M633" s="2">
        <f>I633*750</f>
        <v>675.86249999999995</v>
      </c>
      <c r="N633" s="2">
        <f t="shared" si="54"/>
        <v>901.14999999999986</v>
      </c>
      <c r="O633" s="2"/>
      <c r="P633" s="2"/>
      <c r="Q633" s="43">
        <v>23.371647509578541</v>
      </c>
    </row>
    <row r="634" spans="1:22" hidden="1" x14ac:dyDescent="0.25">
      <c r="A634" s="16">
        <v>45674</v>
      </c>
      <c r="B634" s="2" t="s">
        <v>141</v>
      </c>
      <c r="C634" s="2">
        <v>450</v>
      </c>
      <c r="D634" s="39">
        <v>0.47399999999999998</v>
      </c>
      <c r="E634" s="2">
        <f t="shared" si="51"/>
        <v>0.45</v>
      </c>
      <c r="F634" s="41">
        <v>0.02</v>
      </c>
      <c r="G634" s="41">
        <v>7.0000000000000007E-2</v>
      </c>
      <c r="H634" s="42">
        <f t="shared" si="52"/>
        <v>0.25596000000000002</v>
      </c>
      <c r="I634" s="42">
        <f t="shared" si="53"/>
        <v>0.79596</v>
      </c>
      <c r="J634" s="2"/>
      <c r="K634" s="2"/>
      <c r="L634" s="2"/>
      <c r="M634" s="2"/>
      <c r="N634" s="2">
        <f t="shared" si="54"/>
        <v>795.96</v>
      </c>
      <c r="O634" s="2"/>
      <c r="P634" s="2"/>
      <c r="Q634" s="43">
        <f>H634/I634%</f>
        <v>32.15739484396201</v>
      </c>
    </row>
    <row r="635" spans="1:22" hidden="1" x14ac:dyDescent="0.25">
      <c r="A635" s="45">
        <v>45674</v>
      </c>
      <c r="B635" s="47" t="s">
        <v>86</v>
      </c>
      <c r="C635" s="47">
        <v>1170</v>
      </c>
      <c r="D635" s="11">
        <v>9.7000000000000003E-2</v>
      </c>
      <c r="E635" s="47">
        <f t="shared" si="51"/>
        <v>1.17</v>
      </c>
      <c r="F635" s="49">
        <v>0.02</v>
      </c>
      <c r="G635" s="49">
        <v>7.0000000000000007E-2</v>
      </c>
      <c r="H635" s="50">
        <f t="shared" si="52"/>
        <v>0.12222000000000001</v>
      </c>
      <c r="I635" s="50">
        <f t="shared" si="53"/>
        <v>1.38222</v>
      </c>
      <c r="J635" s="47">
        <f>I635*250</f>
        <v>345.55500000000001</v>
      </c>
      <c r="K635" s="47"/>
      <c r="L635" s="47"/>
      <c r="M635" s="47"/>
      <c r="N635" s="47">
        <f t="shared" si="54"/>
        <v>1382.22</v>
      </c>
      <c r="O635" s="47"/>
      <c r="P635" s="47"/>
      <c r="Q635" s="51">
        <f>H635/I635%</f>
        <v>8.8422971741112129</v>
      </c>
    </row>
    <row r="636" spans="1:22" hidden="1" x14ac:dyDescent="0.25">
      <c r="A636" s="45">
        <v>45675</v>
      </c>
      <c r="B636" s="2" t="s">
        <v>178</v>
      </c>
      <c r="C636" s="2">
        <v>800</v>
      </c>
      <c r="D636" s="39">
        <v>0.01</v>
      </c>
      <c r="E636" s="2">
        <f t="shared" si="51"/>
        <v>0.8</v>
      </c>
      <c r="F636" s="41">
        <v>0.02</v>
      </c>
      <c r="G636" s="41">
        <v>7.0000000000000007E-2</v>
      </c>
      <c r="H636" s="42">
        <f t="shared" si="52"/>
        <v>8.9000000000000017E-3</v>
      </c>
      <c r="I636" s="42">
        <f t="shared" si="53"/>
        <v>0.89890000000000014</v>
      </c>
      <c r="J636" s="2"/>
      <c r="K636" s="2"/>
      <c r="L636" s="2"/>
      <c r="M636" s="2"/>
      <c r="N636" s="40">
        <f t="shared" si="54"/>
        <v>898.90000000000009</v>
      </c>
      <c r="O636" s="2">
        <f>I636*1250</f>
        <v>1123.6250000000002</v>
      </c>
      <c r="P636" s="2"/>
      <c r="Q636" s="51">
        <f>H636/I636%</f>
        <v>0.99009900990099009</v>
      </c>
    </row>
    <row r="637" spans="1:22" hidden="1" x14ac:dyDescent="0.25">
      <c r="A637" s="45">
        <v>45675</v>
      </c>
      <c r="B637" s="2" t="s">
        <v>100</v>
      </c>
      <c r="C637" s="2">
        <v>600</v>
      </c>
      <c r="D637" s="11">
        <v>0.14499999999999999</v>
      </c>
      <c r="E637" s="2">
        <f t="shared" si="51"/>
        <v>0.6</v>
      </c>
      <c r="F637" s="41">
        <v>0.02</v>
      </c>
      <c r="G637" s="41">
        <v>7.0000000000000007E-2</v>
      </c>
      <c r="H637" s="42">
        <f t="shared" si="52"/>
        <v>0.10004999999999999</v>
      </c>
      <c r="I637" s="42">
        <f t="shared" si="53"/>
        <v>0.79004999999999992</v>
      </c>
      <c r="J637" s="2"/>
      <c r="K637" s="2"/>
      <c r="L637" s="2">
        <f>I637*500</f>
        <v>395.02499999999998</v>
      </c>
      <c r="M637" s="2"/>
      <c r="N637" s="40"/>
      <c r="O637" s="2"/>
      <c r="P637" s="2"/>
      <c r="Q637" s="28">
        <f>H637/I637%</f>
        <v>12.663755458515283</v>
      </c>
      <c r="V637" t="s">
        <v>72</v>
      </c>
    </row>
    <row r="638" spans="1:22" hidden="1" x14ac:dyDescent="0.25">
      <c r="A638" s="45">
        <v>45675</v>
      </c>
      <c r="B638" s="40" t="s">
        <v>139</v>
      </c>
      <c r="C638" s="40">
        <v>1380</v>
      </c>
      <c r="D638" s="39">
        <v>0.156</v>
      </c>
      <c r="E638" s="40">
        <f t="shared" si="51"/>
        <v>1.38</v>
      </c>
      <c r="F638" s="41">
        <v>0.02</v>
      </c>
      <c r="G638" s="41">
        <v>7.0000000000000007E-2</v>
      </c>
      <c r="H638" s="42">
        <f t="shared" si="52"/>
        <v>0.22932</v>
      </c>
      <c r="I638" s="42">
        <f t="shared" si="53"/>
        <v>1.6993199999999999</v>
      </c>
      <c r="J638" s="40"/>
      <c r="K638" s="40">
        <f>I638*350</f>
        <v>594.76199999999994</v>
      </c>
      <c r="L638" s="40"/>
      <c r="M638" s="40"/>
      <c r="N638" s="40">
        <f t="shared" ref="N638:N643" si="56">I638*1000</f>
        <v>1699.32</v>
      </c>
      <c r="O638" s="40"/>
      <c r="P638" s="40"/>
      <c r="Q638" s="43">
        <f>H638/I638%</f>
        <v>13.494809688581315</v>
      </c>
    </row>
    <row r="639" spans="1:22" x14ac:dyDescent="0.25">
      <c r="A639" s="16">
        <v>45676</v>
      </c>
      <c r="B639" s="2" t="s">
        <v>119</v>
      </c>
      <c r="C639" s="2">
        <v>630</v>
      </c>
      <c r="D639" s="57">
        <v>0.25</v>
      </c>
      <c r="E639" s="2">
        <f t="shared" si="51"/>
        <v>0.63</v>
      </c>
      <c r="F639" s="41">
        <v>0.02</v>
      </c>
      <c r="G639" s="41">
        <v>7.0000000000000007E-2</v>
      </c>
      <c r="H639" s="42">
        <f t="shared" si="52"/>
        <v>0.18</v>
      </c>
      <c r="I639" s="42">
        <f t="shared" si="53"/>
        <v>0.89999999999999991</v>
      </c>
      <c r="J639" s="2"/>
      <c r="K639" s="2"/>
      <c r="L639" s="2"/>
      <c r="M639" s="2">
        <f>I639*750</f>
        <v>674.99999999999989</v>
      </c>
      <c r="N639" s="2">
        <f t="shared" si="56"/>
        <v>899.99999999999989</v>
      </c>
      <c r="O639" s="2"/>
      <c r="P639" s="2"/>
      <c r="Q639" s="43">
        <v>23.371647509578541</v>
      </c>
    </row>
    <row r="640" spans="1:22" ht="14.25" hidden="1" customHeight="1" x14ac:dyDescent="0.25">
      <c r="A640" s="16">
        <v>45676</v>
      </c>
      <c r="B640" s="2" t="s">
        <v>141</v>
      </c>
      <c r="C640" s="2">
        <v>500</v>
      </c>
      <c r="D640" s="11">
        <v>0.34899999999999998</v>
      </c>
      <c r="E640" s="2">
        <f t="shared" si="51"/>
        <v>0.5</v>
      </c>
      <c r="F640" s="10">
        <v>0.02</v>
      </c>
      <c r="G640" s="10">
        <v>7.0000000000000007E-2</v>
      </c>
      <c r="H640" s="12">
        <f t="shared" si="52"/>
        <v>0.20591000000000001</v>
      </c>
      <c r="I640" s="12">
        <f t="shared" si="53"/>
        <v>0.79591000000000012</v>
      </c>
      <c r="J640" s="2"/>
      <c r="K640" s="2"/>
      <c r="L640" s="2"/>
      <c r="M640" s="2"/>
      <c r="N640" s="2">
        <f t="shared" si="56"/>
        <v>795.91000000000008</v>
      </c>
      <c r="O640" s="2"/>
      <c r="P640" s="2"/>
      <c r="Q640" s="28">
        <f>H640/I640%</f>
        <v>25.871015567086726</v>
      </c>
    </row>
    <row r="641" spans="1:17" hidden="1" x14ac:dyDescent="0.25">
      <c r="A641" s="16">
        <v>45676</v>
      </c>
      <c r="B641" s="47" t="s">
        <v>109</v>
      </c>
      <c r="C641" s="47">
        <v>600</v>
      </c>
      <c r="D641" s="48">
        <v>0.29799999999999999</v>
      </c>
      <c r="E641" s="47">
        <f t="shared" si="51"/>
        <v>0.6</v>
      </c>
      <c r="F641" s="49">
        <v>0.02</v>
      </c>
      <c r="G641" s="49">
        <v>7.0000000000000007E-2</v>
      </c>
      <c r="H641" s="50">
        <f t="shared" si="52"/>
        <v>0.20561999999999997</v>
      </c>
      <c r="I641" s="50">
        <f t="shared" si="53"/>
        <v>0.89561999999999986</v>
      </c>
      <c r="J641" s="47"/>
      <c r="K641" s="47"/>
      <c r="L641" s="47"/>
      <c r="M641" s="47"/>
      <c r="N641" s="47">
        <f t="shared" si="56"/>
        <v>895.61999999999989</v>
      </c>
      <c r="O641" s="47"/>
      <c r="P641" s="47"/>
      <c r="Q641" s="51">
        <f>H641/I641%</f>
        <v>22.95839753466872</v>
      </c>
    </row>
    <row r="642" spans="1:17" hidden="1" x14ac:dyDescent="0.25">
      <c r="A642" s="16">
        <v>45676</v>
      </c>
      <c r="B642" s="2" t="s">
        <v>187</v>
      </c>
      <c r="C642" s="2">
        <v>150</v>
      </c>
      <c r="D642" s="39">
        <v>0.14599999999999999</v>
      </c>
      <c r="E642" s="2">
        <f t="shared" si="51"/>
        <v>0.15</v>
      </c>
      <c r="F642" s="41">
        <v>0.02</v>
      </c>
      <c r="G642" s="41">
        <v>7.0000000000000007E-2</v>
      </c>
      <c r="H642" s="42">
        <f t="shared" si="52"/>
        <v>3.5039999999999995E-2</v>
      </c>
      <c r="I642" s="42">
        <f t="shared" si="53"/>
        <v>0.27504000000000001</v>
      </c>
      <c r="J642" s="2"/>
      <c r="K642" s="2"/>
      <c r="L642" s="2"/>
      <c r="M642" s="2"/>
      <c r="N642" s="40">
        <f t="shared" si="56"/>
        <v>275.04000000000002</v>
      </c>
      <c r="O642" s="2"/>
      <c r="P642" s="2"/>
      <c r="Q642" s="51">
        <f>H642/I642%</f>
        <v>12.739965095986037</v>
      </c>
    </row>
    <row r="643" spans="1:17" hidden="1" x14ac:dyDescent="0.25">
      <c r="A643" s="16">
        <v>45676</v>
      </c>
      <c r="B643" s="2" t="s">
        <v>86</v>
      </c>
      <c r="C643" s="2">
        <v>1150</v>
      </c>
      <c r="D643" s="11">
        <v>0.115</v>
      </c>
      <c r="E643" s="2">
        <f t="shared" si="51"/>
        <v>1.1499999999999999</v>
      </c>
      <c r="F643" s="10">
        <v>0.02</v>
      </c>
      <c r="G643" s="10">
        <v>7.0000000000000007E-2</v>
      </c>
      <c r="H643" s="12">
        <f t="shared" si="52"/>
        <v>0.1426</v>
      </c>
      <c r="I643" s="12">
        <f t="shared" si="53"/>
        <v>1.3826000000000001</v>
      </c>
      <c r="J643" s="2">
        <f>I643*250</f>
        <v>345.65000000000003</v>
      </c>
      <c r="K643" s="2"/>
      <c r="L643" s="2"/>
      <c r="M643" s="2"/>
      <c r="N643" s="2">
        <f t="shared" si="56"/>
        <v>1382.6000000000001</v>
      </c>
      <c r="O643" s="2"/>
      <c r="P643" s="2"/>
      <c r="Q643" s="28">
        <f>H643/I643%</f>
        <v>10.31390134529148</v>
      </c>
    </row>
    <row r="644" spans="1:17" hidden="1" x14ac:dyDescent="0.25">
      <c r="A644" s="16">
        <v>45676</v>
      </c>
      <c r="B644" s="2" t="s">
        <v>85</v>
      </c>
      <c r="C644" s="2">
        <v>980</v>
      </c>
      <c r="D644" s="39">
        <v>0.155</v>
      </c>
      <c r="E644" s="2">
        <v>1.05</v>
      </c>
      <c r="F644" s="41">
        <v>0.02</v>
      </c>
      <c r="G644" s="41">
        <v>7.0000000000000007E-2</v>
      </c>
      <c r="H644" s="42">
        <v>0.17670000000000002</v>
      </c>
      <c r="I644" s="42">
        <v>1.3167000000000002</v>
      </c>
      <c r="J644" s="2"/>
      <c r="K644" s="2">
        <v>395.01000000000005</v>
      </c>
      <c r="L644" s="2"/>
      <c r="M644" s="2"/>
      <c r="N644" s="2">
        <v>1316.7000000000003</v>
      </c>
      <c r="O644" s="2"/>
      <c r="P644" s="2"/>
      <c r="Q644" s="52">
        <v>13.419913419913421</v>
      </c>
    </row>
    <row r="645" spans="1:17" x14ac:dyDescent="0.25">
      <c r="A645" s="16">
        <v>45678</v>
      </c>
      <c r="B645" s="2" t="s">
        <v>136</v>
      </c>
      <c r="C645" s="2">
        <v>650</v>
      </c>
      <c r="D645" s="11">
        <v>0.21</v>
      </c>
      <c r="E645" s="2">
        <f t="shared" ref="E645:E650" si="57">C645/1000</f>
        <v>0.65</v>
      </c>
      <c r="F645" s="41">
        <v>0.02</v>
      </c>
      <c r="G645" s="41">
        <v>7.0000000000000007E-2</v>
      </c>
      <c r="H645" s="42">
        <f t="shared" ref="H645:H650" si="58">SUM(E645:G645)*D645</f>
        <v>0.15539999999999998</v>
      </c>
      <c r="I645" s="42">
        <f t="shared" ref="I645:I650" si="59">SUM(E645:H645)</f>
        <v>0.89539999999999997</v>
      </c>
      <c r="J645" s="2"/>
      <c r="K645" s="2"/>
      <c r="L645" s="2"/>
      <c r="M645" s="2"/>
      <c r="N645" s="40">
        <f>I645*1000</f>
        <v>895.4</v>
      </c>
      <c r="O645" s="2"/>
      <c r="P645" s="2"/>
      <c r="Q645" s="28">
        <f t="shared" ref="Q645:Q650" si="60">H645/I645%</f>
        <v>17.355371900826444</v>
      </c>
    </row>
    <row r="646" spans="1:17" x14ac:dyDescent="0.25">
      <c r="A646" s="16">
        <v>45678</v>
      </c>
      <c r="B646" s="2" t="s">
        <v>119</v>
      </c>
      <c r="C646" s="2">
        <v>650</v>
      </c>
      <c r="D646" s="39">
        <v>0.215</v>
      </c>
      <c r="E646" s="2">
        <f t="shared" si="57"/>
        <v>0.65</v>
      </c>
      <c r="F646" s="41">
        <v>0.02</v>
      </c>
      <c r="G646" s="41">
        <v>7.0000000000000007E-2</v>
      </c>
      <c r="H646" s="42">
        <f t="shared" si="58"/>
        <v>0.15909999999999999</v>
      </c>
      <c r="I646" s="42">
        <f t="shared" si="59"/>
        <v>0.89910000000000001</v>
      </c>
      <c r="J646" s="2"/>
      <c r="K646" s="2"/>
      <c r="L646" s="2"/>
      <c r="M646" s="2">
        <f>I646*750</f>
        <v>674.32500000000005</v>
      </c>
      <c r="N646" s="2"/>
      <c r="O646" s="2"/>
      <c r="P646" s="2"/>
      <c r="Q646" s="43">
        <f t="shared" si="60"/>
        <v>17.695473251028805</v>
      </c>
    </row>
    <row r="647" spans="1:17" hidden="1" x14ac:dyDescent="0.25">
      <c r="A647" s="16">
        <v>45678</v>
      </c>
      <c r="B647" s="2" t="s">
        <v>84</v>
      </c>
      <c r="C647" s="2">
        <v>800</v>
      </c>
      <c r="D647" s="11">
        <v>0.01</v>
      </c>
      <c r="E647" s="2">
        <f t="shared" si="57"/>
        <v>0.8</v>
      </c>
      <c r="F647" s="41">
        <v>0.02</v>
      </c>
      <c r="G647" s="41">
        <v>7.0000000000000007E-2</v>
      </c>
      <c r="H647" s="42">
        <f t="shared" si="58"/>
        <v>8.9000000000000017E-3</v>
      </c>
      <c r="I647" s="42">
        <f t="shared" si="59"/>
        <v>0.89890000000000014</v>
      </c>
      <c r="J647" s="2"/>
      <c r="K647" s="2"/>
      <c r="L647" s="2">
        <f>I647*500</f>
        <v>449.45000000000005</v>
      </c>
      <c r="M647" s="2"/>
      <c r="N647" s="2">
        <f>I647*1000</f>
        <v>898.90000000000009</v>
      </c>
      <c r="O647" s="2"/>
      <c r="P647" s="2"/>
      <c r="Q647" s="52">
        <f t="shared" si="60"/>
        <v>0.99009900990099009</v>
      </c>
    </row>
    <row r="648" spans="1:17" hidden="1" x14ac:dyDescent="0.25">
      <c r="A648" s="16">
        <v>45678</v>
      </c>
      <c r="B648" s="47" t="s">
        <v>122</v>
      </c>
      <c r="C648" s="47">
        <v>480</v>
      </c>
      <c r="D648" s="11">
        <v>0.38500000000000001</v>
      </c>
      <c r="E648" s="47">
        <f t="shared" si="57"/>
        <v>0.48</v>
      </c>
      <c r="F648" s="49">
        <v>0.02</v>
      </c>
      <c r="G648" s="49">
        <v>7.0000000000000007E-2</v>
      </c>
      <c r="H648" s="50">
        <f t="shared" si="58"/>
        <v>0.21945000000000003</v>
      </c>
      <c r="I648" s="50">
        <f t="shared" si="59"/>
        <v>0.7894500000000001</v>
      </c>
      <c r="J648" s="47"/>
      <c r="K648" s="47"/>
      <c r="L648" s="47">
        <f>I648*500</f>
        <v>394.72500000000002</v>
      </c>
      <c r="M648" s="47"/>
      <c r="N648" s="47">
        <f>I648*1000</f>
        <v>789.45</v>
      </c>
      <c r="O648" s="47"/>
      <c r="P648" s="47"/>
      <c r="Q648" s="51">
        <f t="shared" si="60"/>
        <v>27.797833935018055</v>
      </c>
    </row>
    <row r="649" spans="1:17" hidden="1" x14ac:dyDescent="0.25">
      <c r="A649" s="16">
        <v>45678</v>
      </c>
      <c r="B649" s="2" t="s">
        <v>139</v>
      </c>
      <c r="C649" s="2">
        <v>1350</v>
      </c>
      <c r="D649" s="39">
        <v>0.18</v>
      </c>
      <c r="E649" s="2">
        <f t="shared" si="57"/>
        <v>1.35</v>
      </c>
      <c r="F649" s="41">
        <v>0.02</v>
      </c>
      <c r="G649" s="41">
        <v>7.0000000000000007E-2</v>
      </c>
      <c r="H649" s="42">
        <f t="shared" si="58"/>
        <v>0.25920000000000004</v>
      </c>
      <c r="I649" s="42">
        <f t="shared" si="59"/>
        <v>1.6992000000000003</v>
      </c>
      <c r="J649" s="2"/>
      <c r="K649" s="2">
        <f>I649*350</f>
        <v>594.72000000000014</v>
      </c>
      <c r="L649" s="2"/>
      <c r="M649" s="2"/>
      <c r="N649" s="2">
        <f>I649*1000</f>
        <v>1699.2000000000003</v>
      </c>
      <c r="O649" s="2"/>
      <c r="P649" s="2"/>
      <c r="Q649" s="43">
        <f t="shared" si="60"/>
        <v>15.254237288135592</v>
      </c>
    </row>
    <row r="650" spans="1:17" ht="15.75" hidden="1" customHeight="1" x14ac:dyDescent="0.25">
      <c r="A650" s="16">
        <v>45678</v>
      </c>
      <c r="B650" s="2" t="s">
        <v>86</v>
      </c>
      <c r="C650" s="2">
        <v>1100</v>
      </c>
      <c r="D650" s="39">
        <v>0.33</v>
      </c>
      <c r="E650" s="2">
        <f t="shared" si="57"/>
        <v>1.1000000000000001</v>
      </c>
      <c r="F650" s="41">
        <v>0.02</v>
      </c>
      <c r="G650" s="41">
        <v>7.0000000000000007E-2</v>
      </c>
      <c r="H650" s="42">
        <f t="shared" si="58"/>
        <v>0.39270000000000005</v>
      </c>
      <c r="I650" s="42">
        <f t="shared" si="59"/>
        <v>1.5827000000000002</v>
      </c>
      <c r="J650" s="2">
        <f>I650*250</f>
        <v>395.67500000000007</v>
      </c>
      <c r="K650" s="2"/>
      <c r="L650" s="2"/>
      <c r="M650" s="2"/>
      <c r="N650" s="2">
        <f>I650*1000</f>
        <v>1582.7000000000003</v>
      </c>
      <c r="O650" s="2"/>
      <c r="P650" s="2"/>
      <c r="Q650" s="51">
        <f t="shared" si="60"/>
        <v>24.812030075187973</v>
      </c>
    </row>
    <row r="651" spans="1:17" hidden="1" x14ac:dyDescent="0.25">
      <c r="A651" s="16">
        <v>45678</v>
      </c>
      <c r="B651" s="2" t="s">
        <v>85</v>
      </c>
      <c r="C651" s="2">
        <v>970</v>
      </c>
      <c r="D651" s="11">
        <v>0.155</v>
      </c>
      <c r="E651" s="2">
        <v>1.05</v>
      </c>
      <c r="F651" s="10">
        <v>0.02</v>
      </c>
      <c r="G651" s="10">
        <v>7.0000000000000007E-2</v>
      </c>
      <c r="H651" s="12">
        <v>0.17670000000000002</v>
      </c>
      <c r="I651" s="12">
        <v>1.3167000000000002</v>
      </c>
      <c r="J651" s="2"/>
      <c r="K651" s="2">
        <v>395.01000000000005</v>
      </c>
      <c r="L651" s="2"/>
      <c r="M651" s="2"/>
      <c r="N651" s="2">
        <v>1316.7000000000003</v>
      </c>
      <c r="O651" s="2"/>
      <c r="P651" s="2"/>
      <c r="Q651" s="28">
        <v>13.419913419913421</v>
      </c>
    </row>
    <row r="652" spans="1:17" hidden="1" x14ac:dyDescent="0.25">
      <c r="A652" s="16">
        <v>45679</v>
      </c>
      <c r="B652" s="2" t="s">
        <v>88</v>
      </c>
      <c r="C652" s="10">
        <v>530</v>
      </c>
      <c r="D652" s="39">
        <v>0.28299999999999997</v>
      </c>
      <c r="E652" s="10">
        <f t="shared" ref="E652:E658" si="61">C652/1000</f>
        <v>0.53</v>
      </c>
      <c r="F652" s="41">
        <v>0.02</v>
      </c>
      <c r="G652" s="41">
        <v>7.0000000000000007E-2</v>
      </c>
      <c r="H652" s="42">
        <f t="shared" ref="H652:H658" si="62">SUM(E652:G652)*D652</f>
        <v>0.17546</v>
      </c>
      <c r="I652" s="42">
        <f t="shared" ref="I652:I658" si="63">SUM(E652:H652)</f>
        <v>0.79546000000000006</v>
      </c>
      <c r="J652" s="2"/>
      <c r="K652" s="2"/>
      <c r="L652" s="2"/>
      <c r="M652" s="2"/>
      <c r="N652" s="2">
        <f>I652*1000</f>
        <v>795.46</v>
      </c>
      <c r="O652" s="2"/>
      <c r="P652" s="2"/>
      <c r="Q652" s="43">
        <f t="shared" ref="Q652:Q658" si="64">H652/I652%</f>
        <v>22.057677318784098</v>
      </c>
    </row>
    <row r="653" spans="1:17" hidden="1" x14ac:dyDescent="0.25">
      <c r="A653" s="16">
        <v>45679</v>
      </c>
      <c r="B653" s="2" t="s">
        <v>89</v>
      </c>
      <c r="C653" s="10">
        <v>530</v>
      </c>
      <c r="D653" s="11">
        <v>0.28000000000000003</v>
      </c>
      <c r="E653" s="10">
        <f t="shared" si="61"/>
        <v>0.53</v>
      </c>
      <c r="F653" s="10">
        <v>0.02</v>
      </c>
      <c r="G653" s="10">
        <v>7.0000000000000007E-2</v>
      </c>
      <c r="H653" s="12">
        <f t="shared" si="62"/>
        <v>0.17360000000000006</v>
      </c>
      <c r="I653" s="12">
        <f t="shared" si="63"/>
        <v>0.79360000000000019</v>
      </c>
      <c r="J653" s="10"/>
      <c r="K653" s="10"/>
      <c r="L653" s="10"/>
      <c r="M653" s="10">
        <f>I653*750</f>
        <v>595.20000000000016</v>
      </c>
      <c r="N653" s="10"/>
      <c r="O653" s="10"/>
      <c r="P653" s="10"/>
      <c r="Q653" s="43">
        <f t="shared" si="64"/>
        <v>21.875000000000004</v>
      </c>
    </row>
    <row r="654" spans="1:17" hidden="1" x14ac:dyDescent="0.25">
      <c r="A654" s="16">
        <v>45679</v>
      </c>
      <c r="B654" s="2" t="s">
        <v>150</v>
      </c>
      <c r="C654" s="2">
        <v>1900</v>
      </c>
      <c r="D654" s="39">
        <v>0.11849999999999999</v>
      </c>
      <c r="E654" s="2">
        <f t="shared" si="61"/>
        <v>1.9</v>
      </c>
      <c r="F654" s="41">
        <v>0.02</v>
      </c>
      <c r="G654" s="41">
        <v>7.0000000000000007E-2</v>
      </c>
      <c r="H654" s="42">
        <f t="shared" si="62"/>
        <v>0.235815</v>
      </c>
      <c r="I654" s="42">
        <f t="shared" si="63"/>
        <v>2.2258149999999999</v>
      </c>
      <c r="J654" s="2"/>
      <c r="K654" s="2"/>
      <c r="L654" s="2"/>
      <c r="M654" s="2">
        <f>I654*900</f>
        <v>2003.2334999999998</v>
      </c>
      <c r="N654" s="2">
        <f>I654*1000</f>
        <v>2225.8150000000001</v>
      </c>
      <c r="O654" s="2"/>
      <c r="P654" s="2"/>
      <c r="Q654" s="43">
        <f t="shared" si="64"/>
        <v>10.594546267322308</v>
      </c>
    </row>
    <row r="655" spans="1:17" x14ac:dyDescent="0.25">
      <c r="A655" s="16">
        <v>45680</v>
      </c>
      <c r="B655" s="2" t="s">
        <v>136</v>
      </c>
      <c r="C655" s="2">
        <v>650</v>
      </c>
      <c r="D655" s="11">
        <v>0.21</v>
      </c>
      <c r="E655" s="2">
        <f t="shared" si="61"/>
        <v>0.65</v>
      </c>
      <c r="F655" s="10">
        <v>0.02</v>
      </c>
      <c r="G655" s="10">
        <v>7.0000000000000007E-2</v>
      </c>
      <c r="H655" s="12">
        <f t="shared" si="62"/>
        <v>0.15539999999999998</v>
      </c>
      <c r="I655" s="12">
        <f t="shared" si="63"/>
        <v>0.89539999999999997</v>
      </c>
      <c r="J655" s="2"/>
      <c r="K655" s="2"/>
      <c r="L655" s="2"/>
      <c r="M655" s="2"/>
      <c r="N655" s="2">
        <f>I655*1000</f>
        <v>895.4</v>
      </c>
      <c r="O655" s="2"/>
      <c r="P655" s="2"/>
      <c r="Q655" s="28">
        <f t="shared" si="64"/>
        <v>17.355371900826444</v>
      </c>
    </row>
    <row r="656" spans="1:17" hidden="1" x14ac:dyDescent="0.25">
      <c r="A656" s="16">
        <v>45680</v>
      </c>
      <c r="B656" s="2" t="s">
        <v>122</v>
      </c>
      <c r="C656" s="2">
        <v>580</v>
      </c>
      <c r="D656" s="11">
        <v>0.33</v>
      </c>
      <c r="E656" s="2">
        <f t="shared" si="61"/>
        <v>0.57999999999999996</v>
      </c>
      <c r="F656" s="10">
        <v>0.02</v>
      </c>
      <c r="G656" s="10">
        <v>7.0000000000000007E-2</v>
      </c>
      <c r="H656" s="12">
        <f t="shared" si="62"/>
        <v>0.22109999999999999</v>
      </c>
      <c r="I656" s="12">
        <f t="shared" si="63"/>
        <v>0.89109999999999989</v>
      </c>
      <c r="J656" s="2"/>
      <c r="K656" s="2"/>
      <c r="L656" s="2">
        <f>I656*500</f>
        <v>445.54999999999995</v>
      </c>
      <c r="M656" s="2"/>
      <c r="N656" s="2">
        <f>I656*1000</f>
        <v>891.09999999999991</v>
      </c>
      <c r="O656" s="2"/>
      <c r="P656" s="2"/>
      <c r="Q656" s="28">
        <f t="shared" si="64"/>
        <v>24.812030075187973</v>
      </c>
    </row>
    <row r="657" spans="1:17" hidden="1" x14ac:dyDescent="0.25">
      <c r="A657" s="16">
        <v>45680</v>
      </c>
      <c r="B657" s="2" t="s">
        <v>175</v>
      </c>
      <c r="C657" s="2">
        <v>580</v>
      </c>
      <c r="D657" s="11">
        <v>0.307</v>
      </c>
      <c r="E657" s="2">
        <f t="shared" si="61"/>
        <v>0.57999999999999996</v>
      </c>
      <c r="F657" s="10">
        <v>0.02</v>
      </c>
      <c r="G657" s="10">
        <v>7.0000000000000007E-2</v>
      </c>
      <c r="H657" s="12">
        <f t="shared" si="62"/>
        <v>0.20568999999999998</v>
      </c>
      <c r="I657" s="12">
        <f t="shared" si="63"/>
        <v>0.87568999999999986</v>
      </c>
      <c r="J657" s="2"/>
      <c r="K657" s="2"/>
      <c r="L657" s="2"/>
      <c r="M657" s="2"/>
      <c r="N657" s="2">
        <f>I657*1000</f>
        <v>875.68999999999983</v>
      </c>
      <c r="O657" s="2">
        <f>I657*1250</f>
        <v>1094.6124999999997</v>
      </c>
      <c r="P657" s="2"/>
      <c r="Q657" s="51">
        <f t="shared" si="64"/>
        <v>23.48890589135425</v>
      </c>
    </row>
    <row r="658" spans="1:17" hidden="1" x14ac:dyDescent="0.25">
      <c r="A658" s="16">
        <v>45680</v>
      </c>
      <c r="B658" s="2" t="s">
        <v>149</v>
      </c>
      <c r="C658" s="2">
        <v>1800</v>
      </c>
      <c r="D658" s="11">
        <v>0.11</v>
      </c>
      <c r="E658" s="2">
        <f t="shared" si="61"/>
        <v>1.8</v>
      </c>
      <c r="F658" s="10">
        <v>0.02</v>
      </c>
      <c r="G658" s="10">
        <v>7.0000000000000007E-2</v>
      </c>
      <c r="H658" s="12">
        <f t="shared" si="62"/>
        <v>0.2079</v>
      </c>
      <c r="I658" s="12">
        <f t="shared" si="63"/>
        <v>2.0979000000000001</v>
      </c>
      <c r="J658" s="2"/>
      <c r="K658" s="2"/>
      <c r="L658" s="2"/>
      <c r="M658" s="2">
        <f>I658*830</f>
        <v>1741.2570000000001</v>
      </c>
      <c r="N658" s="2">
        <f>I658*1000</f>
        <v>2097.9</v>
      </c>
      <c r="O658" s="2"/>
      <c r="P658" s="2"/>
      <c r="Q658" s="43">
        <f t="shared" si="64"/>
        <v>9.9099099099099099</v>
      </c>
    </row>
    <row r="659" spans="1:17" hidden="1" x14ac:dyDescent="0.25">
      <c r="A659" s="16">
        <v>45680</v>
      </c>
      <c r="B659" s="2" t="s">
        <v>85</v>
      </c>
      <c r="C659" s="2">
        <v>950</v>
      </c>
      <c r="D659" s="11">
        <v>0.155</v>
      </c>
      <c r="E659" s="2">
        <v>1.05</v>
      </c>
      <c r="F659" s="41">
        <v>0.02</v>
      </c>
      <c r="G659" s="41">
        <v>7.0000000000000007E-2</v>
      </c>
      <c r="H659" s="42">
        <v>0.17670000000000002</v>
      </c>
      <c r="I659" s="42">
        <v>1.3167000000000002</v>
      </c>
      <c r="J659" s="2"/>
      <c r="K659" s="2">
        <v>395.01000000000005</v>
      </c>
      <c r="L659" s="2"/>
      <c r="M659" s="2"/>
      <c r="N659" s="2">
        <v>1316.7000000000003</v>
      </c>
      <c r="O659" s="2"/>
      <c r="P659" s="2"/>
      <c r="Q659" s="52">
        <v>13.419913419913421</v>
      </c>
    </row>
    <row r="660" spans="1:17" x14ac:dyDescent="0.25">
      <c r="A660" s="16">
        <v>45681</v>
      </c>
      <c r="B660" s="2" t="s">
        <v>136</v>
      </c>
      <c r="C660" s="2">
        <v>650</v>
      </c>
      <c r="D660" s="11">
        <v>0.21</v>
      </c>
      <c r="E660" s="2">
        <f t="shared" ref="E660:E685" si="65">C660/1000</f>
        <v>0.65</v>
      </c>
      <c r="F660" s="10">
        <v>0.02</v>
      </c>
      <c r="G660" s="10">
        <v>7.0000000000000007E-2</v>
      </c>
      <c r="H660" s="12">
        <f t="shared" ref="H660:H685" si="66">SUM(E660:G660)*D660</f>
        <v>0.15539999999999998</v>
      </c>
      <c r="I660" s="12">
        <f t="shared" ref="I660:I685" si="67">SUM(E660:H660)</f>
        <v>0.89539999999999997</v>
      </c>
      <c r="J660" s="2"/>
      <c r="K660" s="2"/>
      <c r="L660" s="2"/>
      <c r="M660" s="2"/>
      <c r="N660" s="2">
        <f>I660*1000</f>
        <v>895.4</v>
      </c>
      <c r="O660" s="2"/>
      <c r="P660" s="2"/>
      <c r="Q660" s="28">
        <f t="shared" ref="Q660:Q685" si="68">H660/I660%</f>
        <v>17.355371900826444</v>
      </c>
    </row>
    <row r="661" spans="1:17" x14ac:dyDescent="0.25">
      <c r="A661" s="16">
        <v>45681</v>
      </c>
      <c r="B661" s="2" t="s">
        <v>119</v>
      </c>
      <c r="C661" s="2">
        <v>650</v>
      </c>
      <c r="D661" s="11">
        <v>0.215</v>
      </c>
      <c r="E661" s="2">
        <f t="shared" si="65"/>
        <v>0.65</v>
      </c>
      <c r="F661" s="10">
        <v>0.02</v>
      </c>
      <c r="G661" s="10">
        <v>7.0000000000000007E-2</v>
      </c>
      <c r="H661" s="12">
        <f t="shared" si="66"/>
        <v>0.15909999999999999</v>
      </c>
      <c r="I661" s="12">
        <f t="shared" si="67"/>
        <v>0.89910000000000001</v>
      </c>
      <c r="J661" s="2"/>
      <c r="K661" s="2"/>
      <c r="L661" s="2"/>
      <c r="M661" s="2">
        <f>I661*750</f>
        <v>674.32500000000005</v>
      </c>
      <c r="N661" s="2"/>
      <c r="O661" s="2"/>
      <c r="P661" s="2"/>
      <c r="Q661" s="28">
        <f t="shared" si="68"/>
        <v>17.695473251028805</v>
      </c>
    </row>
    <row r="662" spans="1:17" hidden="1" x14ac:dyDescent="0.25">
      <c r="A662" s="16">
        <v>45681</v>
      </c>
      <c r="B662" s="2" t="s">
        <v>84</v>
      </c>
      <c r="C662" s="2">
        <v>1000</v>
      </c>
      <c r="D662" s="11">
        <v>0</v>
      </c>
      <c r="E662" s="2">
        <f t="shared" si="65"/>
        <v>1</v>
      </c>
      <c r="F662" s="10">
        <v>0.02</v>
      </c>
      <c r="G662" s="10">
        <v>7.0000000000000007E-2</v>
      </c>
      <c r="H662" s="12">
        <f t="shared" si="66"/>
        <v>0</v>
      </c>
      <c r="I662" s="12">
        <f t="shared" si="67"/>
        <v>1.0900000000000001</v>
      </c>
      <c r="J662" s="2"/>
      <c r="K662" s="2"/>
      <c r="L662" s="2"/>
      <c r="M662" s="2"/>
      <c r="N662" s="2">
        <f t="shared" ref="N662:N677" si="69">I662*1000</f>
        <v>1090</v>
      </c>
      <c r="O662" s="2"/>
      <c r="P662" s="2"/>
      <c r="Q662" s="28">
        <f t="shared" si="68"/>
        <v>0</v>
      </c>
    </row>
    <row r="663" spans="1:17" hidden="1" x14ac:dyDescent="0.25">
      <c r="A663" s="16">
        <v>45681</v>
      </c>
      <c r="B663" s="2" t="s">
        <v>109</v>
      </c>
      <c r="C663" s="2">
        <v>600</v>
      </c>
      <c r="D663" s="39">
        <v>0.29799999999999999</v>
      </c>
      <c r="E663" s="2">
        <f t="shared" si="65"/>
        <v>0.6</v>
      </c>
      <c r="F663" s="41">
        <v>0.02</v>
      </c>
      <c r="G663" s="41">
        <v>7.0000000000000007E-2</v>
      </c>
      <c r="H663" s="42">
        <f t="shared" si="66"/>
        <v>0.20561999999999997</v>
      </c>
      <c r="I663" s="42">
        <f t="shared" si="67"/>
        <v>0.89561999999999986</v>
      </c>
      <c r="J663" s="2"/>
      <c r="K663" s="2"/>
      <c r="L663" s="2"/>
      <c r="M663" s="2"/>
      <c r="N663" s="2">
        <f t="shared" si="69"/>
        <v>895.61999999999989</v>
      </c>
      <c r="O663" s="2"/>
      <c r="P663" s="2"/>
      <c r="Q663" s="43">
        <f t="shared" si="68"/>
        <v>22.95839753466872</v>
      </c>
    </row>
    <row r="664" spans="1:17" hidden="1" x14ac:dyDescent="0.25">
      <c r="A664" s="16">
        <v>45681</v>
      </c>
      <c r="B664" s="2" t="s">
        <v>139</v>
      </c>
      <c r="C664" s="2">
        <v>1150</v>
      </c>
      <c r="D664" s="39">
        <v>0.37</v>
      </c>
      <c r="E664" s="2">
        <f t="shared" si="65"/>
        <v>1.1499999999999999</v>
      </c>
      <c r="F664" s="41">
        <v>0.02</v>
      </c>
      <c r="G664" s="41">
        <v>7.0000000000000007E-2</v>
      </c>
      <c r="H664" s="42">
        <f t="shared" si="66"/>
        <v>0.45879999999999999</v>
      </c>
      <c r="I664" s="42">
        <f t="shared" si="67"/>
        <v>1.6987999999999999</v>
      </c>
      <c r="J664" s="2"/>
      <c r="K664" s="2">
        <f>I664*350</f>
        <v>594.57999999999993</v>
      </c>
      <c r="L664" s="2"/>
      <c r="M664" s="2"/>
      <c r="N664" s="2">
        <f t="shared" si="69"/>
        <v>1698.8</v>
      </c>
      <c r="O664" s="2"/>
      <c r="P664" s="2"/>
      <c r="Q664" s="43">
        <f t="shared" si="68"/>
        <v>27.007299270072991</v>
      </c>
    </row>
    <row r="665" spans="1:17" hidden="1" x14ac:dyDescent="0.25">
      <c r="A665" s="16">
        <v>45681</v>
      </c>
      <c r="B665" s="2" t="s">
        <v>86</v>
      </c>
      <c r="C665" s="2">
        <v>1150</v>
      </c>
      <c r="D665" s="11">
        <v>0.27600000000000002</v>
      </c>
      <c r="E665" s="2">
        <f t="shared" si="65"/>
        <v>1.1499999999999999</v>
      </c>
      <c r="F665" s="10">
        <v>0.02</v>
      </c>
      <c r="G665" s="10">
        <v>7.0000000000000007E-2</v>
      </c>
      <c r="H665" s="12">
        <f t="shared" si="66"/>
        <v>0.34224000000000004</v>
      </c>
      <c r="I665" s="12">
        <f t="shared" si="67"/>
        <v>1.5822400000000001</v>
      </c>
      <c r="J665" s="2">
        <f>I665*250</f>
        <v>395.56</v>
      </c>
      <c r="K665" s="2"/>
      <c r="L665" s="2"/>
      <c r="M665" s="2"/>
      <c r="N665" s="2">
        <f t="shared" si="69"/>
        <v>1582.24</v>
      </c>
      <c r="O665" s="2"/>
      <c r="P665" s="2"/>
      <c r="Q665" s="43">
        <f t="shared" si="68"/>
        <v>21.630094043887151</v>
      </c>
    </row>
    <row r="666" spans="1:17" hidden="1" x14ac:dyDescent="0.25">
      <c r="A666" s="16">
        <v>45681</v>
      </c>
      <c r="B666" s="47" t="s">
        <v>96</v>
      </c>
      <c r="C666" s="47">
        <v>1150</v>
      </c>
      <c r="D666" s="11">
        <v>0.60499999999999998</v>
      </c>
      <c r="E666" s="47">
        <f t="shared" si="65"/>
        <v>1.1499999999999999</v>
      </c>
      <c r="F666" s="49">
        <v>0.02</v>
      </c>
      <c r="G666" s="49">
        <v>7.0000000000000007E-2</v>
      </c>
      <c r="H666" s="50">
        <f t="shared" si="66"/>
        <v>0.75019999999999998</v>
      </c>
      <c r="I666" s="50">
        <f t="shared" si="67"/>
        <v>1.9902</v>
      </c>
      <c r="J666" s="47"/>
      <c r="K666" s="47"/>
      <c r="L666" s="47">
        <f>I666*450</f>
        <v>895.59</v>
      </c>
      <c r="M666" s="47"/>
      <c r="N666" s="47">
        <f t="shared" si="69"/>
        <v>1990.2</v>
      </c>
      <c r="O666" s="47"/>
      <c r="P666" s="47"/>
      <c r="Q666" s="51">
        <f t="shared" si="68"/>
        <v>37.694704049844233</v>
      </c>
    </row>
    <row r="667" spans="1:17" x14ac:dyDescent="0.25">
      <c r="A667" s="16">
        <v>45682</v>
      </c>
      <c r="B667" s="2" t="s">
        <v>119</v>
      </c>
      <c r="C667" s="2">
        <v>670</v>
      </c>
      <c r="D667" s="39">
        <v>0.215</v>
      </c>
      <c r="E667" s="2">
        <f t="shared" si="65"/>
        <v>0.67</v>
      </c>
      <c r="F667" s="41">
        <v>0.02</v>
      </c>
      <c r="G667" s="41">
        <v>7.0000000000000007E-2</v>
      </c>
      <c r="H667" s="42">
        <f t="shared" si="66"/>
        <v>0.16339999999999999</v>
      </c>
      <c r="I667" s="42">
        <f t="shared" si="67"/>
        <v>0.9234</v>
      </c>
      <c r="J667" s="2"/>
      <c r="K667" s="2"/>
      <c r="L667" s="2"/>
      <c r="M667" s="2">
        <f>I667*750</f>
        <v>692.55</v>
      </c>
      <c r="N667" s="2">
        <f t="shared" si="69"/>
        <v>923.4</v>
      </c>
      <c r="O667" s="2"/>
      <c r="P667" s="2"/>
      <c r="Q667" s="43">
        <f t="shared" si="68"/>
        <v>17.695473251028808</v>
      </c>
    </row>
    <row r="668" spans="1:17" x14ac:dyDescent="0.25">
      <c r="A668" s="16">
        <v>45682</v>
      </c>
      <c r="B668" s="2" t="s">
        <v>200</v>
      </c>
      <c r="C668" s="2">
        <v>670</v>
      </c>
      <c r="D668" s="11">
        <v>0.22</v>
      </c>
      <c r="E668" s="2">
        <f t="shared" si="65"/>
        <v>0.67</v>
      </c>
      <c r="F668" s="10">
        <v>0.02</v>
      </c>
      <c r="G668" s="10">
        <v>7.0000000000000007E-2</v>
      </c>
      <c r="H668" s="12">
        <f t="shared" si="66"/>
        <v>0.16720000000000002</v>
      </c>
      <c r="I668" s="12">
        <f t="shared" si="67"/>
        <v>0.92720000000000002</v>
      </c>
      <c r="J668" s="2"/>
      <c r="K668" s="2"/>
      <c r="L668" s="2">
        <f>I668*500</f>
        <v>463.6</v>
      </c>
      <c r="M668" s="2"/>
      <c r="N668" s="2">
        <f t="shared" si="69"/>
        <v>927.2</v>
      </c>
      <c r="O668" s="2"/>
      <c r="P668" s="2"/>
      <c r="Q668" s="28">
        <f t="shared" si="68"/>
        <v>18.032786885245901</v>
      </c>
    </row>
    <row r="669" spans="1:17" hidden="1" x14ac:dyDescent="0.25">
      <c r="A669" s="16">
        <v>45682</v>
      </c>
      <c r="B669" s="2" t="s">
        <v>141</v>
      </c>
      <c r="C669" s="2">
        <v>430</v>
      </c>
      <c r="D669" s="11">
        <v>0.53</v>
      </c>
      <c r="E669" s="2">
        <f t="shared" si="65"/>
        <v>0.43</v>
      </c>
      <c r="F669" s="10">
        <v>0.02</v>
      </c>
      <c r="G669" s="10">
        <v>7.0000000000000007E-2</v>
      </c>
      <c r="H669" s="12">
        <f t="shared" si="66"/>
        <v>0.27560000000000001</v>
      </c>
      <c r="I669" s="12">
        <f t="shared" si="67"/>
        <v>0.79560000000000008</v>
      </c>
      <c r="J669" s="2"/>
      <c r="K669" s="2"/>
      <c r="L669" s="2"/>
      <c r="M669" s="2"/>
      <c r="N669" s="2">
        <f t="shared" si="69"/>
        <v>795.60000000000014</v>
      </c>
      <c r="O669" s="2"/>
      <c r="P669" s="2"/>
      <c r="Q669" s="28">
        <f t="shared" si="68"/>
        <v>34.640522875816991</v>
      </c>
    </row>
    <row r="670" spans="1:17" hidden="1" x14ac:dyDescent="0.25">
      <c r="A670" s="16">
        <v>45682</v>
      </c>
      <c r="B670" s="2" t="s">
        <v>98</v>
      </c>
      <c r="C670" s="2">
        <v>570</v>
      </c>
      <c r="D670" s="11">
        <v>0.36399999999999999</v>
      </c>
      <c r="E670" s="2">
        <f t="shared" si="65"/>
        <v>0.56999999999999995</v>
      </c>
      <c r="F670" s="10">
        <v>0.02</v>
      </c>
      <c r="G670" s="10">
        <v>7.0000000000000007E-2</v>
      </c>
      <c r="H670" s="12">
        <f t="shared" si="66"/>
        <v>0.24023999999999995</v>
      </c>
      <c r="I670" s="12">
        <f t="shared" si="67"/>
        <v>0.90023999999999993</v>
      </c>
      <c r="J670" s="2"/>
      <c r="K670" s="2"/>
      <c r="L670" s="2"/>
      <c r="M670" s="2">
        <f>I670*750</f>
        <v>675.18</v>
      </c>
      <c r="N670" s="2">
        <f t="shared" si="69"/>
        <v>900.2399999999999</v>
      </c>
      <c r="O670" s="2"/>
      <c r="P670" s="2"/>
      <c r="Q670" s="28">
        <f t="shared" si="68"/>
        <v>26.686217008797652</v>
      </c>
    </row>
    <row r="671" spans="1:17" hidden="1" x14ac:dyDescent="0.25">
      <c r="A671" s="16">
        <v>45682</v>
      </c>
      <c r="B671" s="2" t="s">
        <v>122</v>
      </c>
      <c r="C671" s="2">
        <v>570</v>
      </c>
      <c r="D671" s="11">
        <v>0.35</v>
      </c>
      <c r="E671" s="2">
        <f t="shared" si="65"/>
        <v>0.56999999999999995</v>
      </c>
      <c r="F671" s="10">
        <v>0.02</v>
      </c>
      <c r="G671" s="10">
        <v>7.0000000000000007E-2</v>
      </c>
      <c r="H671" s="12">
        <f t="shared" si="66"/>
        <v>0.23099999999999996</v>
      </c>
      <c r="I671" s="12">
        <f t="shared" si="67"/>
        <v>0.8909999999999999</v>
      </c>
      <c r="J671" s="2"/>
      <c r="K671" s="2"/>
      <c r="L671" s="2">
        <f>I671*500</f>
        <v>445.49999999999994</v>
      </c>
      <c r="M671" s="2"/>
      <c r="N671" s="2">
        <f t="shared" si="69"/>
        <v>890.99999999999989</v>
      </c>
      <c r="O671" s="2"/>
      <c r="P671" s="2"/>
      <c r="Q671" s="28">
        <f t="shared" si="68"/>
        <v>25.925925925925924</v>
      </c>
    </row>
    <row r="672" spans="1:17" hidden="1" x14ac:dyDescent="0.25">
      <c r="A672" s="16">
        <v>45682</v>
      </c>
      <c r="B672" s="2" t="s">
        <v>139</v>
      </c>
      <c r="C672" s="2">
        <v>1350</v>
      </c>
      <c r="D672" s="11">
        <v>0.18</v>
      </c>
      <c r="E672" s="2">
        <f t="shared" si="65"/>
        <v>1.35</v>
      </c>
      <c r="F672" s="10">
        <v>0.02</v>
      </c>
      <c r="G672" s="10">
        <v>7.0000000000000007E-2</v>
      </c>
      <c r="H672" s="12">
        <f t="shared" si="66"/>
        <v>0.25920000000000004</v>
      </c>
      <c r="I672" s="12">
        <f t="shared" si="67"/>
        <v>1.6992000000000003</v>
      </c>
      <c r="J672" s="2"/>
      <c r="K672" s="2">
        <f>I672*350</f>
        <v>594.72000000000014</v>
      </c>
      <c r="L672" s="2"/>
      <c r="M672" s="2"/>
      <c r="N672" s="2">
        <f t="shared" si="69"/>
        <v>1699.2000000000003</v>
      </c>
      <c r="O672" s="2"/>
      <c r="P672" s="2"/>
      <c r="Q672" s="28">
        <f t="shared" si="68"/>
        <v>15.254237288135592</v>
      </c>
    </row>
    <row r="673" spans="1:17" ht="13.9" hidden="1" customHeight="1" x14ac:dyDescent="0.25">
      <c r="A673" s="16">
        <v>45682</v>
      </c>
      <c r="B673" s="2" t="s">
        <v>86</v>
      </c>
      <c r="C673" s="2">
        <v>1350</v>
      </c>
      <c r="D673" s="11">
        <v>9.6000000000000002E-2</v>
      </c>
      <c r="E673" s="2">
        <f t="shared" si="65"/>
        <v>1.35</v>
      </c>
      <c r="F673" s="10">
        <v>0.02</v>
      </c>
      <c r="G673" s="10">
        <v>7.0000000000000007E-2</v>
      </c>
      <c r="H673" s="12">
        <f t="shared" si="66"/>
        <v>0.13824000000000003</v>
      </c>
      <c r="I673" s="12">
        <f t="shared" si="67"/>
        <v>1.5782400000000001</v>
      </c>
      <c r="J673" s="2">
        <f>I673*250</f>
        <v>394.56</v>
      </c>
      <c r="K673" s="2"/>
      <c r="L673" s="2"/>
      <c r="M673" s="2"/>
      <c r="N673" s="2">
        <f t="shared" si="69"/>
        <v>1578.24</v>
      </c>
      <c r="O673" s="2"/>
      <c r="P673" s="2"/>
      <c r="Q673" s="28">
        <f t="shared" si="68"/>
        <v>8.7591240875912408</v>
      </c>
    </row>
    <row r="674" spans="1:17" hidden="1" x14ac:dyDescent="0.25">
      <c r="A674" s="16">
        <v>45683</v>
      </c>
      <c r="B674" s="2" t="s">
        <v>139</v>
      </c>
      <c r="C674" s="2">
        <v>1350</v>
      </c>
      <c r="D674" s="11">
        <v>0.18</v>
      </c>
      <c r="E674" s="2">
        <f t="shared" si="65"/>
        <v>1.35</v>
      </c>
      <c r="F674" s="10">
        <v>0.02</v>
      </c>
      <c r="G674" s="10">
        <v>7.0000000000000007E-2</v>
      </c>
      <c r="H674" s="12">
        <f t="shared" si="66"/>
        <v>0.25920000000000004</v>
      </c>
      <c r="I674" s="12">
        <f t="shared" si="67"/>
        <v>1.6992000000000003</v>
      </c>
      <c r="J674" s="2"/>
      <c r="K674" s="2">
        <f>I674*350</f>
        <v>594.72000000000014</v>
      </c>
      <c r="L674" s="2"/>
      <c r="M674" s="2"/>
      <c r="N674" s="2">
        <f t="shared" si="69"/>
        <v>1699.2000000000003</v>
      </c>
      <c r="O674" s="2"/>
      <c r="P674" s="2"/>
      <c r="Q674" s="28">
        <f t="shared" si="68"/>
        <v>15.254237288135592</v>
      </c>
    </row>
    <row r="675" spans="1:17" x14ac:dyDescent="0.25">
      <c r="A675" s="16">
        <v>45685</v>
      </c>
      <c r="B675" s="2" t="s">
        <v>200</v>
      </c>
      <c r="C675" s="2">
        <v>670</v>
      </c>
      <c r="D675" s="11">
        <v>0.17299999999999999</v>
      </c>
      <c r="E675" s="2">
        <f t="shared" si="65"/>
        <v>0.67</v>
      </c>
      <c r="F675" s="10">
        <v>0.02</v>
      </c>
      <c r="G675" s="10">
        <v>7.0000000000000007E-2</v>
      </c>
      <c r="H675" s="12">
        <f t="shared" si="66"/>
        <v>0.13147999999999999</v>
      </c>
      <c r="I675" s="12">
        <f t="shared" si="67"/>
        <v>0.89148000000000005</v>
      </c>
      <c r="J675" s="2"/>
      <c r="K675" s="2"/>
      <c r="L675" s="2">
        <f>I675*500</f>
        <v>445.74</v>
      </c>
      <c r="M675" s="2"/>
      <c r="N675" s="2">
        <f t="shared" si="69"/>
        <v>891.48</v>
      </c>
      <c r="O675" s="2"/>
      <c r="P675" s="2"/>
      <c r="Q675" s="28">
        <f t="shared" si="68"/>
        <v>14.748508098891728</v>
      </c>
    </row>
    <row r="676" spans="1:17" hidden="1" x14ac:dyDescent="0.25">
      <c r="A676" s="16">
        <v>45685</v>
      </c>
      <c r="B676" s="2" t="s">
        <v>141</v>
      </c>
      <c r="C676" s="2">
        <v>430</v>
      </c>
      <c r="D676" s="11">
        <v>0.53</v>
      </c>
      <c r="E676" s="2">
        <f t="shared" si="65"/>
        <v>0.43</v>
      </c>
      <c r="F676" s="10">
        <v>0.02</v>
      </c>
      <c r="G676" s="10">
        <v>7.0000000000000007E-2</v>
      </c>
      <c r="H676" s="12">
        <f t="shared" si="66"/>
        <v>0.27560000000000001</v>
      </c>
      <c r="I676" s="12">
        <f t="shared" si="67"/>
        <v>0.79560000000000008</v>
      </c>
      <c r="J676" s="2"/>
      <c r="K676" s="2"/>
      <c r="L676" s="2"/>
      <c r="M676" s="2"/>
      <c r="N676" s="2">
        <f t="shared" si="69"/>
        <v>795.60000000000014</v>
      </c>
      <c r="O676" s="2">
        <f>I676*1250</f>
        <v>994.50000000000011</v>
      </c>
      <c r="P676" s="2"/>
      <c r="Q676" s="28">
        <f t="shared" si="68"/>
        <v>34.640522875816991</v>
      </c>
    </row>
    <row r="677" spans="1:17" ht="14.25" hidden="1" customHeight="1" x14ac:dyDescent="0.25">
      <c r="A677" s="16">
        <v>45685</v>
      </c>
      <c r="B677" s="2" t="s">
        <v>84</v>
      </c>
      <c r="C677" s="2">
        <v>650</v>
      </c>
      <c r="D677" s="11">
        <v>0.34</v>
      </c>
      <c r="E677" s="2">
        <f t="shared" si="65"/>
        <v>0.65</v>
      </c>
      <c r="F677" s="10">
        <v>0.02</v>
      </c>
      <c r="G677" s="10">
        <v>7.0000000000000007E-2</v>
      </c>
      <c r="H677" s="12">
        <f t="shared" si="66"/>
        <v>0.25159999999999999</v>
      </c>
      <c r="I677" s="12">
        <f t="shared" si="67"/>
        <v>0.99160000000000004</v>
      </c>
      <c r="J677" s="2"/>
      <c r="K677" s="2"/>
      <c r="L677" s="2">
        <f>I677*500</f>
        <v>495.8</v>
      </c>
      <c r="M677" s="2"/>
      <c r="N677" s="2">
        <f t="shared" si="69"/>
        <v>991.6</v>
      </c>
      <c r="O677" s="2"/>
      <c r="P677" s="2"/>
      <c r="Q677" s="28">
        <f t="shared" si="68"/>
        <v>25.373134328358205</v>
      </c>
    </row>
    <row r="678" spans="1:17" ht="15.75" hidden="1" customHeight="1" x14ac:dyDescent="0.25">
      <c r="A678" s="16">
        <v>45685</v>
      </c>
      <c r="B678" s="2" t="s">
        <v>100</v>
      </c>
      <c r="C678" s="2">
        <v>650</v>
      </c>
      <c r="D678" s="11">
        <v>0.20300000000000001</v>
      </c>
      <c r="E678" s="2">
        <f t="shared" si="65"/>
        <v>0.65</v>
      </c>
      <c r="F678" s="10">
        <v>0.02</v>
      </c>
      <c r="G678" s="10">
        <v>7.0000000000000007E-2</v>
      </c>
      <c r="H678" s="12">
        <f t="shared" si="66"/>
        <v>0.15022000000000002</v>
      </c>
      <c r="I678" s="12">
        <f t="shared" si="67"/>
        <v>0.89022000000000001</v>
      </c>
      <c r="J678" s="2"/>
      <c r="K678" s="2"/>
      <c r="L678" s="2">
        <f>I678*500</f>
        <v>445.11</v>
      </c>
      <c r="M678" s="2"/>
      <c r="N678" s="2"/>
      <c r="O678" s="2"/>
      <c r="P678" s="2"/>
      <c r="Q678" s="28">
        <f t="shared" si="68"/>
        <v>16.874480465502909</v>
      </c>
    </row>
    <row r="679" spans="1:17" hidden="1" x14ac:dyDescent="0.25">
      <c r="A679" s="16">
        <v>45685</v>
      </c>
      <c r="B679" s="2" t="s">
        <v>109</v>
      </c>
      <c r="C679" s="2">
        <v>550</v>
      </c>
      <c r="D679" s="11">
        <v>0.39800000000000002</v>
      </c>
      <c r="E679" s="2">
        <f t="shared" si="65"/>
        <v>0.55000000000000004</v>
      </c>
      <c r="F679" s="10">
        <v>0.02</v>
      </c>
      <c r="G679" s="10">
        <v>7.0000000000000007E-2</v>
      </c>
      <c r="H679" s="12">
        <f t="shared" si="66"/>
        <v>0.25472000000000006</v>
      </c>
      <c r="I679" s="12">
        <f t="shared" si="67"/>
        <v>0.89472000000000018</v>
      </c>
      <c r="J679" s="2"/>
      <c r="K679" s="2"/>
      <c r="L679" s="2"/>
      <c r="M679" s="2"/>
      <c r="N679" s="2">
        <f>I679*1000</f>
        <v>894.72000000000014</v>
      </c>
      <c r="O679" s="2"/>
      <c r="P679" s="2"/>
      <c r="Q679" s="28">
        <f t="shared" si="68"/>
        <v>28.469241773962803</v>
      </c>
    </row>
    <row r="680" spans="1:17" hidden="1" x14ac:dyDescent="0.25">
      <c r="A680" s="16">
        <v>45685</v>
      </c>
      <c r="B680" s="2" t="s">
        <v>109</v>
      </c>
      <c r="C680" s="2">
        <v>550</v>
      </c>
      <c r="D680" s="11">
        <v>0.39900000000000002</v>
      </c>
      <c r="E680" s="2">
        <f t="shared" si="65"/>
        <v>0.55000000000000004</v>
      </c>
      <c r="F680" s="10">
        <v>0.02</v>
      </c>
      <c r="G680" s="10">
        <v>7.0000000000000007E-2</v>
      </c>
      <c r="H680" s="12">
        <f t="shared" si="66"/>
        <v>0.25536000000000009</v>
      </c>
      <c r="I680" s="12">
        <f t="shared" si="67"/>
        <v>0.89536000000000016</v>
      </c>
      <c r="J680" s="2"/>
      <c r="K680" s="2"/>
      <c r="L680" s="2"/>
      <c r="M680" s="2"/>
      <c r="N680" s="2">
        <f>I680*1000</f>
        <v>895.36000000000013</v>
      </c>
      <c r="O680" s="2"/>
      <c r="P680" s="2"/>
      <c r="Q680" s="43">
        <f t="shared" si="68"/>
        <v>28.520371694067197</v>
      </c>
    </row>
    <row r="681" spans="1:17" hidden="1" x14ac:dyDescent="0.25">
      <c r="A681" s="16">
        <v>45685</v>
      </c>
      <c r="B681" s="2" t="s">
        <v>175</v>
      </c>
      <c r="C681" s="2">
        <v>550</v>
      </c>
      <c r="D681" s="11">
        <v>0.36890000000000001</v>
      </c>
      <c r="E681" s="2">
        <f t="shared" si="65"/>
        <v>0.55000000000000004</v>
      </c>
      <c r="F681" s="10">
        <v>0.02</v>
      </c>
      <c r="G681" s="10">
        <v>7.0000000000000007E-2</v>
      </c>
      <c r="H681" s="12">
        <f t="shared" si="66"/>
        <v>0.23609600000000006</v>
      </c>
      <c r="I681" s="12">
        <f t="shared" si="67"/>
        <v>0.87609600000000021</v>
      </c>
      <c r="J681" s="2"/>
      <c r="K681" s="2"/>
      <c r="L681" s="2"/>
      <c r="M681" s="2"/>
      <c r="N681" s="2">
        <f>I681*1250</f>
        <v>1095.1200000000003</v>
      </c>
      <c r="O681" s="2">
        <f>I681*1250</f>
        <v>1095.1200000000003</v>
      </c>
      <c r="P681" s="2"/>
      <c r="Q681" s="28">
        <f t="shared" si="68"/>
        <v>26.948644897362847</v>
      </c>
    </row>
    <row r="682" spans="1:17" hidden="1" x14ac:dyDescent="0.25">
      <c r="A682" s="16">
        <v>45685</v>
      </c>
      <c r="B682" s="2" t="s">
        <v>175</v>
      </c>
      <c r="C682" s="2">
        <v>550</v>
      </c>
      <c r="D682" s="11">
        <v>0.36899999999999999</v>
      </c>
      <c r="E682" s="2">
        <f t="shared" si="65"/>
        <v>0.55000000000000004</v>
      </c>
      <c r="F682" s="10">
        <v>0.02</v>
      </c>
      <c r="G682" s="10">
        <v>7.0000000000000007E-2</v>
      </c>
      <c r="H682" s="12">
        <f t="shared" si="66"/>
        <v>0.23616000000000004</v>
      </c>
      <c r="I682" s="12">
        <f t="shared" si="67"/>
        <v>0.87616000000000016</v>
      </c>
      <c r="J682" s="2"/>
      <c r="K682" s="2"/>
      <c r="L682" s="2"/>
      <c r="M682" s="2"/>
      <c r="N682" s="2"/>
      <c r="O682" s="2">
        <f>I682*1250</f>
        <v>1095.2000000000003</v>
      </c>
      <c r="P682" s="2"/>
      <c r="Q682" s="28">
        <f t="shared" si="68"/>
        <v>26.953981008035061</v>
      </c>
    </row>
    <row r="683" spans="1:17" hidden="1" x14ac:dyDescent="0.25">
      <c r="A683" s="16">
        <v>45685</v>
      </c>
      <c r="B683" s="2" t="s">
        <v>89</v>
      </c>
      <c r="C683" s="10">
        <v>550</v>
      </c>
      <c r="D683" s="11">
        <v>0.24</v>
      </c>
      <c r="E683" s="10">
        <f t="shared" si="65"/>
        <v>0.55000000000000004</v>
      </c>
      <c r="F683" s="10">
        <v>0.02</v>
      </c>
      <c r="G683" s="10">
        <v>7.0000000000000007E-2</v>
      </c>
      <c r="H683" s="12">
        <f t="shared" si="66"/>
        <v>0.15360000000000001</v>
      </c>
      <c r="I683" s="12">
        <f t="shared" si="67"/>
        <v>0.79360000000000008</v>
      </c>
      <c r="J683" s="10"/>
      <c r="K683" s="10"/>
      <c r="L683" s="10"/>
      <c r="M683" s="10">
        <f>I683*750</f>
        <v>595.20000000000005</v>
      </c>
      <c r="N683" s="10"/>
      <c r="O683" s="10"/>
      <c r="P683" s="10"/>
      <c r="Q683" s="28">
        <f t="shared" si="68"/>
        <v>19.35483870967742</v>
      </c>
    </row>
    <row r="684" spans="1:17" hidden="1" x14ac:dyDescent="0.25">
      <c r="A684" s="16">
        <v>45685</v>
      </c>
      <c r="B684" s="2" t="s">
        <v>99</v>
      </c>
      <c r="C684" s="10">
        <v>550</v>
      </c>
      <c r="D684" s="11">
        <v>0.23300000000000001</v>
      </c>
      <c r="E684" s="10">
        <f t="shared" si="65"/>
        <v>0.55000000000000004</v>
      </c>
      <c r="F684" s="10">
        <v>0.02</v>
      </c>
      <c r="G684" s="10">
        <v>7.0000000000000007E-2</v>
      </c>
      <c r="H684" s="12">
        <f t="shared" si="66"/>
        <v>0.14912000000000003</v>
      </c>
      <c r="I684" s="12">
        <f t="shared" si="67"/>
        <v>0.78912000000000015</v>
      </c>
      <c r="J684" s="10"/>
      <c r="K684" s="10"/>
      <c r="L684" s="10">
        <f>I684*500</f>
        <v>394.56000000000006</v>
      </c>
      <c r="M684" s="10"/>
      <c r="N684" s="10"/>
      <c r="O684" s="10"/>
      <c r="P684" s="10"/>
      <c r="Q684" s="28">
        <f t="shared" si="68"/>
        <v>18.896999188969993</v>
      </c>
    </row>
    <row r="685" spans="1:17" ht="13.9" hidden="1" customHeight="1" x14ac:dyDescent="0.25">
      <c r="A685" s="16">
        <v>45685</v>
      </c>
      <c r="B685" s="2" t="s">
        <v>139</v>
      </c>
      <c r="C685" s="2">
        <v>1350</v>
      </c>
      <c r="D685" s="11">
        <v>0.18</v>
      </c>
      <c r="E685" s="2">
        <f t="shared" si="65"/>
        <v>1.35</v>
      </c>
      <c r="F685" s="10">
        <v>0.02</v>
      </c>
      <c r="G685" s="10">
        <v>7.0000000000000007E-2</v>
      </c>
      <c r="H685" s="12">
        <f t="shared" si="66"/>
        <v>0.25920000000000004</v>
      </c>
      <c r="I685" s="12">
        <f t="shared" si="67"/>
        <v>1.6992000000000003</v>
      </c>
      <c r="J685" s="2"/>
      <c r="K685" s="2">
        <f>I685*350</f>
        <v>594.72000000000014</v>
      </c>
      <c r="L685" s="2"/>
      <c r="M685" s="2"/>
      <c r="N685" s="2">
        <f>I685*1000</f>
        <v>1699.2000000000003</v>
      </c>
      <c r="O685" s="2"/>
      <c r="P685" s="2"/>
      <c r="Q685" s="28">
        <f t="shared" si="68"/>
        <v>15.254237288135592</v>
      </c>
    </row>
    <row r="686" spans="1:17" hidden="1" x14ac:dyDescent="0.25">
      <c r="A686" s="45">
        <v>45685</v>
      </c>
      <c r="B686" s="2" t="s">
        <v>85</v>
      </c>
      <c r="C686" s="2">
        <v>950</v>
      </c>
      <c r="D686" s="11">
        <v>0</v>
      </c>
      <c r="E686" s="2">
        <v>1.05</v>
      </c>
      <c r="F686" s="10">
        <v>0.02</v>
      </c>
      <c r="G686" s="10">
        <v>7.0000000000000007E-2</v>
      </c>
      <c r="H686" s="12">
        <v>0.17670000000000002</v>
      </c>
      <c r="I686" s="12">
        <v>1.3167000000000002</v>
      </c>
      <c r="J686" s="2"/>
      <c r="K686" s="2">
        <f>I686*300</f>
        <v>395.01000000000005</v>
      </c>
      <c r="L686" s="2"/>
      <c r="M686" s="2"/>
      <c r="N686" s="2">
        <f>I686*1000</f>
        <v>1316.7000000000003</v>
      </c>
      <c r="O686" s="2"/>
      <c r="P686" s="2"/>
      <c r="Q686" s="28">
        <v>13.419913419913421</v>
      </c>
    </row>
    <row r="687" spans="1:17" hidden="1" x14ac:dyDescent="0.25">
      <c r="A687" s="45">
        <v>45686</v>
      </c>
      <c r="B687" s="2" t="s">
        <v>84</v>
      </c>
      <c r="C687" s="2">
        <v>800</v>
      </c>
      <c r="D687" s="11">
        <v>0.113</v>
      </c>
      <c r="E687" s="2">
        <f t="shared" ref="E687:E718" si="70">C687/1000</f>
        <v>0.8</v>
      </c>
      <c r="F687" s="10">
        <v>0.02</v>
      </c>
      <c r="G687" s="10">
        <v>7.0000000000000007E-2</v>
      </c>
      <c r="H687" s="12">
        <f t="shared" ref="H687:H718" si="71">SUM(E687:G687)*D687</f>
        <v>0.10057000000000002</v>
      </c>
      <c r="I687" s="12">
        <f t="shared" ref="I687:I718" si="72">SUM(E687:H687)</f>
        <v>0.99057000000000017</v>
      </c>
      <c r="J687" s="2"/>
      <c r="K687" s="2"/>
      <c r="L687" s="2">
        <f>I687*500</f>
        <v>495.28500000000008</v>
      </c>
      <c r="M687" s="2"/>
      <c r="N687" s="2">
        <f>I687*1000</f>
        <v>990.57000000000016</v>
      </c>
      <c r="O687" s="2"/>
      <c r="P687" s="2"/>
      <c r="Q687" s="43">
        <f>H687/I687%</f>
        <v>10.152740341419587</v>
      </c>
    </row>
    <row r="688" spans="1:17" hidden="1" x14ac:dyDescent="0.25">
      <c r="A688" s="16">
        <v>45686</v>
      </c>
      <c r="B688" s="2" t="s">
        <v>100</v>
      </c>
      <c r="C688" s="2">
        <v>750</v>
      </c>
      <c r="D688" s="11">
        <v>0.06</v>
      </c>
      <c r="E688" s="2">
        <f t="shared" si="70"/>
        <v>0.75</v>
      </c>
      <c r="F688" s="10">
        <v>0.02</v>
      </c>
      <c r="G688" s="10">
        <v>7.0000000000000007E-2</v>
      </c>
      <c r="H688" s="12">
        <f t="shared" si="71"/>
        <v>5.04E-2</v>
      </c>
      <c r="I688" s="12">
        <f t="shared" si="72"/>
        <v>0.89040000000000008</v>
      </c>
      <c r="J688" s="2"/>
      <c r="K688" s="2"/>
      <c r="L688" s="2">
        <f>I688*500</f>
        <v>445.20000000000005</v>
      </c>
      <c r="M688" s="2"/>
      <c r="N688" s="2"/>
      <c r="O688" s="2"/>
      <c r="P688" s="2"/>
      <c r="Q688" s="28">
        <f>H688/I688%</f>
        <v>5.6603773584905657</v>
      </c>
    </row>
    <row r="689" spans="1:17" hidden="1" x14ac:dyDescent="0.25">
      <c r="A689" s="16">
        <v>45686</v>
      </c>
      <c r="B689" s="2" t="s">
        <v>149</v>
      </c>
      <c r="C689" s="2">
        <v>1700</v>
      </c>
      <c r="D689" s="11">
        <v>0.14099999999999999</v>
      </c>
      <c r="E689" s="2">
        <f t="shared" si="70"/>
        <v>1.7</v>
      </c>
      <c r="F689" s="10">
        <v>0.02</v>
      </c>
      <c r="G689" s="10">
        <v>7.0000000000000007E-2</v>
      </c>
      <c r="H689" s="12">
        <f t="shared" si="71"/>
        <v>0.25239</v>
      </c>
      <c r="I689" s="12">
        <f t="shared" si="72"/>
        <v>2.0423900000000001</v>
      </c>
      <c r="J689" s="2"/>
      <c r="K689" s="2"/>
      <c r="L689" s="2"/>
      <c r="M689" s="2">
        <f>I689*830</f>
        <v>1695.1837</v>
      </c>
      <c r="N689" s="2">
        <f>I689*1000</f>
        <v>2042.39</v>
      </c>
      <c r="O689" s="2"/>
      <c r="P689" s="2"/>
      <c r="Q689" s="51">
        <f>H689/I689%</f>
        <v>12.35758106923751</v>
      </c>
    </row>
    <row r="690" spans="1:17" hidden="1" x14ac:dyDescent="0.25">
      <c r="A690" s="16">
        <v>45686</v>
      </c>
      <c r="B690" s="2" t="s">
        <v>149</v>
      </c>
      <c r="C690" s="2">
        <v>1700</v>
      </c>
      <c r="D690" s="11">
        <v>0.14099999999999999</v>
      </c>
      <c r="E690" s="2">
        <f t="shared" si="70"/>
        <v>1.7</v>
      </c>
      <c r="F690" s="10">
        <v>0.02</v>
      </c>
      <c r="G690" s="10">
        <v>7.0000000000000007E-2</v>
      </c>
      <c r="H690" s="12">
        <f t="shared" si="71"/>
        <v>0.25239</v>
      </c>
      <c r="I690" s="12">
        <f t="shared" si="72"/>
        <v>2.0423900000000001</v>
      </c>
      <c r="J690" s="2"/>
      <c r="K690" s="2"/>
      <c r="L690" s="2"/>
      <c r="M690" s="2">
        <f>I690*830</f>
        <v>1695.1837</v>
      </c>
      <c r="N690" s="2">
        <f>I690*1000</f>
        <v>2042.39</v>
      </c>
      <c r="O690" s="2"/>
      <c r="P690" s="2"/>
      <c r="Q690" s="28">
        <f>H690/I690%</f>
        <v>12.35758106923751</v>
      </c>
    </row>
    <row r="691" spans="1:17" hidden="1" x14ac:dyDescent="0.25">
      <c r="A691" s="16">
        <v>45687</v>
      </c>
      <c r="B691" s="2" t="s">
        <v>85</v>
      </c>
      <c r="C691" s="2">
        <v>1000</v>
      </c>
      <c r="D691" s="11">
        <v>0.21</v>
      </c>
      <c r="E691" s="2">
        <f t="shared" si="70"/>
        <v>1</v>
      </c>
      <c r="F691" s="10">
        <v>0.02</v>
      </c>
      <c r="G691" s="10">
        <v>7.0000000000000007E-2</v>
      </c>
      <c r="H691" s="12">
        <f t="shared" si="71"/>
        <v>0.22890000000000002</v>
      </c>
      <c r="I691" s="12">
        <f t="shared" si="72"/>
        <v>1.3189000000000002</v>
      </c>
      <c r="J691" s="2"/>
      <c r="K691" s="2">
        <f>I691*300</f>
        <v>395.67000000000007</v>
      </c>
      <c r="L691" s="2"/>
      <c r="M691" s="2"/>
      <c r="N691" s="2">
        <f>I691*1000</f>
        <v>1318.9</v>
      </c>
      <c r="O691" s="2"/>
      <c r="P691" s="2"/>
      <c r="Q691" s="28">
        <v>13.419913419913421</v>
      </c>
    </row>
    <row r="692" spans="1:17" x14ac:dyDescent="0.25">
      <c r="A692" s="16">
        <v>45688</v>
      </c>
      <c r="B692" s="2" t="s">
        <v>136</v>
      </c>
      <c r="C692" s="2">
        <v>620</v>
      </c>
      <c r="D692" s="11">
        <v>0.21</v>
      </c>
      <c r="E692" s="2">
        <f t="shared" si="70"/>
        <v>0.62</v>
      </c>
      <c r="F692" s="10">
        <v>0.02</v>
      </c>
      <c r="G692" s="10">
        <v>7.0000000000000007E-2</v>
      </c>
      <c r="H692" s="12">
        <f t="shared" si="71"/>
        <v>0.14909999999999998</v>
      </c>
      <c r="I692" s="12">
        <f t="shared" si="72"/>
        <v>0.85909999999999997</v>
      </c>
      <c r="J692" s="2"/>
      <c r="K692" s="2"/>
      <c r="L692" s="2"/>
      <c r="M692" s="2"/>
      <c r="N692" s="2">
        <f>I692*1000</f>
        <v>859.1</v>
      </c>
      <c r="O692" s="2"/>
      <c r="P692" s="2"/>
      <c r="Q692" s="51">
        <f t="shared" ref="Q692:Q723" si="73">H692/I692%</f>
        <v>17.355371900826444</v>
      </c>
    </row>
    <row r="693" spans="1:17" x14ac:dyDescent="0.25">
      <c r="A693" s="53">
        <v>45688</v>
      </c>
      <c r="B693" s="2" t="s">
        <v>119</v>
      </c>
      <c r="C693" s="2">
        <v>620</v>
      </c>
      <c r="D693" s="11">
        <v>0.26500000000000001</v>
      </c>
      <c r="E693" s="2">
        <f t="shared" si="70"/>
        <v>0.62</v>
      </c>
      <c r="F693" s="10">
        <v>0.02</v>
      </c>
      <c r="G693" s="10">
        <v>7.0000000000000007E-2</v>
      </c>
      <c r="H693" s="12">
        <f t="shared" si="71"/>
        <v>0.18815000000000001</v>
      </c>
      <c r="I693" s="12">
        <f t="shared" si="72"/>
        <v>0.89815</v>
      </c>
      <c r="J693" s="2"/>
      <c r="K693" s="2"/>
      <c r="L693" s="2"/>
      <c r="M693" s="2">
        <f>I693*750</f>
        <v>673.61249999999995</v>
      </c>
      <c r="N693" s="2"/>
      <c r="O693" s="2"/>
      <c r="P693" s="2"/>
      <c r="Q693" s="28">
        <f t="shared" si="73"/>
        <v>20.948616600790515</v>
      </c>
    </row>
    <row r="694" spans="1:17" x14ac:dyDescent="0.25">
      <c r="A694" s="16">
        <v>45688</v>
      </c>
      <c r="B694" s="2" t="s">
        <v>200</v>
      </c>
      <c r="C694" s="2">
        <v>620</v>
      </c>
      <c r="D694" s="11">
        <v>0.253</v>
      </c>
      <c r="E694" s="2">
        <f t="shared" si="70"/>
        <v>0.62</v>
      </c>
      <c r="F694" s="10">
        <v>0.02</v>
      </c>
      <c r="G694" s="10">
        <v>7.0000000000000007E-2</v>
      </c>
      <c r="H694" s="12">
        <f t="shared" si="71"/>
        <v>0.17962999999999998</v>
      </c>
      <c r="I694" s="12">
        <f t="shared" si="72"/>
        <v>0.88962999999999992</v>
      </c>
      <c r="J694" s="2"/>
      <c r="K694" s="2"/>
      <c r="L694" s="2">
        <f>I694*500</f>
        <v>444.81499999999994</v>
      </c>
      <c r="M694" s="2"/>
      <c r="N694" s="2">
        <f>I694*1000</f>
        <v>889.62999999999988</v>
      </c>
      <c r="O694" s="2"/>
      <c r="P694" s="2"/>
      <c r="Q694" s="28">
        <f t="shared" si="73"/>
        <v>20.191540303272145</v>
      </c>
    </row>
    <row r="695" spans="1:17" hidden="1" x14ac:dyDescent="0.25">
      <c r="A695" s="16">
        <v>45688</v>
      </c>
      <c r="B695" s="2" t="s">
        <v>164</v>
      </c>
      <c r="C695" s="2">
        <v>500</v>
      </c>
      <c r="D695" s="11">
        <v>0.45800000000000002</v>
      </c>
      <c r="E695" s="2">
        <f t="shared" si="70"/>
        <v>0.5</v>
      </c>
      <c r="F695" s="10">
        <v>0.02</v>
      </c>
      <c r="G695" s="10">
        <v>7.0000000000000007E-2</v>
      </c>
      <c r="H695" s="12">
        <f t="shared" si="71"/>
        <v>0.27022000000000007</v>
      </c>
      <c r="I695" s="12">
        <f t="shared" si="72"/>
        <v>0.86022000000000021</v>
      </c>
      <c r="J695" s="2"/>
      <c r="K695" s="2"/>
      <c r="L695" s="2"/>
      <c r="M695" s="2">
        <f>I695*750</f>
        <v>645.16500000000019</v>
      </c>
      <c r="N695" s="2">
        <f>I695*1000</f>
        <v>860.22000000000025</v>
      </c>
      <c r="O695" s="2"/>
      <c r="P695" s="2"/>
      <c r="Q695" s="28">
        <f t="shared" si="73"/>
        <v>31.412894375857338</v>
      </c>
    </row>
    <row r="696" spans="1:17" hidden="1" x14ac:dyDescent="0.25">
      <c r="A696" s="16">
        <v>45688</v>
      </c>
      <c r="B696" s="2" t="s">
        <v>144</v>
      </c>
      <c r="C696" s="2">
        <v>800</v>
      </c>
      <c r="D696" s="11">
        <v>0.28699999999999998</v>
      </c>
      <c r="E696" s="2">
        <f t="shared" si="70"/>
        <v>0.8</v>
      </c>
      <c r="F696" s="10">
        <v>0.02</v>
      </c>
      <c r="G696" s="10">
        <v>7.0000000000000007E-2</v>
      </c>
      <c r="H696" s="12">
        <f t="shared" si="71"/>
        <v>0.25542999999999999</v>
      </c>
      <c r="I696" s="12">
        <f t="shared" si="72"/>
        <v>1.1454300000000002</v>
      </c>
      <c r="J696" s="2"/>
      <c r="K696" s="2"/>
      <c r="L696" s="2"/>
      <c r="M696" s="2"/>
      <c r="N696" s="2">
        <f>I696*1000</f>
        <v>1145.43</v>
      </c>
      <c r="O696" s="2"/>
      <c r="P696" s="2"/>
      <c r="Q696" s="28">
        <f t="shared" si="73"/>
        <v>22.299922299922294</v>
      </c>
    </row>
    <row r="697" spans="1:17" hidden="1" x14ac:dyDescent="0.25">
      <c r="A697" s="16">
        <v>45688</v>
      </c>
      <c r="B697" s="2" t="s">
        <v>84</v>
      </c>
      <c r="C697" s="2">
        <v>800</v>
      </c>
      <c r="D697" s="11">
        <v>0.114</v>
      </c>
      <c r="E697" s="2">
        <f t="shared" si="70"/>
        <v>0.8</v>
      </c>
      <c r="F697" s="10">
        <v>0.02</v>
      </c>
      <c r="G697" s="10">
        <v>7.0000000000000007E-2</v>
      </c>
      <c r="H697" s="12">
        <f t="shared" si="71"/>
        <v>0.10146000000000002</v>
      </c>
      <c r="I697" s="12">
        <f t="shared" si="72"/>
        <v>0.99146000000000012</v>
      </c>
      <c r="J697" s="2"/>
      <c r="K697" s="2"/>
      <c r="L697" s="2">
        <f>I697*500</f>
        <v>495.73000000000008</v>
      </c>
      <c r="M697" s="2"/>
      <c r="N697" s="2">
        <f>I697*1000</f>
        <v>991.46000000000015</v>
      </c>
      <c r="O697" s="2"/>
      <c r="P697" s="2"/>
      <c r="Q697" s="28">
        <f t="shared" si="73"/>
        <v>10.233393177737883</v>
      </c>
    </row>
    <row r="698" spans="1:17" hidden="1" x14ac:dyDescent="0.25">
      <c r="A698" s="16">
        <v>45688</v>
      </c>
      <c r="B698" s="2" t="s">
        <v>100</v>
      </c>
      <c r="C698" s="2">
        <v>650</v>
      </c>
      <c r="D698" s="11">
        <v>0.20300000000000001</v>
      </c>
      <c r="E698" s="2">
        <f t="shared" si="70"/>
        <v>0.65</v>
      </c>
      <c r="F698" s="10">
        <v>0.02</v>
      </c>
      <c r="G698" s="10">
        <v>7.0000000000000007E-2</v>
      </c>
      <c r="H698" s="12">
        <f t="shared" si="71"/>
        <v>0.15022000000000002</v>
      </c>
      <c r="I698" s="12">
        <f t="shared" si="72"/>
        <v>0.89022000000000001</v>
      </c>
      <c r="J698" s="2"/>
      <c r="K698" s="2"/>
      <c r="L698" s="2">
        <f>I698*500</f>
        <v>445.11</v>
      </c>
      <c r="M698" s="2"/>
      <c r="N698" s="2"/>
      <c r="O698" s="2"/>
      <c r="P698" s="2"/>
      <c r="Q698" s="51">
        <f t="shared" si="73"/>
        <v>16.874480465502909</v>
      </c>
    </row>
    <row r="699" spans="1:17" hidden="1" x14ac:dyDescent="0.25">
      <c r="A699" s="16">
        <v>45688</v>
      </c>
      <c r="B699" s="2" t="s">
        <v>98</v>
      </c>
      <c r="C699" s="2">
        <v>470</v>
      </c>
      <c r="D699" s="39">
        <v>0.60599999999999998</v>
      </c>
      <c r="E699" s="2">
        <f t="shared" si="70"/>
        <v>0.47</v>
      </c>
      <c r="F699" s="41">
        <v>0.02</v>
      </c>
      <c r="G699" s="41">
        <v>7.0000000000000007E-2</v>
      </c>
      <c r="H699" s="42">
        <f t="shared" si="71"/>
        <v>0.33936000000000005</v>
      </c>
      <c r="I699" s="42">
        <f t="shared" si="72"/>
        <v>0.89936000000000016</v>
      </c>
      <c r="J699" s="2"/>
      <c r="K699" s="2"/>
      <c r="L699" s="2">
        <f>I699*500</f>
        <v>449.68000000000006</v>
      </c>
      <c r="M699" s="2">
        <f>I699*750</f>
        <v>674.5200000000001</v>
      </c>
      <c r="N699" s="2">
        <f>I699*1000</f>
        <v>899.36000000000013</v>
      </c>
      <c r="O699" s="2"/>
      <c r="P699" s="2"/>
      <c r="Q699" s="43">
        <f t="shared" si="73"/>
        <v>37.733499377334994</v>
      </c>
    </row>
    <row r="700" spans="1:17" hidden="1" x14ac:dyDescent="0.25">
      <c r="A700" s="16">
        <v>45688</v>
      </c>
      <c r="B700" s="2" t="s">
        <v>175</v>
      </c>
      <c r="C700" s="2">
        <v>470</v>
      </c>
      <c r="D700" s="11">
        <v>0.56499999999999995</v>
      </c>
      <c r="E700" s="2">
        <f t="shared" si="70"/>
        <v>0.47</v>
      </c>
      <c r="F700" s="10">
        <v>0.02</v>
      </c>
      <c r="G700" s="10">
        <v>7.0000000000000007E-2</v>
      </c>
      <c r="H700" s="12">
        <f t="shared" si="71"/>
        <v>0.31640000000000001</v>
      </c>
      <c r="I700" s="12">
        <f t="shared" si="72"/>
        <v>0.87640000000000007</v>
      </c>
      <c r="J700" s="2"/>
      <c r="K700" s="2"/>
      <c r="L700" s="2"/>
      <c r="M700" s="2"/>
      <c r="N700" s="2">
        <f>I700*1000</f>
        <v>876.40000000000009</v>
      </c>
      <c r="O700" s="2">
        <f>I700*1250</f>
        <v>1095.5</v>
      </c>
      <c r="P700" s="2"/>
      <c r="Q700" s="43">
        <f t="shared" si="73"/>
        <v>36.102236421725237</v>
      </c>
    </row>
    <row r="701" spans="1:17" hidden="1" x14ac:dyDescent="0.25">
      <c r="A701" s="16">
        <v>45688</v>
      </c>
      <c r="B701" s="2" t="s">
        <v>88</v>
      </c>
      <c r="C701" s="10">
        <v>450</v>
      </c>
      <c r="D701" s="11">
        <v>0.47299999999999998</v>
      </c>
      <c r="E701" s="10">
        <f t="shared" si="70"/>
        <v>0.45</v>
      </c>
      <c r="F701" s="10">
        <v>0.02</v>
      </c>
      <c r="G701" s="10">
        <v>7.0000000000000007E-2</v>
      </c>
      <c r="H701" s="12">
        <f t="shared" si="71"/>
        <v>0.25541999999999998</v>
      </c>
      <c r="I701" s="12">
        <f t="shared" si="72"/>
        <v>0.79542000000000002</v>
      </c>
      <c r="J701" s="2"/>
      <c r="K701" s="2"/>
      <c r="L701" s="2"/>
      <c r="M701" s="2"/>
      <c r="N701" s="2">
        <f>I701*1000</f>
        <v>795.42000000000007</v>
      </c>
      <c r="O701" s="2"/>
      <c r="P701" s="2"/>
      <c r="Q701" s="28">
        <f t="shared" si="73"/>
        <v>32.111337406653085</v>
      </c>
    </row>
    <row r="702" spans="1:17" hidden="1" x14ac:dyDescent="0.25">
      <c r="A702" s="16">
        <v>45688</v>
      </c>
      <c r="B702" s="2" t="s">
        <v>139</v>
      </c>
      <c r="C702" s="2">
        <v>1330</v>
      </c>
      <c r="D702" s="11">
        <v>0.19700000000000001</v>
      </c>
      <c r="E702" s="2">
        <f t="shared" si="70"/>
        <v>1.33</v>
      </c>
      <c r="F702" s="10">
        <v>0.02</v>
      </c>
      <c r="G702" s="10">
        <v>7.0000000000000007E-2</v>
      </c>
      <c r="H702" s="12">
        <f t="shared" si="71"/>
        <v>0.27974000000000004</v>
      </c>
      <c r="I702" s="12">
        <f t="shared" si="72"/>
        <v>1.6997400000000003</v>
      </c>
      <c r="J702" s="2"/>
      <c r="K702" s="2">
        <f>I702*350</f>
        <v>594.90900000000011</v>
      </c>
      <c r="L702" s="2"/>
      <c r="M702" s="2"/>
      <c r="N702" s="2">
        <f>I702*1000</f>
        <v>1699.7400000000002</v>
      </c>
      <c r="O702" s="2"/>
      <c r="P702" s="2"/>
      <c r="Q702" s="28">
        <f t="shared" si="73"/>
        <v>16.457811194653299</v>
      </c>
    </row>
    <row r="703" spans="1:17" hidden="1" x14ac:dyDescent="0.25">
      <c r="A703" s="16">
        <v>45689</v>
      </c>
      <c r="B703" s="2" t="s">
        <v>84</v>
      </c>
      <c r="C703" s="2">
        <v>800</v>
      </c>
      <c r="D703" s="11">
        <v>0.113</v>
      </c>
      <c r="E703" s="2">
        <f t="shared" si="70"/>
        <v>0.8</v>
      </c>
      <c r="F703" s="10">
        <v>0.02</v>
      </c>
      <c r="G703" s="10">
        <v>7.0000000000000007E-2</v>
      </c>
      <c r="H703" s="12">
        <f t="shared" si="71"/>
        <v>0.10057000000000002</v>
      </c>
      <c r="I703" s="12">
        <f t="shared" si="72"/>
        <v>0.99057000000000017</v>
      </c>
      <c r="J703" s="2"/>
      <c r="K703" s="2"/>
      <c r="L703" s="2">
        <f>I703*500</f>
        <v>495.28500000000008</v>
      </c>
      <c r="M703" s="2"/>
      <c r="N703" s="2">
        <f>I703*1000</f>
        <v>990.57000000000016</v>
      </c>
      <c r="O703" s="2"/>
      <c r="P703" s="2"/>
      <c r="Q703" s="28">
        <f t="shared" si="73"/>
        <v>10.152740341419587</v>
      </c>
    </row>
    <row r="704" spans="1:17" hidden="1" x14ac:dyDescent="0.25">
      <c r="A704" s="16">
        <v>45689</v>
      </c>
      <c r="B704" s="2" t="s">
        <v>100</v>
      </c>
      <c r="C704" s="2">
        <v>650</v>
      </c>
      <c r="D704" s="39">
        <v>0.20300000000000001</v>
      </c>
      <c r="E704" s="2">
        <f t="shared" si="70"/>
        <v>0.65</v>
      </c>
      <c r="F704" s="41">
        <v>0.02</v>
      </c>
      <c r="G704" s="41">
        <v>7.0000000000000007E-2</v>
      </c>
      <c r="H704" s="42">
        <f t="shared" si="71"/>
        <v>0.15022000000000002</v>
      </c>
      <c r="I704" s="42">
        <f t="shared" si="72"/>
        <v>0.89022000000000001</v>
      </c>
      <c r="J704" s="2"/>
      <c r="K704" s="2"/>
      <c r="L704" s="2">
        <f>I704*500</f>
        <v>445.11</v>
      </c>
      <c r="M704" s="2"/>
      <c r="N704" s="2"/>
      <c r="O704" s="2"/>
      <c r="P704" s="2"/>
      <c r="Q704" s="43">
        <f t="shared" si="73"/>
        <v>16.874480465502909</v>
      </c>
    </row>
    <row r="705" spans="1:17" x14ac:dyDescent="0.25">
      <c r="A705" s="16">
        <v>45690</v>
      </c>
      <c r="B705" s="2" t="s">
        <v>136</v>
      </c>
      <c r="C705" s="2">
        <v>640</v>
      </c>
      <c r="D705" s="11">
        <v>0.22700000000000001</v>
      </c>
      <c r="E705" s="2">
        <f t="shared" si="70"/>
        <v>0.64</v>
      </c>
      <c r="F705" s="10">
        <v>0.02</v>
      </c>
      <c r="G705" s="10">
        <v>7.0000000000000007E-2</v>
      </c>
      <c r="H705" s="12">
        <f t="shared" si="71"/>
        <v>0.16571</v>
      </c>
      <c r="I705" s="12">
        <f t="shared" si="72"/>
        <v>0.89571000000000001</v>
      </c>
      <c r="J705" s="2"/>
      <c r="K705" s="2"/>
      <c r="L705" s="2"/>
      <c r="M705" s="2"/>
      <c r="N705" s="2">
        <f>I705*1000</f>
        <v>895.71</v>
      </c>
      <c r="O705" s="2"/>
      <c r="P705" s="2"/>
      <c r="Q705" s="28">
        <f t="shared" si="73"/>
        <v>18.500407497962509</v>
      </c>
    </row>
    <row r="706" spans="1:17" x14ac:dyDescent="0.25">
      <c r="A706" s="16">
        <v>45690</v>
      </c>
      <c r="B706" s="2" t="s">
        <v>119</v>
      </c>
      <c r="C706" s="2">
        <v>640</v>
      </c>
      <c r="D706" s="11">
        <v>0.23400000000000001</v>
      </c>
      <c r="E706" s="2">
        <f t="shared" si="70"/>
        <v>0.64</v>
      </c>
      <c r="F706" s="10">
        <v>0.02</v>
      </c>
      <c r="G706" s="10">
        <v>7.0000000000000007E-2</v>
      </c>
      <c r="H706" s="12">
        <f t="shared" si="71"/>
        <v>0.17082</v>
      </c>
      <c r="I706" s="12">
        <f t="shared" si="72"/>
        <v>0.90081999999999995</v>
      </c>
      <c r="J706" s="2"/>
      <c r="K706" s="2"/>
      <c r="L706" s="2"/>
      <c r="M706" s="2">
        <f>I706*750</f>
        <v>675.61500000000001</v>
      </c>
      <c r="N706" s="2"/>
      <c r="O706" s="2"/>
      <c r="P706" s="2"/>
      <c r="Q706" s="28">
        <f t="shared" si="73"/>
        <v>18.962722852512158</v>
      </c>
    </row>
    <row r="707" spans="1:17" x14ac:dyDescent="0.25">
      <c r="A707" s="16">
        <v>45690</v>
      </c>
      <c r="B707" s="2" t="s">
        <v>200</v>
      </c>
      <c r="C707" s="2">
        <v>640</v>
      </c>
      <c r="D707" s="11">
        <v>0.22</v>
      </c>
      <c r="E707" s="2">
        <f t="shared" si="70"/>
        <v>0.64</v>
      </c>
      <c r="F707" s="10">
        <v>0.02</v>
      </c>
      <c r="G707" s="10">
        <v>7.0000000000000007E-2</v>
      </c>
      <c r="H707" s="12">
        <f t="shared" si="71"/>
        <v>0.16059999999999999</v>
      </c>
      <c r="I707" s="12">
        <f t="shared" si="72"/>
        <v>0.89059999999999995</v>
      </c>
      <c r="J707" s="2"/>
      <c r="K707" s="2"/>
      <c r="L707" s="2">
        <f>I707*500</f>
        <v>445.29999999999995</v>
      </c>
      <c r="M707" s="2"/>
      <c r="N707" s="2">
        <f t="shared" ref="N707:N719" si="74">I707*1000</f>
        <v>890.59999999999991</v>
      </c>
      <c r="O707" s="2"/>
      <c r="P707" s="2"/>
      <c r="Q707" s="28">
        <f t="shared" si="73"/>
        <v>18.032786885245901</v>
      </c>
    </row>
    <row r="708" spans="1:17" hidden="1" x14ac:dyDescent="0.25">
      <c r="A708" s="16">
        <v>45690</v>
      </c>
      <c r="B708" s="2" t="s">
        <v>84</v>
      </c>
      <c r="C708" s="2">
        <v>800</v>
      </c>
      <c r="D708" s="11">
        <v>0.113</v>
      </c>
      <c r="E708" s="2">
        <f t="shared" si="70"/>
        <v>0.8</v>
      </c>
      <c r="F708" s="10">
        <v>0.02</v>
      </c>
      <c r="G708" s="10">
        <v>7.0000000000000007E-2</v>
      </c>
      <c r="H708" s="12">
        <f t="shared" si="71"/>
        <v>0.10057000000000002</v>
      </c>
      <c r="I708" s="12">
        <f t="shared" si="72"/>
        <v>0.99057000000000017</v>
      </c>
      <c r="J708" s="2"/>
      <c r="K708" s="2"/>
      <c r="L708" s="2">
        <f>I708*500</f>
        <v>495.28500000000008</v>
      </c>
      <c r="M708" s="2"/>
      <c r="N708" s="2">
        <f t="shared" si="74"/>
        <v>990.57000000000016</v>
      </c>
      <c r="O708" s="2"/>
      <c r="P708" s="2"/>
      <c r="Q708" s="51">
        <f t="shared" si="73"/>
        <v>10.152740341419587</v>
      </c>
    </row>
    <row r="709" spans="1:17" hidden="1" x14ac:dyDescent="0.25">
      <c r="A709" s="16">
        <v>45690</v>
      </c>
      <c r="B709" s="2" t="s">
        <v>149</v>
      </c>
      <c r="C709" s="2">
        <v>1650</v>
      </c>
      <c r="D709" s="39">
        <v>0.17399999999999999</v>
      </c>
      <c r="E709" s="2">
        <f t="shared" si="70"/>
        <v>1.65</v>
      </c>
      <c r="F709" s="41">
        <v>0.02</v>
      </c>
      <c r="G709" s="41">
        <v>7.0000000000000007E-2</v>
      </c>
      <c r="H709" s="42">
        <f t="shared" si="71"/>
        <v>0.30275999999999997</v>
      </c>
      <c r="I709" s="42">
        <f t="shared" si="72"/>
        <v>2.0427599999999999</v>
      </c>
      <c r="J709" s="2"/>
      <c r="K709" s="2"/>
      <c r="L709" s="2"/>
      <c r="M709" s="2">
        <f>I709*830</f>
        <v>1695.4908</v>
      </c>
      <c r="N709" s="2">
        <f t="shared" si="74"/>
        <v>2042.76</v>
      </c>
      <c r="O709" s="2"/>
      <c r="P709" s="2"/>
      <c r="Q709" s="43">
        <f t="shared" si="73"/>
        <v>14.82112436115843</v>
      </c>
    </row>
    <row r="710" spans="1:17" hidden="1" x14ac:dyDescent="0.25">
      <c r="A710" s="16">
        <v>45690</v>
      </c>
      <c r="B710" s="2" t="s">
        <v>139</v>
      </c>
      <c r="C710" s="2">
        <v>1370</v>
      </c>
      <c r="D710" s="39">
        <v>0.16500000000000001</v>
      </c>
      <c r="E710" s="2">
        <f t="shared" si="70"/>
        <v>1.37</v>
      </c>
      <c r="F710" s="10">
        <v>0.02</v>
      </c>
      <c r="G710" s="10">
        <v>7.0000000000000007E-2</v>
      </c>
      <c r="H710" s="12">
        <f t="shared" si="71"/>
        <v>0.24090000000000003</v>
      </c>
      <c r="I710" s="12">
        <f t="shared" si="72"/>
        <v>1.7009000000000003</v>
      </c>
      <c r="J710" s="2"/>
      <c r="K710" s="2">
        <f>I710*350</f>
        <v>595.31500000000005</v>
      </c>
      <c r="L710" s="2"/>
      <c r="M710" s="2"/>
      <c r="N710" s="2">
        <f t="shared" si="74"/>
        <v>1700.9000000000003</v>
      </c>
      <c r="O710" s="2"/>
      <c r="P710" s="2"/>
      <c r="Q710" s="43">
        <f t="shared" si="73"/>
        <v>14.163090128755364</v>
      </c>
    </row>
    <row r="711" spans="1:17" hidden="1" x14ac:dyDescent="0.25">
      <c r="A711" s="16">
        <v>45690</v>
      </c>
      <c r="B711" s="2" t="s">
        <v>86</v>
      </c>
      <c r="C711" s="2">
        <v>1200</v>
      </c>
      <c r="D711" s="39">
        <v>0.22500000000000001</v>
      </c>
      <c r="E711" s="2">
        <f t="shared" si="70"/>
        <v>1.2</v>
      </c>
      <c r="F711" s="10">
        <v>0.02</v>
      </c>
      <c r="G711" s="10">
        <v>7.0000000000000007E-2</v>
      </c>
      <c r="H711" s="12">
        <f t="shared" si="71"/>
        <v>0.29025000000000001</v>
      </c>
      <c r="I711" s="12">
        <f t="shared" si="72"/>
        <v>1.5802499999999999</v>
      </c>
      <c r="J711" s="2">
        <f>I711*250</f>
        <v>395.0625</v>
      </c>
      <c r="K711" s="2"/>
      <c r="L711" s="2"/>
      <c r="M711" s="2"/>
      <c r="N711" s="2">
        <f t="shared" si="74"/>
        <v>1580.25</v>
      </c>
      <c r="O711" s="2"/>
      <c r="P711" s="2"/>
      <c r="Q711" s="28">
        <f t="shared" si="73"/>
        <v>18.367346938775508</v>
      </c>
    </row>
    <row r="712" spans="1:17" x14ac:dyDescent="0.25">
      <c r="A712" s="16">
        <v>45692</v>
      </c>
      <c r="B712" s="2" t="s">
        <v>119</v>
      </c>
      <c r="C712" s="2">
        <v>650</v>
      </c>
      <c r="D712" s="11">
        <v>0.217</v>
      </c>
      <c r="E712" s="2">
        <f t="shared" si="70"/>
        <v>0.65</v>
      </c>
      <c r="F712" s="10">
        <v>0.02</v>
      </c>
      <c r="G712" s="10">
        <v>7.0000000000000007E-2</v>
      </c>
      <c r="H712" s="12">
        <f t="shared" si="71"/>
        <v>0.16058</v>
      </c>
      <c r="I712" s="12">
        <f t="shared" si="72"/>
        <v>0.90057999999999994</v>
      </c>
      <c r="J712" s="2"/>
      <c r="K712" s="2"/>
      <c r="L712" s="2"/>
      <c r="M712" s="2">
        <f>I712*750</f>
        <v>675.43499999999995</v>
      </c>
      <c r="N712" s="2">
        <f t="shared" si="74"/>
        <v>900.57999999999993</v>
      </c>
      <c r="O712" s="2"/>
      <c r="P712" s="2"/>
      <c r="Q712" s="28">
        <f t="shared" si="73"/>
        <v>17.830731306491373</v>
      </c>
    </row>
    <row r="713" spans="1:17" hidden="1" x14ac:dyDescent="0.25">
      <c r="A713" s="16">
        <v>45692</v>
      </c>
      <c r="B713" s="40" t="s">
        <v>201</v>
      </c>
      <c r="C713" s="40">
        <v>1200</v>
      </c>
      <c r="D713" s="39">
        <v>0.28000000000000003</v>
      </c>
      <c r="E713" s="40">
        <f t="shared" si="70"/>
        <v>1.2</v>
      </c>
      <c r="F713" s="41">
        <v>0.02</v>
      </c>
      <c r="G713" s="41">
        <v>7.0000000000000007E-2</v>
      </c>
      <c r="H713" s="42">
        <f t="shared" si="71"/>
        <v>0.36120000000000002</v>
      </c>
      <c r="I713" s="42">
        <f t="shared" si="72"/>
        <v>1.6512</v>
      </c>
      <c r="J713" s="40"/>
      <c r="K713" s="40">
        <f>I713*300</f>
        <v>495.36</v>
      </c>
      <c r="L713" s="40">
        <f>I713*500</f>
        <v>825.6</v>
      </c>
      <c r="M713" s="40"/>
      <c r="N713" s="40">
        <f t="shared" si="74"/>
        <v>1651.2</v>
      </c>
      <c r="O713" s="40"/>
      <c r="P713" s="40"/>
      <c r="Q713" s="43">
        <f t="shared" si="73"/>
        <v>21.875000000000004</v>
      </c>
    </row>
    <row r="714" spans="1:17" hidden="1" x14ac:dyDescent="0.25">
      <c r="A714" s="16">
        <v>45692</v>
      </c>
      <c r="B714" s="2" t="s">
        <v>109</v>
      </c>
      <c r="C714" s="2">
        <v>550</v>
      </c>
      <c r="D714" s="11">
        <v>0.39900000000000002</v>
      </c>
      <c r="E714" s="2">
        <f t="shared" si="70"/>
        <v>0.55000000000000004</v>
      </c>
      <c r="F714" s="10">
        <v>0.02</v>
      </c>
      <c r="G714" s="10">
        <v>7.0000000000000007E-2</v>
      </c>
      <c r="H714" s="12">
        <f t="shared" si="71"/>
        <v>0.25536000000000009</v>
      </c>
      <c r="I714" s="12">
        <f t="shared" si="72"/>
        <v>0.89536000000000016</v>
      </c>
      <c r="J714" s="2"/>
      <c r="K714" s="2"/>
      <c r="L714" s="2"/>
      <c r="M714" s="2"/>
      <c r="N714" s="2">
        <f t="shared" si="74"/>
        <v>895.36000000000013</v>
      </c>
      <c r="O714" s="2"/>
      <c r="P714" s="2"/>
      <c r="Q714" s="28">
        <f t="shared" si="73"/>
        <v>28.520371694067197</v>
      </c>
    </row>
    <row r="715" spans="1:17" hidden="1" x14ac:dyDescent="0.25">
      <c r="A715" s="16">
        <v>45692</v>
      </c>
      <c r="B715" s="40" t="s">
        <v>98</v>
      </c>
      <c r="C715" s="40">
        <v>550</v>
      </c>
      <c r="D715" s="39">
        <v>0.40699999999999997</v>
      </c>
      <c r="E715" s="40">
        <f t="shared" si="70"/>
        <v>0.55000000000000004</v>
      </c>
      <c r="F715" s="41">
        <v>0.02</v>
      </c>
      <c r="G715" s="41">
        <v>7.0000000000000007E-2</v>
      </c>
      <c r="H715" s="42">
        <f t="shared" si="71"/>
        <v>0.26048000000000004</v>
      </c>
      <c r="I715" s="42">
        <f t="shared" si="72"/>
        <v>0.90048000000000017</v>
      </c>
      <c r="J715" s="40"/>
      <c r="K715" s="40"/>
      <c r="L715" s="40"/>
      <c r="M715" s="40">
        <f>I715*750</f>
        <v>675.36000000000013</v>
      </c>
      <c r="N715" s="40">
        <f t="shared" si="74"/>
        <v>900.48000000000013</v>
      </c>
      <c r="O715" s="40"/>
      <c r="P715" s="40"/>
      <c r="Q715" s="43">
        <f t="shared" si="73"/>
        <v>28.926794598436388</v>
      </c>
    </row>
    <row r="716" spans="1:17" hidden="1" x14ac:dyDescent="0.25">
      <c r="A716" s="16">
        <v>45692</v>
      </c>
      <c r="B716" s="2" t="s">
        <v>175</v>
      </c>
      <c r="C716" s="2">
        <v>550</v>
      </c>
      <c r="D716" s="39">
        <v>0.36899999999999999</v>
      </c>
      <c r="E716" s="2">
        <f t="shared" si="70"/>
        <v>0.55000000000000004</v>
      </c>
      <c r="F716" s="41">
        <v>0.02</v>
      </c>
      <c r="G716" s="41">
        <v>7.0000000000000007E-2</v>
      </c>
      <c r="H716" s="42">
        <f t="shared" si="71"/>
        <v>0.23616000000000004</v>
      </c>
      <c r="I716" s="42">
        <f t="shared" si="72"/>
        <v>0.87616000000000016</v>
      </c>
      <c r="J716" s="40"/>
      <c r="K716" s="2"/>
      <c r="L716" s="2"/>
      <c r="M716" s="2"/>
      <c r="N716" s="2">
        <f t="shared" si="74"/>
        <v>876.1600000000002</v>
      </c>
      <c r="O716" s="2">
        <f>I716*1250</f>
        <v>1095.2000000000003</v>
      </c>
      <c r="P716" s="2"/>
      <c r="Q716" s="43">
        <f t="shared" si="73"/>
        <v>26.953981008035061</v>
      </c>
    </row>
    <row r="717" spans="1:17" hidden="1" x14ac:dyDescent="0.25">
      <c r="A717" s="16">
        <v>45692</v>
      </c>
      <c r="B717" s="2" t="s">
        <v>89</v>
      </c>
      <c r="C717" s="2">
        <v>530</v>
      </c>
      <c r="D717" s="11">
        <v>0.28000000000000003</v>
      </c>
      <c r="E717" s="2">
        <f t="shared" si="70"/>
        <v>0.53</v>
      </c>
      <c r="F717" s="10">
        <v>0.02</v>
      </c>
      <c r="G717" s="10">
        <v>7.0000000000000007E-2</v>
      </c>
      <c r="H717" s="12">
        <f t="shared" si="71"/>
        <v>0.17360000000000006</v>
      </c>
      <c r="I717" s="12">
        <f t="shared" si="72"/>
        <v>0.79360000000000019</v>
      </c>
      <c r="J717" s="2"/>
      <c r="K717" s="2"/>
      <c r="L717" s="2"/>
      <c r="M717" s="2">
        <f>I717*750</f>
        <v>595.20000000000016</v>
      </c>
      <c r="N717" s="2">
        <f t="shared" si="74"/>
        <v>793.60000000000025</v>
      </c>
      <c r="O717" s="2"/>
      <c r="P717" s="2"/>
      <c r="Q717" s="43">
        <f t="shared" si="73"/>
        <v>21.875000000000004</v>
      </c>
    </row>
    <row r="718" spans="1:17" hidden="1" x14ac:dyDescent="0.25">
      <c r="A718" s="16">
        <v>45692</v>
      </c>
      <c r="B718" s="2" t="s">
        <v>123</v>
      </c>
      <c r="C718" s="2">
        <v>1550</v>
      </c>
      <c r="D718" s="11">
        <v>0.15</v>
      </c>
      <c r="E718" s="2">
        <f t="shared" si="70"/>
        <v>1.55</v>
      </c>
      <c r="F718" s="10">
        <v>0.02</v>
      </c>
      <c r="G718" s="10">
        <v>7.0000000000000007E-2</v>
      </c>
      <c r="H718" s="12">
        <f t="shared" si="71"/>
        <v>0.246</v>
      </c>
      <c r="I718" s="12">
        <f t="shared" si="72"/>
        <v>1.8860000000000001</v>
      </c>
      <c r="J718" s="2"/>
      <c r="K718" s="2"/>
      <c r="L718" s="2">
        <f>I718*500</f>
        <v>943.00000000000011</v>
      </c>
      <c r="M718" s="2"/>
      <c r="N718" s="2">
        <f t="shared" si="74"/>
        <v>1886.0000000000002</v>
      </c>
      <c r="O718" s="2"/>
      <c r="P718" s="2"/>
      <c r="Q718" s="43">
        <f t="shared" si="73"/>
        <v>13.043478260869565</v>
      </c>
    </row>
    <row r="719" spans="1:17" hidden="1" x14ac:dyDescent="0.25">
      <c r="A719" s="16">
        <v>45692</v>
      </c>
      <c r="B719" s="2" t="s">
        <v>139</v>
      </c>
      <c r="C719" s="2">
        <v>1350</v>
      </c>
      <c r="D719" s="11">
        <v>0.18099999999999999</v>
      </c>
      <c r="E719" s="2">
        <f t="shared" ref="E719:E750" si="75">C719/1000</f>
        <v>1.35</v>
      </c>
      <c r="F719" s="10">
        <v>0.02</v>
      </c>
      <c r="G719" s="10">
        <v>7.0000000000000007E-2</v>
      </c>
      <c r="H719" s="12">
        <f t="shared" ref="H719:H750" si="76">SUM(E719:G719)*D719</f>
        <v>0.26064000000000004</v>
      </c>
      <c r="I719" s="12">
        <f t="shared" ref="I719:I750" si="77">SUM(E719:H719)</f>
        <v>1.7006400000000002</v>
      </c>
      <c r="J719" s="2"/>
      <c r="K719" s="2">
        <f>I719*350</f>
        <v>595.22400000000005</v>
      </c>
      <c r="L719" s="2"/>
      <c r="M719" s="2"/>
      <c r="N719" s="2">
        <f t="shared" si="74"/>
        <v>1700.64</v>
      </c>
      <c r="O719" s="2"/>
      <c r="P719" s="2"/>
      <c r="Q719" s="28">
        <f t="shared" si="73"/>
        <v>15.325994919559696</v>
      </c>
    </row>
    <row r="720" spans="1:17" hidden="1" x14ac:dyDescent="0.25">
      <c r="A720" s="16">
        <v>45692</v>
      </c>
      <c r="B720" s="2" t="s">
        <v>85</v>
      </c>
      <c r="C720" s="2">
        <v>980</v>
      </c>
      <c r="D720" s="11">
        <v>0.23200000000000001</v>
      </c>
      <c r="E720" s="2">
        <f t="shared" si="75"/>
        <v>0.98</v>
      </c>
      <c r="F720" s="10">
        <v>0.02</v>
      </c>
      <c r="G720" s="10">
        <v>7.0000000000000007E-2</v>
      </c>
      <c r="H720" s="12">
        <f t="shared" si="76"/>
        <v>0.24824000000000002</v>
      </c>
      <c r="I720" s="12">
        <f t="shared" si="77"/>
        <v>1.3182400000000001</v>
      </c>
      <c r="J720" s="2"/>
      <c r="K720" s="2">
        <f>I720*300</f>
        <v>395.47200000000004</v>
      </c>
      <c r="L720" s="2"/>
      <c r="M720" s="2"/>
      <c r="N720" s="2"/>
      <c r="O720" s="2"/>
      <c r="P720" s="2"/>
      <c r="Q720" s="43">
        <f t="shared" si="73"/>
        <v>18.831168831168831</v>
      </c>
    </row>
    <row r="721" spans="1:17" hidden="1" x14ac:dyDescent="0.25">
      <c r="A721" s="16">
        <v>45693</v>
      </c>
      <c r="B721" s="2" t="s">
        <v>86</v>
      </c>
      <c r="C721" s="2">
        <v>1200</v>
      </c>
      <c r="D721" s="11">
        <v>0.22500000000000001</v>
      </c>
      <c r="E721" s="2">
        <f t="shared" si="75"/>
        <v>1.2</v>
      </c>
      <c r="F721" s="41">
        <v>0.02</v>
      </c>
      <c r="G721" s="41">
        <v>7.0000000000000007E-2</v>
      </c>
      <c r="H721" s="42">
        <f t="shared" si="76"/>
        <v>0.29025000000000001</v>
      </c>
      <c r="I721" s="42">
        <f t="shared" si="77"/>
        <v>1.5802499999999999</v>
      </c>
      <c r="J721" s="2">
        <f>I721*250</f>
        <v>395.0625</v>
      </c>
      <c r="K721" s="2"/>
      <c r="L721" s="2"/>
      <c r="M721" s="2"/>
      <c r="N721" s="2"/>
      <c r="O721" s="2"/>
      <c r="P721" s="2"/>
      <c r="Q721" s="43">
        <f t="shared" si="73"/>
        <v>18.367346938775508</v>
      </c>
    </row>
    <row r="722" spans="1:17" hidden="1" x14ac:dyDescent="0.25">
      <c r="A722" s="16">
        <v>45693</v>
      </c>
      <c r="B722" s="2" t="s">
        <v>85</v>
      </c>
      <c r="C722" s="2">
        <v>0</v>
      </c>
      <c r="D722" s="11">
        <v>0</v>
      </c>
      <c r="E722" s="2">
        <f t="shared" si="75"/>
        <v>0</v>
      </c>
      <c r="F722" s="41">
        <v>0.02</v>
      </c>
      <c r="G722" s="41">
        <v>7.0000000000000007E-2</v>
      </c>
      <c r="H722" s="42">
        <f t="shared" si="76"/>
        <v>0</v>
      </c>
      <c r="I722" s="42">
        <f t="shared" si="77"/>
        <v>9.0000000000000011E-2</v>
      </c>
      <c r="J722" s="2"/>
      <c r="K722" s="2">
        <f>I722*300</f>
        <v>27.000000000000004</v>
      </c>
      <c r="L722" s="2"/>
      <c r="M722" s="2"/>
      <c r="N722" s="2"/>
      <c r="O722" s="2"/>
      <c r="P722" s="2"/>
      <c r="Q722" s="43">
        <f t="shared" si="73"/>
        <v>0</v>
      </c>
    </row>
    <row r="723" spans="1:17" hidden="1" x14ac:dyDescent="0.25">
      <c r="A723" s="16">
        <v>45694</v>
      </c>
      <c r="B723" s="2" t="s">
        <v>98</v>
      </c>
      <c r="C723" s="2">
        <v>500</v>
      </c>
      <c r="D723" s="11">
        <v>0.52600000000000002</v>
      </c>
      <c r="E723" s="2">
        <f t="shared" si="75"/>
        <v>0.5</v>
      </c>
      <c r="F723" s="41">
        <v>0.02</v>
      </c>
      <c r="G723" s="41">
        <v>7.0000000000000007E-2</v>
      </c>
      <c r="H723" s="42">
        <f t="shared" si="76"/>
        <v>0.31034000000000006</v>
      </c>
      <c r="I723" s="42">
        <f t="shared" si="77"/>
        <v>0.90034000000000014</v>
      </c>
      <c r="J723" s="2"/>
      <c r="K723" s="2"/>
      <c r="L723" s="2"/>
      <c r="M723" s="2">
        <f>I723*750</f>
        <v>675.25500000000011</v>
      </c>
      <c r="N723" s="2"/>
      <c r="O723" s="2"/>
      <c r="P723" s="2"/>
      <c r="Q723" s="43">
        <f t="shared" si="73"/>
        <v>34.469200524246396</v>
      </c>
    </row>
    <row r="724" spans="1:17" hidden="1" x14ac:dyDescent="0.25">
      <c r="A724" s="16">
        <v>45694</v>
      </c>
      <c r="B724" s="2" t="s">
        <v>123</v>
      </c>
      <c r="C724" s="2">
        <v>1450</v>
      </c>
      <c r="D724" s="11">
        <v>7.6999999999999999E-2</v>
      </c>
      <c r="E724" s="2">
        <f t="shared" si="75"/>
        <v>1.45</v>
      </c>
      <c r="F724" s="41">
        <v>0.02</v>
      </c>
      <c r="G724" s="41">
        <v>7.0000000000000007E-2</v>
      </c>
      <c r="H724" s="42">
        <f t="shared" si="76"/>
        <v>0.11858</v>
      </c>
      <c r="I724" s="42">
        <f t="shared" si="77"/>
        <v>1.6585799999999999</v>
      </c>
      <c r="J724" s="2"/>
      <c r="K724" s="2"/>
      <c r="L724" s="2">
        <f>I724*600</f>
        <v>995.14799999999991</v>
      </c>
      <c r="M724" s="2"/>
      <c r="N724" s="2">
        <f>I724*1000</f>
        <v>1658.58</v>
      </c>
      <c r="O724" s="2"/>
      <c r="P724" s="2"/>
      <c r="Q724" s="43">
        <f t="shared" ref="Q724:Q755" si="78">H724/I724%</f>
        <v>7.1494893221912736</v>
      </c>
    </row>
    <row r="725" spans="1:17" hidden="1" x14ac:dyDescent="0.25">
      <c r="A725" s="45">
        <v>45694</v>
      </c>
      <c r="B725" s="40" t="s">
        <v>87</v>
      </c>
      <c r="C725" s="40">
        <v>1350</v>
      </c>
      <c r="D725" s="39">
        <v>0.182</v>
      </c>
      <c r="E725" s="40">
        <f t="shared" si="75"/>
        <v>1.35</v>
      </c>
      <c r="F725" s="41">
        <v>0.02</v>
      </c>
      <c r="G725" s="41">
        <v>7.0000000000000007E-2</v>
      </c>
      <c r="H725" s="42">
        <f t="shared" si="76"/>
        <v>0.26208000000000004</v>
      </c>
      <c r="I725" s="42">
        <f t="shared" si="77"/>
        <v>1.7020800000000003</v>
      </c>
      <c r="J725" s="40"/>
      <c r="K725" s="40">
        <f>I725*350</f>
        <v>595.72800000000007</v>
      </c>
      <c r="L725" s="40"/>
      <c r="M725" s="40"/>
      <c r="N725" s="40"/>
      <c r="O725" s="40"/>
      <c r="P725" s="40"/>
      <c r="Q725" s="43">
        <f t="shared" si="78"/>
        <v>15.397631133671743</v>
      </c>
    </row>
    <row r="726" spans="1:17" hidden="1" x14ac:dyDescent="0.25">
      <c r="A726" s="45">
        <v>45694</v>
      </c>
      <c r="B726" s="40" t="s">
        <v>85</v>
      </c>
      <c r="C726" s="40">
        <v>1000</v>
      </c>
      <c r="D726" s="39">
        <v>0.21</v>
      </c>
      <c r="E726" s="40">
        <f t="shared" si="75"/>
        <v>1</v>
      </c>
      <c r="F726" s="41">
        <v>0.02</v>
      </c>
      <c r="G726" s="41">
        <v>7.0000000000000007E-2</v>
      </c>
      <c r="H726" s="42">
        <f t="shared" si="76"/>
        <v>0.22890000000000002</v>
      </c>
      <c r="I726" s="42">
        <f t="shared" si="77"/>
        <v>1.3189000000000002</v>
      </c>
      <c r="J726" s="40"/>
      <c r="K726" s="40">
        <f>I726*300</f>
        <v>395.67000000000007</v>
      </c>
      <c r="L726" s="40"/>
      <c r="M726" s="40"/>
      <c r="N726" s="40"/>
      <c r="O726" s="40"/>
      <c r="P726" s="40"/>
      <c r="Q726" s="43">
        <f t="shared" si="78"/>
        <v>17.355371900826448</v>
      </c>
    </row>
    <row r="727" spans="1:17" hidden="1" x14ac:dyDescent="0.25">
      <c r="A727" s="45">
        <v>45695</v>
      </c>
      <c r="B727" s="40" t="s">
        <v>175</v>
      </c>
      <c r="C727" s="40">
        <v>570</v>
      </c>
      <c r="D727" s="39">
        <v>0.32800000000000001</v>
      </c>
      <c r="E727" s="40">
        <f t="shared" si="75"/>
        <v>0.56999999999999995</v>
      </c>
      <c r="F727" s="41">
        <v>0.02</v>
      </c>
      <c r="G727" s="41">
        <v>7.0000000000000007E-2</v>
      </c>
      <c r="H727" s="42">
        <f t="shared" si="76"/>
        <v>0.21647999999999998</v>
      </c>
      <c r="I727" s="42">
        <f t="shared" si="77"/>
        <v>0.87647999999999993</v>
      </c>
      <c r="J727" s="40"/>
      <c r="K727" s="40"/>
      <c r="L727" s="40"/>
      <c r="M727" s="40"/>
      <c r="N727" s="40"/>
      <c r="O727" s="40">
        <f>I727*1250</f>
        <v>1095.5999999999999</v>
      </c>
      <c r="P727" s="40"/>
      <c r="Q727" s="43">
        <f t="shared" si="78"/>
        <v>24.69879518072289</v>
      </c>
    </row>
    <row r="728" spans="1:17" hidden="1" x14ac:dyDescent="0.25">
      <c r="A728" s="45">
        <v>45695</v>
      </c>
      <c r="B728" s="40" t="s">
        <v>85</v>
      </c>
      <c r="C728" s="40">
        <v>1020</v>
      </c>
      <c r="D728" s="39">
        <v>0.187</v>
      </c>
      <c r="E728" s="40">
        <f t="shared" si="75"/>
        <v>1.02</v>
      </c>
      <c r="F728" s="41">
        <v>0.02</v>
      </c>
      <c r="G728" s="41">
        <v>7.0000000000000007E-2</v>
      </c>
      <c r="H728" s="42">
        <f t="shared" si="76"/>
        <v>0.20757</v>
      </c>
      <c r="I728" s="42">
        <f t="shared" si="77"/>
        <v>1.3175700000000001</v>
      </c>
      <c r="J728" s="40"/>
      <c r="K728" s="40">
        <f>I728*300</f>
        <v>395.27100000000002</v>
      </c>
      <c r="L728" s="40"/>
      <c r="M728" s="40"/>
      <c r="N728" s="40"/>
      <c r="O728" s="40"/>
      <c r="P728" s="40"/>
      <c r="Q728" s="43">
        <f t="shared" si="78"/>
        <v>15.754001684919965</v>
      </c>
    </row>
    <row r="729" spans="1:17" x14ac:dyDescent="0.25">
      <c r="A729" s="45">
        <v>45696</v>
      </c>
      <c r="B729" s="40" t="s">
        <v>119</v>
      </c>
      <c r="C729" s="40">
        <v>670</v>
      </c>
      <c r="D729" s="39">
        <v>0.185</v>
      </c>
      <c r="E729" s="40">
        <f t="shared" si="75"/>
        <v>0.67</v>
      </c>
      <c r="F729" s="41">
        <v>0.02</v>
      </c>
      <c r="G729" s="41">
        <v>7.0000000000000007E-2</v>
      </c>
      <c r="H729" s="42">
        <f t="shared" si="76"/>
        <v>0.1406</v>
      </c>
      <c r="I729" s="42">
        <f t="shared" si="77"/>
        <v>0.90060000000000007</v>
      </c>
      <c r="J729" s="40"/>
      <c r="K729" s="40"/>
      <c r="L729" s="40"/>
      <c r="M729" s="40">
        <f>I729*750</f>
        <v>675.45</v>
      </c>
      <c r="N729" s="40"/>
      <c r="O729" s="40"/>
      <c r="P729" s="40"/>
      <c r="Q729" s="43">
        <f t="shared" si="78"/>
        <v>15.611814345991561</v>
      </c>
    </row>
    <row r="730" spans="1:17" x14ac:dyDescent="0.25">
      <c r="A730" s="45">
        <v>45696</v>
      </c>
      <c r="B730" s="40" t="s">
        <v>200</v>
      </c>
      <c r="C730" s="40">
        <v>670</v>
      </c>
      <c r="D730" s="39">
        <v>0.17199999999999999</v>
      </c>
      <c r="E730" s="40">
        <f t="shared" si="75"/>
        <v>0.67</v>
      </c>
      <c r="F730" s="41">
        <v>0.02</v>
      </c>
      <c r="G730" s="41">
        <v>7.0000000000000007E-2</v>
      </c>
      <c r="H730" s="42">
        <f t="shared" si="76"/>
        <v>0.13072</v>
      </c>
      <c r="I730" s="42">
        <f t="shared" si="77"/>
        <v>0.89071999999999996</v>
      </c>
      <c r="J730" s="40"/>
      <c r="K730" s="40"/>
      <c r="L730" s="40">
        <f>I730*500</f>
        <v>445.35999999999996</v>
      </c>
      <c r="M730" s="40"/>
      <c r="N730" s="40"/>
      <c r="O730" s="40"/>
      <c r="P730" s="40"/>
      <c r="Q730" s="43">
        <f t="shared" si="78"/>
        <v>14.67576791808874</v>
      </c>
    </row>
    <row r="731" spans="1:17" hidden="1" x14ac:dyDescent="0.25">
      <c r="A731" s="16">
        <v>45696</v>
      </c>
      <c r="B731" s="2" t="s">
        <v>123</v>
      </c>
      <c r="C731" s="2">
        <v>1480</v>
      </c>
      <c r="D731" s="11">
        <v>0.153</v>
      </c>
      <c r="E731" s="2">
        <f t="shared" si="75"/>
        <v>1.48</v>
      </c>
      <c r="F731" s="10">
        <v>0.02</v>
      </c>
      <c r="G731" s="10">
        <v>7.0000000000000007E-2</v>
      </c>
      <c r="H731" s="12">
        <f t="shared" si="76"/>
        <v>0.24021000000000001</v>
      </c>
      <c r="I731" s="12">
        <f t="shared" si="77"/>
        <v>1.8102100000000001</v>
      </c>
      <c r="J731" s="2"/>
      <c r="K731" s="2"/>
      <c r="L731" s="2">
        <f>I731*550</f>
        <v>995.6155</v>
      </c>
      <c r="M731" s="2"/>
      <c r="N731" s="2"/>
      <c r="O731" s="2"/>
      <c r="P731" s="2"/>
      <c r="Q731" s="43">
        <f t="shared" si="78"/>
        <v>13.269731136166524</v>
      </c>
    </row>
    <row r="732" spans="1:17" hidden="1" x14ac:dyDescent="0.25">
      <c r="A732" s="16">
        <v>45696</v>
      </c>
      <c r="B732" s="2" t="s">
        <v>149</v>
      </c>
      <c r="C732" s="2">
        <v>1480</v>
      </c>
      <c r="D732" s="11">
        <v>0.14299999999999999</v>
      </c>
      <c r="E732" s="2">
        <f t="shared" si="75"/>
        <v>1.48</v>
      </c>
      <c r="F732" s="10">
        <v>0.02</v>
      </c>
      <c r="G732" s="10">
        <v>7.0000000000000007E-2</v>
      </c>
      <c r="H732" s="12">
        <f t="shared" si="76"/>
        <v>0.22450999999999999</v>
      </c>
      <c r="I732" s="12">
        <f t="shared" si="77"/>
        <v>1.79451</v>
      </c>
      <c r="J732" s="2"/>
      <c r="K732" s="2"/>
      <c r="L732" s="2"/>
      <c r="M732" s="2">
        <f>I732*850</f>
        <v>1525.3335</v>
      </c>
      <c r="N732" s="2">
        <f>I732*1000</f>
        <v>1794.51</v>
      </c>
      <c r="O732" s="15"/>
      <c r="P732" s="2"/>
      <c r="Q732" s="43">
        <f t="shared" si="78"/>
        <v>12.510936132983375</v>
      </c>
    </row>
    <row r="733" spans="1:17" hidden="1" x14ac:dyDescent="0.25">
      <c r="A733" s="16">
        <v>45696</v>
      </c>
      <c r="B733" s="2" t="s">
        <v>86</v>
      </c>
      <c r="C733" s="2">
        <v>1250</v>
      </c>
      <c r="D733" s="11">
        <v>0.18</v>
      </c>
      <c r="E733" s="2">
        <f t="shared" si="75"/>
        <v>1.25</v>
      </c>
      <c r="F733" s="10">
        <v>0.02</v>
      </c>
      <c r="G733" s="10">
        <v>7.0000000000000007E-2</v>
      </c>
      <c r="H733" s="12">
        <f t="shared" si="76"/>
        <v>0.2412</v>
      </c>
      <c r="I733" s="12">
        <f t="shared" si="77"/>
        <v>1.5812000000000002</v>
      </c>
      <c r="J733" s="2">
        <f>I733*250</f>
        <v>395.30000000000007</v>
      </c>
      <c r="K733" s="2"/>
      <c r="L733" s="2"/>
      <c r="M733" s="2"/>
      <c r="N733" s="2"/>
      <c r="O733" s="2"/>
      <c r="P733" s="2"/>
      <c r="Q733" s="43">
        <f t="shared" si="78"/>
        <v>15.25423728813559</v>
      </c>
    </row>
    <row r="734" spans="1:17" hidden="1" x14ac:dyDescent="0.25">
      <c r="A734" s="16">
        <v>45696</v>
      </c>
      <c r="B734" s="2" t="s">
        <v>85</v>
      </c>
      <c r="C734" s="2">
        <v>1030</v>
      </c>
      <c r="D734" s="11">
        <v>0.17599999999999999</v>
      </c>
      <c r="E734" s="2">
        <f t="shared" si="75"/>
        <v>1.03</v>
      </c>
      <c r="F734" s="10">
        <v>0.02</v>
      </c>
      <c r="G734" s="10">
        <v>7.0000000000000007E-2</v>
      </c>
      <c r="H734" s="12">
        <f t="shared" si="76"/>
        <v>0.19712000000000002</v>
      </c>
      <c r="I734" s="12">
        <f t="shared" si="77"/>
        <v>1.3171200000000001</v>
      </c>
      <c r="J734" s="2"/>
      <c r="K734" s="2">
        <f>I734*300</f>
        <v>395.13600000000002</v>
      </c>
      <c r="L734" s="2"/>
      <c r="M734" s="2"/>
      <c r="N734" s="2"/>
      <c r="O734" s="2"/>
      <c r="P734" s="2"/>
      <c r="Q734" s="43">
        <f t="shared" si="78"/>
        <v>14.965986394557824</v>
      </c>
    </row>
    <row r="735" spans="1:17" hidden="1" x14ac:dyDescent="0.25">
      <c r="A735" s="16">
        <v>45697</v>
      </c>
      <c r="B735" s="2" t="s">
        <v>109</v>
      </c>
      <c r="C735" s="2">
        <v>570</v>
      </c>
      <c r="D735" s="11">
        <v>0.35699999999999998</v>
      </c>
      <c r="E735" s="2">
        <f t="shared" si="75"/>
        <v>0.56999999999999995</v>
      </c>
      <c r="F735" s="10">
        <v>0.02</v>
      </c>
      <c r="G735" s="10">
        <v>7.0000000000000007E-2</v>
      </c>
      <c r="H735" s="12">
        <f t="shared" si="76"/>
        <v>0.23561999999999997</v>
      </c>
      <c r="I735" s="12">
        <f t="shared" si="77"/>
        <v>0.89561999999999986</v>
      </c>
      <c r="J735" s="2"/>
      <c r="K735" s="2"/>
      <c r="L735" s="2"/>
      <c r="M735" s="2"/>
      <c r="N735" s="2">
        <f>I735*1000</f>
        <v>895.61999999999989</v>
      </c>
      <c r="O735" s="2"/>
      <c r="P735" s="2"/>
      <c r="Q735" s="43">
        <f t="shared" si="78"/>
        <v>26.308032424465733</v>
      </c>
    </row>
    <row r="736" spans="1:17" hidden="1" x14ac:dyDescent="0.25">
      <c r="A736" s="16">
        <v>45697</v>
      </c>
      <c r="B736" s="2" t="s">
        <v>85</v>
      </c>
      <c r="C736" s="2">
        <v>1050</v>
      </c>
      <c r="D736" s="11">
        <v>0.155</v>
      </c>
      <c r="E736" s="2">
        <f t="shared" si="75"/>
        <v>1.05</v>
      </c>
      <c r="F736" s="10">
        <v>0.02</v>
      </c>
      <c r="G736" s="10">
        <v>7.0000000000000007E-2</v>
      </c>
      <c r="H736" s="12">
        <f t="shared" si="76"/>
        <v>0.17670000000000002</v>
      </c>
      <c r="I736" s="12">
        <f t="shared" si="77"/>
        <v>1.3167000000000002</v>
      </c>
      <c r="J736" s="2"/>
      <c r="K736" s="2">
        <f>I736*300</f>
        <v>395.01000000000005</v>
      </c>
      <c r="L736" s="2"/>
      <c r="M736" s="2"/>
      <c r="N736" s="2"/>
      <c r="O736" s="2"/>
      <c r="P736" s="2"/>
      <c r="Q736" s="43">
        <f t="shared" si="78"/>
        <v>13.419913419913421</v>
      </c>
    </row>
    <row r="737" spans="1:17" x14ac:dyDescent="0.25">
      <c r="A737" s="16">
        <v>45699</v>
      </c>
      <c r="B737" s="2" t="s">
        <v>119</v>
      </c>
      <c r="C737" s="2"/>
      <c r="D737" s="11">
        <v>0</v>
      </c>
      <c r="E737" s="2">
        <f t="shared" si="75"/>
        <v>0</v>
      </c>
      <c r="F737" s="10">
        <v>0.02</v>
      </c>
      <c r="G737" s="10">
        <v>7.0000000000000007E-2</v>
      </c>
      <c r="H737" s="12">
        <f t="shared" si="76"/>
        <v>0</v>
      </c>
      <c r="I737" s="12">
        <f t="shared" si="77"/>
        <v>9.0000000000000011E-2</v>
      </c>
      <c r="J737" s="2"/>
      <c r="K737" s="2"/>
      <c r="L737" s="2"/>
      <c r="M737" s="2">
        <f>I737*750</f>
        <v>67.500000000000014</v>
      </c>
      <c r="N737" s="2"/>
      <c r="O737" s="2"/>
      <c r="P737" s="2"/>
      <c r="Q737" s="43">
        <f t="shared" si="78"/>
        <v>0</v>
      </c>
    </row>
    <row r="738" spans="1:17" x14ac:dyDescent="0.25">
      <c r="A738" s="16">
        <v>45699</v>
      </c>
      <c r="B738" s="2" t="s">
        <v>200</v>
      </c>
      <c r="C738" s="2"/>
      <c r="D738" s="11">
        <v>0</v>
      </c>
      <c r="E738" s="2">
        <f t="shared" si="75"/>
        <v>0</v>
      </c>
      <c r="F738" s="10">
        <v>0.02</v>
      </c>
      <c r="G738" s="10">
        <v>7.0000000000000007E-2</v>
      </c>
      <c r="H738" s="12">
        <f t="shared" si="76"/>
        <v>0</v>
      </c>
      <c r="I738" s="12">
        <f t="shared" si="77"/>
        <v>9.0000000000000011E-2</v>
      </c>
      <c r="J738" s="2"/>
      <c r="K738" s="2"/>
      <c r="L738" s="2">
        <f>I738*500</f>
        <v>45.000000000000007</v>
      </c>
      <c r="M738" s="2"/>
      <c r="N738" s="2"/>
      <c r="O738" s="2"/>
      <c r="P738" s="2"/>
      <c r="Q738" s="43">
        <f t="shared" si="78"/>
        <v>0</v>
      </c>
    </row>
    <row r="739" spans="1:17" hidden="1" x14ac:dyDescent="0.25">
      <c r="A739" s="45">
        <v>45699</v>
      </c>
      <c r="B739" s="40" t="s">
        <v>123</v>
      </c>
      <c r="C739" s="40">
        <v>1550</v>
      </c>
      <c r="D739" s="39">
        <v>0.214</v>
      </c>
      <c r="E739" s="2">
        <f t="shared" si="75"/>
        <v>1.55</v>
      </c>
      <c r="F739" s="10">
        <v>0.02</v>
      </c>
      <c r="G739" s="10">
        <v>7.0000000000000007E-2</v>
      </c>
      <c r="H739" s="12">
        <f t="shared" si="76"/>
        <v>0.35095999999999999</v>
      </c>
      <c r="I739" s="12">
        <f t="shared" si="77"/>
        <v>1.9909600000000001</v>
      </c>
      <c r="J739" s="40"/>
      <c r="K739" s="40"/>
      <c r="L739" s="40">
        <f>I739*500</f>
        <v>995.48</v>
      </c>
      <c r="M739" s="40"/>
      <c r="N739" s="40"/>
      <c r="O739" s="40"/>
      <c r="P739" s="40"/>
      <c r="Q739" s="43">
        <f t="shared" si="78"/>
        <v>17.627677100494235</v>
      </c>
    </row>
    <row r="740" spans="1:17" hidden="1" x14ac:dyDescent="0.25">
      <c r="A740" s="45">
        <v>45699</v>
      </c>
      <c r="B740" s="2" t="s">
        <v>139</v>
      </c>
      <c r="C740" s="2">
        <v>1350</v>
      </c>
      <c r="D740" s="39">
        <v>8.2000000000000003E-2</v>
      </c>
      <c r="E740" s="2">
        <f t="shared" si="75"/>
        <v>1.35</v>
      </c>
      <c r="F740" s="10">
        <v>0.02</v>
      </c>
      <c r="G740" s="10">
        <v>7.0000000000000007E-2</v>
      </c>
      <c r="H740" s="12">
        <f t="shared" si="76"/>
        <v>0.11808000000000002</v>
      </c>
      <c r="I740" s="12">
        <f t="shared" si="77"/>
        <v>1.5580800000000001</v>
      </c>
      <c r="J740" s="2"/>
      <c r="K740" s="2">
        <f>I740*350</f>
        <v>545.32800000000009</v>
      </c>
      <c r="L740" s="2"/>
      <c r="M740" s="2"/>
      <c r="N740" s="2"/>
      <c r="O740" s="2"/>
      <c r="P740" s="2"/>
      <c r="Q740" s="43">
        <f t="shared" si="78"/>
        <v>7.5785582255083188</v>
      </c>
    </row>
    <row r="741" spans="1:17" hidden="1" x14ac:dyDescent="0.25">
      <c r="A741" s="45">
        <v>45699</v>
      </c>
      <c r="B741" s="2" t="s">
        <v>85</v>
      </c>
      <c r="C741" s="2">
        <v>1020</v>
      </c>
      <c r="D741" s="39">
        <v>0.187</v>
      </c>
      <c r="E741" s="2">
        <f t="shared" si="75"/>
        <v>1.02</v>
      </c>
      <c r="F741" s="10">
        <v>0.02</v>
      </c>
      <c r="G741" s="10">
        <v>7.0000000000000007E-2</v>
      </c>
      <c r="H741" s="12">
        <f t="shared" si="76"/>
        <v>0.20757</v>
      </c>
      <c r="I741" s="12">
        <f t="shared" si="77"/>
        <v>1.3175700000000001</v>
      </c>
      <c r="J741" s="2"/>
      <c r="K741" s="2">
        <f>I741*300</f>
        <v>395.27100000000002</v>
      </c>
      <c r="L741" s="2"/>
      <c r="M741" s="2"/>
      <c r="N741" s="2"/>
      <c r="O741" s="2"/>
      <c r="P741" s="2"/>
      <c r="Q741" s="43">
        <f t="shared" si="78"/>
        <v>15.754001684919965</v>
      </c>
    </row>
    <row r="742" spans="1:17" hidden="1" x14ac:dyDescent="0.25">
      <c r="A742" s="45">
        <v>45700</v>
      </c>
      <c r="B742" s="2" t="s">
        <v>84</v>
      </c>
      <c r="C742" s="2">
        <v>800</v>
      </c>
      <c r="D742" s="39">
        <v>0.114</v>
      </c>
      <c r="E742" s="2">
        <f t="shared" si="75"/>
        <v>0.8</v>
      </c>
      <c r="F742" s="10">
        <v>0.02</v>
      </c>
      <c r="G742" s="10">
        <v>7.0000000000000007E-2</v>
      </c>
      <c r="H742" s="12">
        <f t="shared" si="76"/>
        <v>0.10146000000000002</v>
      </c>
      <c r="I742" s="12">
        <f t="shared" si="77"/>
        <v>0.99146000000000012</v>
      </c>
      <c r="J742" s="2"/>
      <c r="K742" s="2"/>
      <c r="L742" s="2">
        <f>I742*500</f>
        <v>495.73000000000008</v>
      </c>
      <c r="M742" s="2"/>
      <c r="N742" s="2"/>
      <c r="O742" s="2"/>
      <c r="P742" s="2"/>
      <c r="Q742" s="43">
        <f t="shared" si="78"/>
        <v>10.233393177737883</v>
      </c>
    </row>
    <row r="743" spans="1:17" x14ac:dyDescent="0.25">
      <c r="A743" s="45">
        <v>45701</v>
      </c>
      <c r="B743" s="2" t="s">
        <v>136</v>
      </c>
      <c r="C743" s="2">
        <v>730</v>
      </c>
      <c r="D743" s="39">
        <v>9.1999999999999998E-2</v>
      </c>
      <c r="E743" s="2">
        <f t="shared" si="75"/>
        <v>0.73</v>
      </c>
      <c r="F743" s="10">
        <v>0.02</v>
      </c>
      <c r="G743" s="10">
        <v>7.0000000000000007E-2</v>
      </c>
      <c r="H743" s="12">
        <f t="shared" si="76"/>
        <v>7.5440000000000007E-2</v>
      </c>
      <c r="I743" s="12">
        <f t="shared" si="77"/>
        <v>0.89544000000000001</v>
      </c>
      <c r="J743" s="2"/>
      <c r="K743" s="2"/>
      <c r="L743" s="2"/>
      <c r="M743" s="2"/>
      <c r="N743" s="2">
        <f>I743*1000</f>
        <v>895.44</v>
      </c>
      <c r="O743" s="2"/>
      <c r="P743" s="2"/>
      <c r="Q743" s="43">
        <f t="shared" si="78"/>
        <v>8.424908424908427</v>
      </c>
    </row>
    <row r="744" spans="1:17" x14ac:dyDescent="0.25">
      <c r="A744" s="45">
        <v>45701</v>
      </c>
      <c r="B744" s="2" t="s">
        <v>119</v>
      </c>
      <c r="C744" s="2">
        <v>730</v>
      </c>
      <c r="D744" s="39">
        <v>9.9000000000000005E-2</v>
      </c>
      <c r="E744" s="2">
        <f t="shared" si="75"/>
        <v>0.73</v>
      </c>
      <c r="F744" s="10">
        <v>0.02</v>
      </c>
      <c r="G744" s="10">
        <v>7.0000000000000007E-2</v>
      </c>
      <c r="H744" s="12">
        <f t="shared" si="76"/>
        <v>8.1180000000000016E-2</v>
      </c>
      <c r="I744" s="12">
        <f t="shared" si="77"/>
        <v>0.90118000000000009</v>
      </c>
      <c r="J744" s="2"/>
      <c r="K744" s="2"/>
      <c r="L744" s="2"/>
      <c r="M744" s="2">
        <f>I744*750</f>
        <v>675.8850000000001</v>
      </c>
      <c r="N744" s="2"/>
      <c r="O744" s="2"/>
      <c r="P744" s="2"/>
      <c r="Q744" s="43">
        <f t="shared" si="78"/>
        <v>9.0081892629663347</v>
      </c>
    </row>
    <row r="745" spans="1:17" x14ac:dyDescent="0.25">
      <c r="A745" s="45">
        <v>45701</v>
      </c>
      <c r="B745" s="2" t="s">
        <v>200</v>
      </c>
      <c r="C745" s="2">
        <v>730</v>
      </c>
      <c r="D745" s="39">
        <v>8.5999999999999993E-2</v>
      </c>
      <c r="E745" s="2">
        <f t="shared" si="75"/>
        <v>0.73</v>
      </c>
      <c r="F745" s="10">
        <v>0.02</v>
      </c>
      <c r="G745" s="10">
        <v>7.0000000000000007E-2</v>
      </c>
      <c r="H745" s="12">
        <f t="shared" si="76"/>
        <v>7.0519999999999999E-2</v>
      </c>
      <c r="I745" s="12">
        <f t="shared" si="77"/>
        <v>0.89052000000000009</v>
      </c>
      <c r="J745" s="2"/>
      <c r="K745" s="2"/>
      <c r="L745" s="2">
        <f>I745*500</f>
        <v>445.26000000000005</v>
      </c>
      <c r="M745" s="2"/>
      <c r="N745" s="2"/>
      <c r="O745" s="2"/>
      <c r="P745" s="2"/>
      <c r="Q745" s="43">
        <f t="shared" si="78"/>
        <v>7.9189686924493552</v>
      </c>
    </row>
    <row r="746" spans="1:17" hidden="1" x14ac:dyDescent="0.25">
      <c r="A746" s="45">
        <v>45701</v>
      </c>
      <c r="B746" s="2" t="s">
        <v>123</v>
      </c>
      <c r="C746" s="2">
        <v>1600</v>
      </c>
      <c r="D746" s="39">
        <v>0.17799999999999999</v>
      </c>
      <c r="E746" s="2">
        <f t="shared" si="75"/>
        <v>1.6</v>
      </c>
      <c r="F746" s="10">
        <v>0.02</v>
      </c>
      <c r="G746" s="10">
        <v>7.0000000000000007E-2</v>
      </c>
      <c r="H746" s="12">
        <f t="shared" si="76"/>
        <v>0.30082000000000003</v>
      </c>
      <c r="I746" s="12">
        <f t="shared" si="77"/>
        <v>1.9908200000000003</v>
      </c>
      <c r="J746" s="2"/>
      <c r="K746" s="2"/>
      <c r="L746" s="2">
        <f>I746*500</f>
        <v>995.41000000000008</v>
      </c>
      <c r="M746" s="2"/>
      <c r="N746" s="2">
        <f>I746*1000</f>
        <v>1990.8200000000002</v>
      </c>
      <c r="O746" s="2"/>
      <c r="P746" s="2"/>
      <c r="Q746" s="43">
        <f t="shared" si="78"/>
        <v>15.110356536502547</v>
      </c>
    </row>
    <row r="747" spans="1:17" hidden="1" x14ac:dyDescent="0.25">
      <c r="A747" s="45">
        <v>45701</v>
      </c>
      <c r="B747" s="2" t="s">
        <v>139</v>
      </c>
      <c r="C747" s="2">
        <v>1420</v>
      </c>
      <c r="D747" s="39">
        <v>0.126</v>
      </c>
      <c r="E747" s="2">
        <f t="shared" si="75"/>
        <v>1.42</v>
      </c>
      <c r="F747" s="10">
        <v>0.02</v>
      </c>
      <c r="G747" s="10">
        <v>7.0000000000000007E-2</v>
      </c>
      <c r="H747" s="12">
        <f t="shared" si="76"/>
        <v>0.19026000000000001</v>
      </c>
      <c r="I747" s="12">
        <f t="shared" si="77"/>
        <v>1.7002600000000001</v>
      </c>
      <c r="J747" s="2"/>
      <c r="K747" s="2">
        <f>I747*350</f>
        <v>595.09100000000001</v>
      </c>
      <c r="L747" s="2"/>
      <c r="M747" s="2"/>
      <c r="N747" s="2"/>
      <c r="O747" s="2"/>
      <c r="P747" s="2"/>
      <c r="Q747" s="43">
        <f t="shared" si="78"/>
        <v>11.190053285968029</v>
      </c>
    </row>
    <row r="748" spans="1:17" hidden="1" x14ac:dyDescent="0.25">
      <c r="A748" s="45">
        <v>45702</v>
      </c>
      <c r="B748" s="2" t="s">
        <v>85</v>
      </c>
      <c r="C748" s="2">
        <v>1160</v>
      </c>
      <c r="D748" s="39">
        <v>5.5E-2</v>
      </c>
      <c r="E748" s="2">
        <f t="shared" si="75"/>
        <v>1.1599999999999999</v>
      </c>
      <c r="F748" s="10">
        <v>0.02</v>
      </c>
      <c r="G748" s="10">
        <v>7.0000000000000007E-2</v>
      </c>
      <c r="H748" s="12">
        <f t="shared" si="76"/>
        <v>6.8750000000000006E-2</v>
      </c>
      <c r="I748" s="12">
        <f t="shared" si="77"/>
        <v>1.3187500000000001</v>
      </c>
      <c r="J748" s="2"/>
      <c r="K748" s="2">
        <f>I748*300</f>
        <v>395.625</v>
      </c>
      <c r="L748" s="2"/>
      <c r="M748" s="2"/>
      <c r="N748" s="2"/>
      <c r="O748" s="2"/>
      <c r="P748" s="2"/>
      <c r="Q748" s="43">
        <f t="shared" si="78"/>
        <v>5.2132701421800949</v>
      </c>
    </row>
    <row r="749" spans="1:17" hidden="1" x14ac:dyDescent="0.25">
      <c r="A749" s="45">
        <v>45706</v>
      </c>
      <c r="B749" s="2" t="s">
        <v>139</v>
      </c>
      <c r="C749" s="2">
        <v>1350</v>
      </c>
      <c r="D749" s="39">
        <v>0.182</v>
      </c>
      <c r="E749" s="2">
        <f t="shared" si="75"/>
        <v>1.35</v>
      </c>
      <c r="F749" s="10">
        <v>0.02</v>
      </c>
      <c r="G749" s="10">
        <v>7.0000000000000007E-2</v>
      </c>
      <c r="H749" s="12">
        <f t="shared" si="76"/>
        <v>0.26208000000000004</v>
      </c>
      <c r="I749" s="12">
        <f t="shared" si="77"/>
        <v>1.7020800000000003</v>
      </c>
      <c r="J749" s="2"/>
      <c r="K749" s="2">
        <f>I749*350</f>
        <v>595.72800000000007</v>
      </c>
      <c r="L749" s="2"/>
      <c r="M749" s="2"/>
      <c r="N749" s="2">
        <f>I749*1000</f>
        <v>1702.0800000000002</v>
      </c>
      <c r="O749" s="2"/>
      <c r="P749" s="2"/>
      <c r="Q749" s="43">
        <f t="shared" si="78"/>
        <v>15.397631133671743</v>
      </c>
    </row>
    <row r="750" spans="1:17" hidden="1" x14ac:dyDescent="0.25">
      <c r="A750" s="45">
        <v>45706</v>
      </c>
      <c r="B750" s="2" t="s">
        <v>85</v>
      </c>
      <c r="C750" s="2">
        <v>1030</v>
      </c>
      <c r="D750" s="39">
        <v>0.17599999999999999</v>
      </c>
      <c r="E750" s="2">
        <f t="shared" si="75"/>
        <v>1.03</v>
      </c>
      <c r="F750" s="10">
        <v>0.02</v>
      </c>
      <c r="G750" s="10">
        <v>7.0000000000000007E-2</v>
      </c>
      <c r="H750" s="12">
        <f t="shared" si="76"/>
        <v>0.19712000000000002</v>
      </c>
      <c r="I750" s="12">
        <f t="shared" si="77"/>
        <v>1.3171200000000001</v>
      </c>
      <c r="J750" s="2"/>
      <c r="K750" s="2">
        <f>I750*300</f>
        <v>395.13600000000002</v>
      </c>
      <c r="L750" s="2"/>
      <c r="M750" s="2"/>
      <c r="N750" s="2">
        <f>I750*1000</f>
        <v>1317.1200000000001</v>
      </c>
      <c r="O750" s="2"/>
      <c r="P750" s="2"/>
      <c r="Q750" s="43">
        <f t="shared" si="78"/>
        <v>14.965986394557824</v>
      </c>
    </row>
    <row r="751" spans="1:17" hidden="1" x14ac:dyDescent="0.25">
      <c r="A751" s="16">
        <v>45708</v>
      </c>
      <c r="B751" s="2" t="s">
        <v>84</v>
      </c>
      <c r="C751" s="2">
        <v>800</v>
      </c>
      <c r="D751" s="39">
        <v>0.111</v>
      </c>
      <c r="E751" s="2">
        <f t="shared" ref="E751:E782" si="79">C751/1000</f>
        <v>0.8</v>
      </c>
      <c r="F751" s="10">
        <v>0.02</v>
      </c>
      <c r="G751" s="10">
        <v>7.0000000000000007E-2</v>
      </c>
      <c r="H751" s="12">
        <f t="shared" ref="H751:H782" si="80">SUM(E751:G751)*D751</f>
        <v>9.8790000000000017E-2</v>
      </c>
      <c r="I751" s="12">
        <f t="shared" ref="I751:I782" si="81">SUM(E751:H751)</f>
        <v>0.98879000000000017</v>
      </c>
      <c r="J751" s="2"/>
      <c r="K751" s="2"/>
      <c r="L751" s="2">
        <f>I751*500</f>
        <v>494.3950000000001</v>
      </c>
      <c r="M751" s="2"/>
      <c r="N751" s="2">
        <f>I751*1000</f>
        <v>988.79000000000019</v>
      </c>
      <c r="O751" s="2"/>
      <c r="P751" s="2"/>
      <c r="Q751" s="43">
        <f t="shared" si="78"/>
        <v>9.9909990999099918</v>
      </c>
    </row>
    <row r="752" spans="1:17" hidden="1" x14ac:dyDescent="0.25">
      <c r="A752" s="16">
        <v>45708</v>
      </c>
      <c r="B752" s="2" t="s">
        <v>123</v>
      </c>
      <c r="C752" s="2">
        <v>1450</v>
      </c>
      <c r="D752" s="39">
        <v>0.29299999999999998</v>
      </c>
      <c r="E752" s="2">
        <f t="shared" si="79"/>
        <v>1.45</v>
      </c>
      <c r="F752" s="10">
        <v>0.02</v>
      </c>
      <c r="G752" s="10">
        <v>7.0000000000000007E-2</v>
      </c>
      <c r="H752" s="12">
        <f t="shared" si="80"/>
        <v>0.45122000000000001</v>
      </c>
      <c r="I752" s="12">
        <f t="shared" si="81"/>
        <v>1.99122</v>
      </c>
      <c r="J752" s="2"/>
      <c r="K752" s="2"/>
      <c r="L752" s="2">
        <f>I752*500</f>
        <v>995.61</v>
      </c>
      <c r="M752" s="2"/>
      <c r="N752" s="2"/>
      <c r="O752" s="2"/>
      <c r="P752" s="2"/>
      <c r="Q752" s="43">
        <f t="shared" si="78"/>
        <v>22.660479505027066</v>
      </c>
    </row>
    <row r="753" spans="1:17" hidden="1" x14ac:dyDescent="0.25">
      <c r="A753" s="16">
        <v>45708</v>
      </c>
      <c r="B753" s="2" t="s">
        <v>139</v>
      </c>
      <c r="C753" s="2">
        <v>1380</v>
      </c>
      <c r="D753" s="39">
        <v>0.157</v>
      </c>
      <c r="E753" s="2">
        <f t="shared" si="79"/>
        <v>1.38</v>
      </c>
      <c r="F753" s="10">
        <v>0.02</v>
      </c>
      <c r="G753" s="10">
        <v>7.0000000000000007E-2</v>
      </c>
      <c r="H753" s="12">
        <f t="shared" si="80"/>
        <v>0.23079</v>
      </c>
      <c r="I753" s="12">
        <f t="shared" si="81"/>
        <v>1.70079</v>
      </c>
      <c r="J753" s="2"/>
      <c r="K753" s="2">
        <f>I753*350</f>
        <v>595.27650000000006</v>
      </c>
      <c r="L753" s="2"/>
      <c r="M753" s="2"/>
      <c r="N753" s="2"/>
      <c r="O753" s="2"/>
      <c r="P753" s="2"/>
      <c r="Q753" s="43">
        <f t="shared" si="78"/>
        <v>13.569576490924806</v>
      </c>
    </row>
    <row r="754" spans="1:17" hidden="1" x14ac:dyDescent="0.25">
      <c r="A754" s="16">
        <v>45708</v>
      </c>
      <c r="B754" s="2" t="s">
        <v>85</v>
      </c>
      <c r="C754" s="2">
        <v>1100</v>
      </c>
      <c r="D754" s="39">
        <v>0.107</v>
      </c>
      <c r="E754" s="2">
        <f t="shared" si="79"/>
        <v>1.1000000000000001</v>
      </c>
      <c r="F754" s="10">
        <v>0.02</v>
      </c>
      <c r="G754" s="10">
        <v>7.0000000000000007E-2</v>
      </c>
      <c r="H754" s="12">
        <f t="shared" si="80"/>
        <v>0.12733000000000003</v>
      </c>
      <c r="I754" s="12">
        <f t="shared" si="81"/>
        <v>1.3173300000000001</v>
      </c>
      <c r="J754" s="2"/>
      <c r="K754" s="2">
        <f>I754*300</f>
        <v>395.19900000000001</v>
      </c>
      <c r="L754" s="2"/>
      <c r="M754" s="2"/>
      <c r="N754" s="2"/>
      <c r="O754" s="2"/>
      <c r="P754" s="2"/>
      <c r="Q754" s="43">
        <f t="shared" si="78"/>
        <v>9.6657633242999115</v>
      </c>
    </row>
    <row r="755" spans="1:17" hidden="1" x14ac:dyDescent="0.25">
      <c r="A755" s="16">
        <v>45713</v>
      </c>
      <c r="B755" s="2" t="s">
        <v>109</v>
      </c>
      <c r="C755" s="2">
        <v>650</v>
      </c>
      <c r="D755" s="39">
        <v>0.21</v>
      </c>
      <c r="E755" s="2">
        <f t="shared" si="79"/>
        <v>0.65</v>
      </c>
      <c r="F755" s="10">
        <v>0.02</v>
      </c>
      <c r="G755" s="10">
        <v>7.0000000000000007E-2</v>
      </c>
      <c r="H755" s="12">
        <f t="shared" si="80"/>
        <v>0.15539999999999998</v>
      </c>
      <c r="I755" s="12">
        <f t="shared" si="81"/>
        <v>0.89539999999999997</v>
      </c>
      <c r="J755" s="2"/>
      <c r="K755" s="2"/>
      <c r="L755" s="2"/>
      <c r="M755" s="2"/>
      <c r="N755" s="2">
        <f>I755*1000</f>
        <v>895.4</v>
      </c>
      <c r="O755" s="2"/>
      <c r="P755" s="2"/>
      <c r="Q755" s="43">
        <f t="shared" si="78"/>
        <v>17.355371900826444</v>
      </c>
    </row>
    <row r="756" spans="1:17" hidden="1" x14ac:dyDescent="0.25">
      <c r="A756" s="16">
        <v>45713</v>
      </c>
      <c r="B756" s="2" t="s">
        <v>98</v>
      </c>
      <c r="C756" s="2">
        <v>650</v>
      </c>
      <c r="D756" s="39">
        <v>0.217</v>
      </c>
      <c r="E756" s="2">
        <f t="shared" si="79"/>
        <v>0.65</v>
      </c>
      <c r="F756" s="10">
        <v>0.02</v>
      </c>
      <c r="G756" s="10">
        <v>7.0000000000000007E-2</v>
      </c>
      <c r="H756" s="12">
        <f t="shared" si="80"/>
        <v>0.16058</v>
      </c>
      <c r="I756" s="12">
        <f t="shared" si="81"/>
        <v>0.90057999999999994</v>
      </c>
      <c r="J756" s="2"/>
      <c r="K756" s="2"/>
      <c r="L756" s="2"/>
      <c r="M756" s="2">
        <f>I756*750</f>
        <v>675.43499999999995</v>
      </c>
      <c r="N756" s="2"/>
      <c r="O756" s="2"/>
      <c r="P756" s="2"/>
      <c r="Q756" s="43">
        <f t="shared" ref="Q756:Q781" si="82">H756/I756%</f>
        <v>17.830731306491373</v>
      </c>
    </row>
    <row r="757" spans="1:17" hidden="1" x14ac:dyDescent="0.25">
      <c r="A757" s="16">
        <v>45713</v>
      </c>
      <c r="B757" s="2" t="s">
        <v>123</v>
      </c>
      <c r="C757" s="2">
        <v>1450</v>
      </c>
      <c r="D757" s="39">
        <v>0.29299999999999998</v>
      </c>
      <c r="E757" s="2">
        <f t="shared" si="79"/>
        <v>1.45</v>
      </c>
      <c r="F757" s="10">
        <v>0.02</v>
      </c>
      <c r="G757" s="10">
        <v>7.0000000000000007E-2</v>
      </c>
      <c r="H757" s="12">
        <f t="shared" si="80"/>
        <v>0.45122000000000001</v>
      </c>
      <c r="I757" s="12">
        <f t="shared" si="81"/>
        <v>1.99122</v>
      </c>
      <c r="J757" s="2"/>
      <c r="K757" s="2"/>
      <c r="L757" s="2">
        <f>I757*500</f>
        <v>995.61</v>
      </c>
      <c r="M757" s="2"/>
      <c r="N757" s="2"/>
      <c r="O757" s="2"/>
      <c r="P757" s="2"/>
      <c r="Q757" s="43">
        <f t="shared" si="82"/>
        <v>22.660479505027066</v>
      </c>
    </row>
    <row r="758" spans="1:17" hidden="1" x14ac:dyDescent="0.25">
      <c r="A758" s="16">
        <v>45713</v>
      </c>
      <c r="B758" s="2" t="s">
        <v>85</v>
      </c>
      <c r="C758" s="2">
        <v>1000</v>
      </c>
      <c r="D758" s="39">
        <v>0.21</v>
      </c>
      <c r="E758" s="2">
        <f t="shared" si="79"/>
        <v>1</v>
      </c>
      <c r="F758" s="10">
        <v>0.02</v>
      </c>
      <c r="G758" s="10">
        <v>7.0000000000000007E-2</v>
      </c>
      <c r="H758" s="12">
        <f t="shared" si="80"/>
        <v>0.22890000000000002</v>
      </c>
      <c r="I758" s="12">
        <f t="shared" si="81"/>
        <v>1.3189000000000002</v>
      </c>
      <c r="J758" s="2"/>
      <c r="K758" s="2">
        <f>I758*300</f>
        <v>395.67000000000007</v>
      </c>
      <c r="L758" s="2"/>
      <c r="M758" s="2"/>
      <c r="N758" s="2"/>
      <c r="O758" s="2"/>
      <c r="P758" s="2"/>
      <c r="Q758" s="43">
        <f t="shared" si="82"/>
        <v>17.355371900826448</v>
      </c>
    </row>
    <row r="759" spans="1:17" x14ac:dyDescent="0.25">
      <c r="A759" s="16">
        <v>45717</v>
      </c>
      <c r="B759" s="2" t="s">
        <v>200</v>
      </c>
      <c r="C759" s="2">
        <v>730</v>
      </c>
      <c r="D759" s="39">
        <v>8.5999999999999993E-2</v>
      </c>
      <c r="E759" s="2">
        <f t="shared" si="79"/>
        <v>0.73</v>
      </c>
      <c r="F759" s="10">
        <v>0.02</v>
      </c>
      <c r="G759" s="10">
        <v>7.0000000000000007E-2</v>
      </c>
      <c r="H759" s="12">
        <f t="shared" si="80"/>
        <v>7.0519999999999999E-2</v>
      </c>
      <c r="I759" s="12">
        <f t="shared" si="81"/>
        <v>0.89052000000000009</v>
      </c>
      <c r="J759" s="2"/>
      <c r="K759" s="2"/>
      <c r="L759" s="2">
        <f>I759*500</f>
        <v>445.26000000000005</v>
      </c>
      <c r="M759" s="2"/>
      <c r="N759" s="2"/>
      <c r="O759" s="2"/>
      <c r="P759" s="2"/>
      <c r="Q759" s="43">
        <f t="shared" si="82"/>
        <v>7.9189686924493552</v>
      </c>
    </row>
    <row r="760" spans="1:17" hidden="1" x14ac:dyDescent="0.25">
      <c r="A760" s="45">
        <v>45717</v>
      </c>
      <c r="B760" s="40" t="s">
        <v>149</v>
      </c>
      <c r="C760" s="40">
        <v>1480</v>
      </c>
      <c r="D760" s="39">
        <v>0.26800000000000002</v>
      </c>
      <c r="E760" s="40">
        <f t="shared" si="79"/>
        <v>1.48</v>
      </c>
      <c r="F760" s="41">
        <v>0.02</v>
      </c>
      <c r="G760" s="41">
        <v>7.0000000000000007E-2</v>
      </c>
      <c r="H760" s="42">
        <f t="shared" si="80"/>
        <v>0.42076000000000002</v>
      </c>
      <c r="I760" s="42">
        <f t="shared" si="81"/>
        <v>1.9907600000000001</v>
      </c>
      <c r="J760" s="40"/>
      <c r="K760" s="40"/>
      <c r="L760" s="40"/>
      <c r="M760" s="40">
        <f>I760*750</f>
        <v>1493.0700000000002</v>
      </c>
      <c r="N760" s="40">
        <f>I760*1000</f>
        <v>1990.76</v>
      </c>
      <c r="O760" s="40"/>
      <c r="P760" s="40"/>
      <c r="Q760" s="43">
        <f t="shared" si="82"/>
        <v>21.135646687697161</v>
      </c>
    </row>
    <row r="761" spans="1:17" hidden="1" x14ac:dyDescent="0.25">
      <c r="A761" s="16">
        <v>45717</v>
      </c>
      <c r="B761" s="2" t="s">
        <v>139</v>
      </c>
      <c r="C761" s="2">
        <v>1400</v>
      </c>
      <c r="D761" s="39">
        <v>0.14099999999999999</v>
      </c>
      <c r="E761" s="40">
        <f t="shared" si="79"/>
        <v>1.4</v>
      </c>
      <c r="F761" s="41">
        <v>0.02</v>
      </c>
      <c r="G761" s="41">
        <v>7.0000000000000007E-2</v>
      </c>
      <c r="H761" s="42">
        <f t="shared" si="80"/>
        <v>0.21008999999999997</v>
      </c>
      <c r="I761" s="42">
        <f t="shared" si="81"/>
        <v>1.7000899999999999</v>
      </c>
      <c r="J761" s="2"/>
      <c r="K761" s="2">
        <f>I761*350</f>
        <v>595.03149999999994</v>
      </c>
      <c r="L761" s="40"/>
      <c r="M761" s="2"/>
      <c r="N761" s="2">
        <f>I761*1000</f>
        <v>1700.09</v>
      </c>
      <c r="O761" s="2"/>
      <c r="P761" s="2"/>
      <c r="Q761" s="43">
        <f t="shared" si="82"/>
        <v>12.35758106923751</v>
      </c>
    </row>
    <row r="762" spans="1:17" hidden="1" x14ac:dyDescent="0.25">
      <c r="A762" s="16">
        <v>45717</v>
      </c>
      <c r="B762" s="2" t="s">
        <v>86</v>
      </c>
      <c r="C762" s="2">
        <v>1400</v>
      </c>
      <c r="D762" s="39">
        <v>6.3E-2</v>
      </c>
      <c r="E762" s="40">
        <f t="shared" si="79"/>
        <v>1.4</v>
      </c>
      <c r="F762" s="41">
        <v>0.02</v>
      </c>
      <c r="G762" s="41">
        <v>7.0000000000000007E-2</v>
      </c>
      <c r="H762" s="42">
        <f t="shared" si="80"/>
        <v>9.3869999999999995E-2</v>
      </c>
      <c r="I762" s="42">
        <f t="shared" si="81"/>
        <v>1.5838699999999999</v>
      </c>
      <c r="J762" s="2">
        <f>I762*250</f>
        <v>395.96749999999997</v>
      </c>
      <c r="K762" s="2"/>
      <c r="L762" s="2"/>
      <c r="M762" s="2"/>
      <c r="N762" s="2">
        <f>I762*1000</f>
        <v>1583.87</v>
      </c>
      <c r="O762" s="2"/>
      <c r="P762" s="2"/>
      <c r="Q762" s="43">
        <f t="shared" si="82"/>
        <v>5.9266227657572914</v>
      </c>
    </row>
    <row r="763" spans="1:17" hidden="1" x14ac:dyDescent="0.25">
      <c r="A763" s="16">
        <v>45717</v>
      </c>
      <c r="B763" s="2" t="s">
        <v>96</v>
      </c>
      <c r="C763" s="2">
        <v>1400</v>
      </c>
      <c r="D763" s="39">
        <v>0.20200000000000001</v>
      </c>
      <c r="E763" s="40">
        <f t="shared" si="79"/>
        <v>1.4</v>
      </c>
      <c r="F763" s="41">
        <v>0.02</v>
      </c>
      <c r="G763" s="41">
        <v>7.0000000000000007E-2</v>
      </c>
      <c r="H763" s="42">
        <f t="shared" si="80"/>
        <v>0.30098000000000003</v>
      </c>
      <c r="I763" s="42">
        <f t="shared" si="81"/>
        <v>1.79098</v>
      </c>
      <c r="J763" s="2"/>
      <c r="K763" s="2"/>
      <c r="L763" s="2">
        <f>I763*500</f>
        <v>895.49</v>
      </c>
      <c r="M763" s="2"/>
      <c r="N763" s="2">
        <f>I763*1000</f>
        <v>1790.98</v>
      </c>
      <c r="O763" s="2"/>
      <c r="P763" s="2"/>
      <c r="Q763" s="43">
        <f t="shared" si="82"/>
        <v>16.805324459234612</v>
      </c>
    </row>
    <row r="764" spans="1:17" x14ac:dyDescent="0.25">
      <c r="A764" s="16">
        <v>45722</v>
      </c>
      <c r="B764" s="2" t="s">
        <v>136</v>
      </c>
      <c r="C764" s="2">
        <v>680</v>
      </c>
      <c r="D764" s="39">
        <v>0.16300000000000001</v>
      </c>
      <c r="E764" s="40">
        <f t="shared" si="79"/>
        <v>0.68</v>
      </c>
      <c r="F764" s="41">
        <v>0.02</v>
      </c>
      <c r="G764" s="41">
        <v>7.0000000000000007E-2</v>
      </c>
      <c r="H764" s="42">
        <f t="shared" si="80"/>
        <v>0.12551000000000001</v>
      </c>
      <c r="I764" s="42">
        <f t="shared" si="81"/>
        <v>0.89551000000000003</v>
      </c>
      <c r="J764" s="2"/>
      <c r="K764" s="2"/>
      <c r="L764" s="2"/>
      <c r="M764" s="2"/>
      <c r="N764" s="2">
        <f>I764*1000</f>
        <v>895.51</v>
      </c>
      <c r="O764" s="2"/>
      <c r="P764" s="2"/>
      <c r="Q764" s="43">
        <f t="shared" si="82"/>
        <v>14.015477214101463</v>
      </c>
    </row>
    <row r="765" spans="1:17" x14ac:dyDescent="0.25">
      <c r="A765" s="16">
        <v>45722</v>
      </c>
      <c r="B765" s="2" t="s">
        <v>119</v>
      </c>
      <c r="C765" s="2">
        <v>680</v>
      </c>
      <c r="D765" s="39">
        <v>0.17</v>
      </c>
      <c r="E765" s="40">
        <f t="shared" si="79"/>
        <v>0.68</v>
      </c>
      <c r="F765" s="41">
        <v>0.02</v>
      </c>
      <c r="G765" s="41">
        <v>7.0000000000000007E-2</v>
      </c>
      <c r="H765" s="42">
        <f t="shared" si="80"/>
        <v>0.13090000000000002</v>
      </c>
      <c r="I765" s="42">
        <f t="shared" si="81"/>
        <v>0.90090000000000003</v>
      </c>
      <c r="J765" s="2"/>
      <c r="K765" s="2"/>
      <c r="L765" s="2"/>
      <c r="M765" s="2">
        <f>I765*750</f>
        <v>675.67500000000007</v>
      </c>
      <c r="N765" s="2"/>
      <c r="O765" s="2"/>
      <c r="P765" s="2"/>
      <c r="Q765" s="43">
        <f t="shared" si="82"/>
        <v>14.529914529914532</v>
      </c>
    </row>
    <row r="766" spans="1:17" hidden="1" x14ac:dyDescent="0.25">
      <c r="A766" s="16">
        <v>45722</v>
      </c>
      <c r="B766" s="2" t="s">
        <v>99</v>
      </c>
      <c r="C766" s="2">
        <v>500</v>
      </c>
      <c r="D766" s="39">
        <v>0.34</v>
      </c>
      <c r="E766" s="40">
        <f t="shared" si="79"/>
        <v>0.5</v>
      </c>
      <c r="F766" s="41">
        <v>0.02</v>
      </c>
      <c r="G766" s="41">
        <v>7.0000000000000007E-2</v>
      </c>
      <c r="H766" s="42">
        <f t="shared" si="80"/>
        <v>0.20060000000000003</v>
      </c>
      <c r="I766" s="42">
        <f t="shared" si="81"/>
        <v>0.79060000000000008</v>
      </c>
      <c r="J766" s="2"/>
      <c r="K766" s="2"/>
      <c r="L766" s="2">
        <f>I766*500</f>
        <v>395.30000000000007</v>
      </c>
      <c r="M766" s="2">
        <f>I766*750</f>
        <v>592.95000000000005</v>
      </c>
      <c r="N766" s="2">
        <f t="shared" ref="N766:N771" si="83">I766*1000</f>
        <v>790.60000000000014</v>
      </c>
      <c r="O766" s="2"/>
      <c r="P766" s="2"/>
      <c r="Q766" s="43">
        <f t="shared" si="82"/>
        <v>25.373134328358208</v>
      </c>
    </row>
    <row r="767" spans="1:17" hidden="1" x14ac:dyDescent="0.25">
      <c r="A767" s="16">
        <v>45722</v>
      </c>
      <c r="B767" s="2" t="s">
        <v>123</v>
      </c>
      <c r="C767" s="2">
        <v>1450</v>
      </c>
      <c r="D767" s="39">
        <v>0.16300000000000001</v>
      </c>
      <c r="E767" s="40">
        <f t="shared" si="79"/>
        <v>1.45</v>
      </c>
      <c r="F767" s="41">
        <v>0.02</v>
      </c>
      <c r="G767" s="41">
        <v>7.0000000000000007E-2</v>
      </c>
      <c r="H767" s="42">
        <f t="shared" si="80"/>
        <v>0.25102000000000002</v>
      </c>
      <c r="I767" s="42">
        <f t="shared" si="81"/>
        <v>1.7910200000000001</v>
      </c>
      <c r="J767" s="2"/>
      <c r="K767" s="2"/>
      <c r="L767" s="2">
        <f>I767*500</f>
        <v>895.51</v>
      </c>
      <c r="M767" s="2"/>
      <c r="N767" s="2">
        <f t="shared" si="83"/>
        <v>1791.02</v>
      </c>
      <c r="O767" s="2"/>
      <c r="P767" s="2"/>
      <c r="Q767" s="43">
        <f t="shared" si="82"/>
        <v>14.015477214101463</v>
      </c>
    </row>
    <row r="768" spans="1:17" hidden="1" x14ac:dyDescent="0.25">
      <c r="A768" s="16">
        <v>45722</v>
      </c>
      <c r="B768" s="2" t="s">
        <v>86</v>
      </c>
      <c r="C768" s="2">
        <v>1220</v>
      </c>
      <c r="D768" s="39">
        <v>0.20699999999999999</v>
      </c>
      <c r="E768" s="40">
        <f t="shared" si="79"/>
        <v>1.22</v>
      </c>
      <c r="F768" s="41">
        <v>0.02</v>
      </c>
      <c r="G768" s="41">
        <v>7.0000000000000007E-2</v>
      </c>
      <c r="H768" s="42">
        <f t="shared" si="80"/>
        <v>0.27117000000000002</v>
      </c>
      <c r="I768" s="42">
        <f t="shared" si="81"/>
        <v>1.5811700000000002</v>
      </c>
      <c r="J768" s="2">
        <f>I768*250</f>
        <v>395.29250000000002</v>
      </c>
      <c r="K768" s="2"/>
      <c r="L768" s="2"/>
      <c r="M768" s="2"/>
      <c r="N768" s="2">
        <f t="shared" si="83"/>
        <v>1581.17</v>
      </c>
      <c r="O768" s="2"/>
      <c r="P768" s="2"/>
      <c r="Q768" s="43">
        <f t="shared" si="82"/>
        <v>17.149958574979287</v>
      </c>
    </row>
    <row r="769" spans="1:17" hidden="1" x14ac:dyDescent="0.25">
      <c r="A769" s="16">
        <v>45722</v>
      </c>
      <c r="B769" s="2" t="s">
        <v>85</v>
      </c>
      <c r="C769" s="2">
        <v>1020</v>
      </c>
      <c r="D769" s="39">
        <v>0.187</v>
      </c>
      <c r="E769" s="40">
        <f t="shared" si="79"/>
        <v>1.02</v>
      </c>
      <c r="F769" s="41">
        <v>0.02</v>
      </c>
      <c r="G769" s="41">
        <v>7.0000000000000007E-2</v>
      </c>
      <c r="H769" s="42">
        <f t="shared" si="80"/>
        <v>0.20757</v>
      </c>
      <c r="I769" s="42">
        <f t="shared" si="81"/>
        <v>1.3175700000000001</v>
      </c>
      <c r="J769" s="2"/>
      <c r="K769" s="2">
        <f>I769*300</f>
        <v>395.27100000000002</v>
      </c>
      <c r="L769" s="2"/>
      <c r="M769" s="2"/>
      <c r="N769" s="2">
        <f t="shared" si="83"/>
        <v>1317.5700000000002</v>
      </c>
      <c r="O769" s="2"/>
      <c r="P769" s="2"/>
      <c r="Q769" s="43">
        <f t="shared" si="82"/>
        <v>15.754001684919965</v>
      </c>
    </row>
    <row r="770" spans="1:17" x14ac:dyDescent="0.25">
      <c r="A770" s="16">
        <v>45723</v>
      </c>
      <c r="B770" s="2" t="s">
        <v>119</v>
      </c>
      <c r="C770" s="2"/>
      <c r="D770" s="39">
        <v>0.34</v>
      </c>
      <c r="E770" s="40">
        <f t="shared" si="79"/>
        <v>0</v>
      </c>
      <c r="F770" s="41">
        <v>0.02</v>
      </c>
      <c r="G770" s="41">
        <v>7.0000000000000007E-2</v>
      </c>
      <c r="H770" s="42">
        <f t="shared" si="80"/>
        <v>3.0600000000000006E-2</v>
      </c>
      <c r="I770" s="42">
        <f t="shared" si="81"/>
        <v>0.12060000000000001</v>
      </c>
      <c r="J770" s="2"/>
      <c r="K770" s="2"/>
      <c r="L770" s="2">
        <f>I770*500</f>
        <v>60.300000000000004</v>
      </c>
      <c r="M770" s="2">
        <f>I770*750</f>
        <v>90.45</v>
      </c>
      <c r="N770" s="2">
        <f t="shared" si="83"/>
        <v>120.60000000000001</v>
      </c>
      <c r="O770" s="2"/>
      <c r="P770" s="2"/>
      <c r="Q770" s="43">
        <f t="shared" si="82"/>
        <v>25.373134328358212</v>
      </c>
    </row>
    <row r="771" spans="1:17" hidden="1" x14ac:dyDescent="0.25">
      <c r="A771" s="16">
        <v>45723</v>
      </c>
      <c r="B771" s="2" t="s">
        <v>141</v>
      </c>
      <c r="C771" s="2">
        <v>750</v>
      </c>
      <c r="D771" s="39">
        <v>0.185</v>
      </c>
      <c r="E771" s="40">
        <f t="shared" si="79"/>
        <v>0.75</v>
      </c>
      <c r="F771" s="41">
        <v>0.02</v>
      </c>
      <c r="G771" s="41">
        <v>7.0000000000000007E-2</v>
      </c>
      <c r="H771" s="42">
        <f t="shared" si="80"/>
        <v>0.15540000000000001</v>
      </c>
      <c r="I771" s="42">
        <f t="shared" si="81"/>
        <v>0.99540000000000006</v>
      </c>
      <c r="J771" s="2"/>
      <c r="K771" s="2"/>
      <c r="L771" s="2"/>
      <c r="M771" s="2"/>
      <c r="N771" s="2">
        <f t="shared" si="83"/>
        <v>995.40000000000009</v>
      </c>
      <c r="O771" s="2"/>
      <c r="P771" s="2"/>
      <c r="Q771" s="43">
        <f t="shared" si="82"/>
        <v>15.61181434599156</v>
      </c>
    </row>
    <row r="772" spans="1:17" hidden="1" x14ac:dyDescent="0.25">
      <c r="A772" s="16">
        <v>45723</v>
      </c>
      <c r="B772" s="2" t="s">
        <v>84</v>
      </c>
      <c r="C772" s="2"/>
      <c r="D772" s="39">
        <v>0.34</v>
      </c>
      <c r="E772" s="40">
        <f t="shared" si="79"/>
        <v>0</v>
      </c>
      <c r="F772" s="41">
        <v>0.02</v>
      </c>
      <c r="G772" s="41">
        <v>7.0000000000000007E-2</v>
      </c>
      <c r="H772" s="42">
        <f t="shared" si="80"/>
        <v>3.0600000000000006E-2</v>
      </c>
      <c r="I772" s="42">
        <f t="shared" si="81"/>
        <v>0.12060000000000001</v>
      </c>
      <c r="J772" s="2"/>
      <c r="K772" s="2"/>
      <c r="L772" s="2">
        <f>I772*500</f>
        <v>60.300000000000004</v>
      </c>
      <c r="M772" s="2"/>
      <c r="N772" s="2"/>
      <c r="O772" s="2"/>
      <c r="P772" s="2"/>
      <c r="Q772" s="43">
        <f t="shared" si="82"/>
        <v>25.373134328358212</v>
      </c>
    </row>
    <row r="773" spans="1:17" hidden="1" x14ac:dyDescent="0.25">
      <c r="A773" s="16">
        <v>45723</v>
      </c>
      <c r="B773" s="2" t="s">
        <v>218</v>
      </c>
      <c r="C773" s="2">
        <v>650</v>
      </c>
      <c r="D773" s="39">
        <v>0.22</v>
      </c>
      <c r="E773" s="40">
        <f t="shared" si="79"/>
        <v>0.65</v>
      </c>
      <c r="F773" s="41">
        <v>0.02</v>
      </c>
      <c r="G773" s="41">
        <v>7.0000000000000007E-2</v>
      </c>
      <c r="H773" s="42">
        <f t="shared" si="80"/>
        <v>0.1628</v>
      </c>
      <c r="I773" s="42">
        <f t="shared" si="81"/>
        <v>0.90280000000000005</v>
      </c>
      <c r="J773" s="2"/>
      <c r="K773" s="2"/>
      <c r="L773" s="2">
        <f>I773*500</f>
        <v>451.40000000000003</v>
      </c>
      <c r="M773" s="2">
        <f>I773*750</f>
        <v>677.1</v>
      </c>
      <c r="N773" s="2">
        <f>I773*1000</f>
        <v>902.80000000000007</v>
      </c>
      <c r="O773" s="2">
        <f>I773*1250</f>
        <v>1128.5</v>
      </c>
      <c r="P773" s="2"/>
      <c r="Q773" s="43">
        <f t="shared" si="82"/>
        <v>18.032786885245898</v>
      </c>
    </row>
    <row r="774" spans="1:17" hidden="1" x14ac:dyDescent="0.25">
      <c r="A774" s="16">
        <v>45723</v>
      </c>
      <c r="B774" s="2" t="s">
        <v>175</v>
      </c>
      <c r="C774" s="2">
        <v>680</v>
      </c>
      <c r="D774" s="39">
        <v>0.17</v>
      </c>
      <c r="E774" s="40">
        <f t="shared" si="79"/>
        <v>0.68</v>
      </c>
      <c r="F774" s="41">
        <v>0.02</v>
      </c>
      <c r="G774" s="41">
        <v>7.0000000000000007E-2</v>
      </c>
      <c r="H774" s="42">
        <f t="shared" si="80"/>
        <v>0.13090000000000002</v>
      </c>
      <c r="I774" s="42">
        <f t="shared" si="81"/>
        <v>0.90090000000000003</v>
      </c>
      <c r="J774" s="2"/>
      <c r="K774" s="2"/>
      <c r="L774" s="2"/>
      <c r="M774" s="2"/>
      <c r="N774" s="2">
        <f>I774*1000</f>
        <v>900.90000000000009</v>
      </c>
      <c r="O774" s="2">
        <f>I774*1250</f>
        <v>1126.125</v>
      </c>
      <c r="P774" s="2"/>
      <c r="Q774" s="43">
        <f t="shared" si="82"/>
        <v>14.529914529914532</v>
      </c>
    </row>
    <row r="775" spans="1:17" hidden="1" x14ac:dyDescent="0.25">
      <c r="A775" s="16">
        <v>45723</v>
      </c>
      <c r="B775" s="2" t="s">
        <v>139</v>
      </c>
      <c r="C775" s="2"/>
      <c r="D775" s="39">
        <v>0.34</v>
      </c>
      <c r="E775" s="40">
        <f t="shared" si="79"/>
        <v>0</v>
      </c>
      <c r="F775" s="41">
        <v>0.02</v>
      </c>
      <c r="G775" s="41">
        <v>7.0000000000000007E-2</v>
      </c>
      <c r="H775" s="42">
        <f t="shared" si="80"/>
        <v>3.0600000000000006E-2</v>
      </c>
      <c r="I775" s="42">
        <f t="shared" si="81"/>
        <v>0.12060000000000001</v>
      </c>
      <c r="J775" s="2"/>
      <c r="K775" s="2">
        <f>I775*350</f>
        <v>42.210000000000008</v>
      </c>
      <c r="L775" s="2"/>
      <c r="M775" s="2"/>
      <c r="N775" s="2"/>
      <c r="O775" s="2"/>
      <c r="P775" s="2"/>
      <c r="Q775" s="43">
        <f t="shared" si="82"/>
        <v>25.373134328358212</v>
      </c>
    </row>
    <row r="776" spans="1:17" hidden="1" x14ac:dyDescent="0.25">
      <c r="A776" s="16">
        <v>45724</v>
      </c>
      <c r="B776" s="2" t="s">
        <v>123</v>
      </c>
      <c r="C776" s="2">
        <v>1400</v>
      </c>
      <c r="D776" s="39">
        <v>0.27500000000000002</v>
      </c>
      <c r="E776" s="40">
        <f t="shared" si="79"/>
        <v>1.4</v>
      </c>
      <c r="F776" s="41">
        <v>0.02</v>
      </c>
      <c r="G776" s="41">
        <v>7.0000000000000007E-2</v>
      </c>
      <c r="H776" s="42">
        <f t="shared" si="80"/>
        <v>0.40975</v>
      </c>
      <c r="I776" s="42">
        <f t="shared" si="81"/>
        <v>1.89975</v>
      </c>
      <c r="J776" s="2"/>
      <c r="K776" s="2"/>
      <c r="L776" s="2">
        <f>I776*500</f>
        <v>949.875</v>
      </c>
      <c r="M776" s="2"/>
      <c r="N776" s="2">
        <f t="shared" ref="N776:N823" si="84">I776*1000</f>
        <v>1899.75</v>
      </c>
      <c r="O776" s="2"/>
      <c r="P776" s="2"/>
      <c r="Q776" s="43">
        <f t="shared" si="82"/>
        <v>21.56862745098039</v>
      </c>
    </row>
    <row r="777" spans="1:17" hidden="1" x14ac:dyDescent="0.25">
      <c r="A777" s="16">
        <v>45724</v>
      </c>
      <c r="B777" s="2" t="s">
        <v>149</v>
      </c>
      <c r="C777" s="2">
        <v>1400</v>
      </c>
      <c r="D777" s="39">
        <v>0.249</v>
      </c>
      <c r="E777" s="40">
        <f t="shared" si="79"/>
        <v>1.4</v>
      </c>
      <c r="F777" s="41">
        <v>0.02</v>
      </c>
      <c r="G777" s="41">
        <v>7.0000000000000007E-2</v>
      </c>
      <c r="H777" s="42">
        <f t="shared" si="80"/>
        <v>0.37101000000000001</v>
      </c>
      <c r="I777" s="42">
        <f t="shared" si="81"/>
        <v>1.8610100000000001</v>
      </c>
      <c r="J777" s="2"/>
      <c r="K777" s="2"/>
      <c r="L777" s="2"/>
      <c r="M777" s="2">
        <f>I777*750</f>
        <v>1395.7574999999999</v>
      </c>
      <c r="N777" s="2">
        <f t="shared" si="84"/>
        <v>1861.01</v>
      </c>
      <c r="O777" s="2"/>
      <c r="P777" s="2"/>
      <c r="Q777" s="43">
        <f t="shared" si="82"/>
        <v>19.935948759007204</v>
      </c>
    </row>
    <row r="778" spans="1:17" hidden="1" x14ac:dyDescent="0.25">
      <c r="A778" s="16">
        <v>45724</v>
      </c>
      <c r="B778" s="2" t="s">
        <v>150</v>
      </c>
      <c r="C778" s="2">
        <v>1650</v>
      </c>
      <c r="D778" s="39">
        <v>0.20499999999999999</v>
      </c>
      <c r="E778" s="40">
        <f t="shared" si="79"/>
        <v>1.65</v>
      </c>
      <c r="F778" s="41">
        <v>0.02</v>
      </c>
      <c r="G778" s="41">
        <v>7.0000000000000007E-2</v>
      </c>
      <c r="H778" s="42">
        <f t="shared" si="80"/>
        <v>0.35669999999999996</v>
      </c>
      <c r="I778" s="42">
        <f t="shared" si="81"/>
        <v>2.0966999999999998</v>
      </c>
      <c r="J778" s="2"/>
      <c r="K778" s="2"/>
      <c r="L778" s="2"/>
      <c r="M778" s="2"/>
      <c r="N778" s="2">
        <f t="shared" si="84"/>
        <v>2096.6999999999998</v>
      </c>
      <c r="O778" s="2"/>
      <c r="P778" s="2"/>
      <c r="Q778" s="43">
        <f t="shared" si="82"/>
        <v>17.012448132780083</v>
      </c>
    </row>
    <row r="779" spans="1:17" hidden="1" x14ac:dyDescent="0.25">
      <c r="A779" s="16">
        <v>45725</v>
      </c>
      <c r="B779" s="2" t="s">
        <v>175</v>
      </c>
      <c r="C779" s="2">
        <v>700</v>
      </c>
      <c r="D779" s="39">
        <v>0.14000000000000001</v>
      </c>
      <c r="E779" s="40">
        <f t="shared" si="79"/>
        <v>0.7</v>
      </c>
      <c r="F779" s="41">
        <v>0.02</v>
      </c>
      <c r="G779" s="41">
        <v>7.0000000000000007E-2</v>
      </c>
      <c r="H779" s="42">
        <f t="shared" si="80"/>
        <v>0.11060000000000002</v>
      </c>
      <c r="I779" s="42">
        <f t="shared" si="81"/>
        <v>0.90060000000000007</v>
      </c>
      <c r="J779" s="2"/>
      <c r="K779" s="2"/>
      <c r="L779" s="2"/>
      <c r="M779" s="2"/>
      <c r="N779" s="2">
        <f t="shared" si="84"/>
        <v>900.6</v>
      </c>
      <c r="O779" s="2">
        <f>I779*1250</f>
        <v>1125.75</v>
      </c>
      <c r="P779" s="2">
        <f>I779*1500</f>
        <v>1350.9</v>
      </c>
      <c r="Q779" s="43">
        <f t="shared" si="82"/>
        <v>12.280701754385968</v>
      </c>
    </row>
    <row r="780" spans="1:17" hidden="1" x14ac:dyDescent="0.25">
      <c r="A780" s="16">
        <v>45727</v>
      </c>
      <c r="B780" s="2" t="s">
        <v>212</v>
      </c>
      <c r="C780" s="2">
        <v>700</v>
      </c>
      <c r="D780" s="39">
        <v>0</v>
      </c>
      <c r="E780" s="2">
        <f t="shared" si="79"/>
        <v>0.7</v>
      </c>
      <c r="F780" s="41">
        <v>0.02</v>
      </c>
      <c r="G780" s="41">
        <v>7.0000000000000007E-2</v>
      </c>
      <c r="H780" s="42">
        <f t="shared" si="80"/>
        <v>0</v>
      </c>
      <c r="I780" s="42">
        <f t="shared" si="81"/>
        <v>0.79</v>
      </c>
      <c r="J780" s="2"/>
      <c r="K780" s="2"/>
      <c r="L780" s="2"/>
      <c r="M780" s="2"/>
      <c r="N780" s="2">
        <f t="shared" si="84"/>
        <v>790</v>
      </c>
      <c r="O780" s="2"/>
      <c r="P780" s="2">
        <f>I780*1500</f>
        <v>1185</v>
      </c>
      <c r="Q780" s="43">
        <f t="shared" si="82"/>
        <v>0</v>
      </c>
    </row>
    <row r="781" spans="1:17" hidden="1" x14ac:dyDescent="0.25">
      <c r="A781" s="16">
        <v>45734</v>
      </c>
      <c r="B781" s="2" t="s">
        <v>123</v>
      </c>
      <c r="C781" s="2">
        <v>1420</v>
      </c>
      <c r="D781" s="11">
        <v>0.32</v>
      </c>
      <c r="E781" s="2">
        <f t="shared" si="79"/>
        <v>1.42</v>
      </c>
      <c r="F781" s="10">
        <v>0.02</v>
      </c>
      <c r="G781" s="10">
        <v>7.0000000000000007E-2</v>
      </c>
      <c r="H781" s="12">
        <f t="shared" si="80"/>
        <v>0.48320000000000002</v>
      </c>
      <c r="I781" s="12">
        <f t="shared" si="81"/>
        <v>1.9932000000000001</v>
      </c>
      <c r="J781" s="2"/>
      <c r="K781" s="2"/>
      <c r="L781" s="2">
        <f>I781*500</f>
        <v>996.6</v>
      </c>
      <c r="M781" s="2"/>
      <c r="N781" s="2">
        <f t="shared" si="84"/>
        <v>1993.2</v>
      </c>
      <c r="O781" s="2"/>
      <c r="P781" s="2"/>
      <c r="Q781" s="43">
        <f t="shared" si="82"/>
        <v>24.242424242424242</v>
      </c>
    </row>
    <row r="782" spans="1:17" hidden="1" x14ac:dyDescent="0.25">
      <c r="A782" s="45">
        <v>45735</v>
      </c>
      <c r="B782" s="40" t="s">
        <v>123</v>
      </c>
      <c r="C782" s="40">
        <v>1350</v>
      </c>
      <c r="D782" s="39">
        <v>0.24399999999999999</v>
      </c>
      <c r="E782" s="40">
        <f t="shared" si="79"/>
        <v>1.35</v>
      </c>
      <c r="F782" s="41">
        <v>0.02</v>
      </c>
      <c r="G782" s="41">
        <v>7.0000000000000007E-2</v>
      </c>
      <c r="H782" s="42">
        <f t="shared" si="80"/>
        <v>0.35136000000000006</v>
      </c>
      <c r="I782" s="42">
        <f t="shared" si="81"/>
        <v>1.7913600000000003</v>
      </c>
      <c r="J782" s="40"/>
      <c r="K782" s="40"/>
      <c r="L782" s="40">
        <f>I782*500</f>
        <v>895.68000000000018</v>
      </c>
      <c r="M782" s="40"/>
      <c r="N782" s="40">
        <f t="shared" si="84"/>
        <v>1791.3600000000004</v>
      </c>
      <c r="O782" s="40"/>
      <c r="P782" s="40"/>
      <c r="Q782" s="43"/>
    </row>
    <row r="783" spans="1:17" hidden="1" x14ac:dyDescent="0.25">
      <c r="A783" s="45">
        <v>45736</v>
      </c>
      <c r="B783" s="40" t="s">
        <v>139</v>
      </c>
      <c r="C783" s="40">
        <v>1350</v>
      </c>
      <c r="D783" s="39">
        <v>0.182</v>
      </c>
      <c r="E783" s="40">
        <f t="shared" ref="E783:E814" si="85">C783/1000</f>
        <v>1.35</v>
      </c>
      <c r="F783" s="41">
        <v>0.02</v>
      </c>
      <c r="G783" s="41">
        <v>7.0000000000000007E-2</v>
      </c>
      <c r="H783" s="42">
        <f t="shared" ref="H783:H814" si="86">SUM(E783:G783)*D783</f>
        <v>0.26208000000000004</v>
      </c>
      <c r="I783" s="42">
        <f t="shared" ref="I783:I814" si="87">SUM(E783:H783)</f>
        <v>1.7020800000000003</v>
      </c>
      <c r="J783" s="40"/>
      <c r="K783" s="40">
        <f>I783*350</f>
        <v>595.72800000000007</v>
      </c>
      <c r="L783" s="40"/>
      <c r="M783" s="40"/>
      <c r="N783" s="40">
        <f t="shared" si="84"/>
        <v>1702.0800000000002</v>
      </c>
      <c r="O783" s="40"/>
      <c r="P783" s="40"/>
      <c r="Q783" s="43">
        <f t="shared" ref="Q783:Q814" si="88">H783/I783%</f>
        <v>15.397631133671743</v>
      </c>
    </row>
    <row r="784" spans="1:17" hidden="1" x14ac:dyDescent="0.25">
      <c r="A784" s="16">
        <v>45736</v>
      </c>
      <c r="B784" s="2" t="s">
        <v>85</v>
      </c>
      <c r="C784" s="2">
        <v>1000</v>
      </c>
      <c r="D784" s="39">
        <v>0.21</v>
      </c>
      <c r="E784" s="40">
        <f t="shared" si="85"/>
        <v>1</v>
      </c>
      <c r="F784" s="41">
        <v>0.02</v>
      </c>
      <c r="G784" s="41">
        <v>7.0000000000000007E-2</v>
      </c>
      <c r="H784" s="42">
        <f t="shared" si="86"/>
        <v>0.22890000000000002</v>
      </c>
      <c r="I784" s="42">
        <f t="shared" si="87"/>
        <v>1.3189000000000002</v>
      </c>
      <c r="J784" s="2"/>
      <c r="K784" s="2">
        <f>I784*300</f>
        <v>395.67000000000007</v>
      </c>
      <c r="L784" s="2"/>
      <c r="M784" s="2"/>
      <c r="N784" s="40">
        <f t="shared" si="84"/>
        <v>1318.9</v>
      </c>
      <c r="O784" s="2"/>
      <c r="P784" s="2"/>
      <c r="Q784" s="43">
        <f t="shared" si="88"/>
        <v>17.355371900826448</v>
      </c>
    </row>
    <row r="785" spans="1:17" hidden="1" x14ac:dyDescent="0.25">
      <c r="A785" s="16">
        <v>45743</v>
      </c>
      <c r="B785" s="2" t="s">
        <v>164</v>
      </c>
      <c r="C785" s="2">
        <v>700</v>
      </c>
      <c r="D785" s="39">
        <v>0.14000000000000001</v>
      </c>
      <c r="E785" s="2">
        <f t="shared" si="85"/>
        <v>0.7</v>
      </c>
      <c r="F785" s="41">
        <v>0.02</v>
      </c>
      <c r="G785" s="41">
        <v>7.0000000000000007E-2</v>
      </c>
      <c r="H785" s="42">
        <f t="shared" si="86"/>
        <v>0.11060000000000002</v>
      </c>
      <c r="I785" s="42">
        <f t="shared" si="87"/>
        <v>0.90060000000000007</v>
      </c>
      <c r="J785" s="2"/>
      <c r="K785" s="2"/>
      <c r="L785" s="2"/>
      <c r="M785" s="2">
        <f>I785*750</f>
        <v>675.45</v>
      </c>
      <c r="N785" s="40">
        <f t="shared" si="84"/>
        <v>900.6</v>
      </c>
      <c r="O785" s="2"/>
      <c r="P785" s="2"/>
      <c r="Q785" s="43">
        <f t="shared" si="88"/>
        <v>12.280701754385968</v>
      </c>
    </row>
    <row r="786" spans="1:17" hidden="1" x14ac:dyDescent="0.25">
      <c r="A786" s="16">
        <v>45743</v>
      </c>
      <c r="B786" s="2" t="s">
        <v>171</v>
      </c>
      <c r="C786" s="2">
        <v>700</v>
      </c>
      <c r="D786" s="39">
        <v>0.14000000000000001</v>
      </c>
      <c r="E786" s="40">
        <f t="shared" si="85"/>
        <v>0.7</v>
      </c>
      <c r="F786" s="41">
        <v>0.02</v>
      </c>
      <c r="G786" s="41">
        <v>7.0000000000000007E-2</v>
      </c>
      <c r="H786" s="42">
        <f t="shared" si="86"/>
        <v>0.11060000000000002</v>
      </c>
      <c r="I786" s="42">
        <f t="shared" si="87"/>
        <v>0.90060000000000007</v>
      </c>
      <c r="J786" s="2"/>
      <c r="K786" s="2"/>
      <c r="L786" s="2">
        <f>I786*500</f>
        <v>450.3</v>
      </c>
      <c r="M786" s="2"/>
      <c r="N786" s="2">
        <f t="shared" si="84"/>
        <v>900.6</v>
      </c>
      <c r="O786" s="2"/>
      <c r="P786" s="2"/>
      <c r="Q786" s="43">
        <f t="shared" si="88"/>
        <v>12.280701754385968</v>
      </c>
    </row>
    <row r="787" spans="1:17" x14ac:dyDescent="0.25">
      <c r="A787" s="16">
        <v>45748</v>
      </c>
      <c r="B787" s="2" t="s">
        <v>119</v>
      </c>
      <c r="C787" s="2">
        <v>650</v>
      </c>
      <c r="D787" s="39">
        <v>0.254</v>
      </c>
      <c r="E787" s="2">
        <f t="shared" si="85"/>
        <v>0.65</v>
      </c>
      <c r="F787" s="41">
        <v>0.02</v>
      </c>
      <c r="G787" s="41">
        <v>7.0000000000000007E-2</v>
      </c>
      <c r="H787" s="42">
        <f t="shared" si="86"/>
        <v>0.18795999999999999</v>
      </c>
      <c r="I787" s="42">
        <f t="shared" si="87"/>
        <v>0.92796000000000001</v>
      </c>
      <c r="J787" s="2"/>
      <c r="K787" s="2"/>
      <c r="L787" s="2">
        <f>I787*500</f>
        <v>463.98</v>
      </c>
      <c r="M787" s="2">
        <f>I787*750</f>
        <v>695.97</v>
      </c>
      <c r="N787" s="2">
        <f t="shared" si="84"/>
        <v>927.96</v>
      </c>
      <c r="O787" s="2"/>
      <c r="P787" s="2"/>
      <c r="Q787" s="43">
        <f t="shared" si="88"/>
        <v>20.255183413078147</v>
      </c>
    </row>
    <row r="788" spans="1:17" hidden="1" x14ac:dyDescent="0.25">
      <c r="A788" s="16">
        <v>45759</v>
      </c>
      <c r="B788" s="2" t="s">
        <v>123</v>
      </c>
      <c r="C788" s="2">
        <v>1350</v>
      </c>
      <c r="D788" s="39">
        <v>0.25</v>
      </c>
      <c r="E788" s="2">
        <f t="shared" si="85"/>
        <v>1.35</v>
      </c>
      <c r="F788" s="41">
        <v>0.02</v>
      </c>
      <c r="G788" s="41">
        <v>7.0000000000000007E-2</v>
      </c>
      <c r="H788" s="42">
        <f t="shared" si="86"/>
        <v>0.36000000000000004</v>
      </c>
      <c r="I788" s="42">
        <f t="shared" si="87"/>
        <v>1.8000000000000003</v>
      </c>
      <c r="J788" s="2"/>
      <c r="K788" s="2"/>
      <c r="L788" s="2">
        <f>I788*500</f>
        <v>900.00000000000011</v>
      </c>
      <c r="M788" s="2"/>
      <c r="N788" s="2">
        <f t="shared" si="84"/>
        <v>1800.0000000000002</v>
      </c>
      <c r="O788" s="2"/>
      <c r="P788" s="2"/>
      <c r="Q788" s="43">
        <f t="shared" si="88"/>
        <v>20</v>
      </c>
    </row>
    <row r="789" spans="1:17" hidden="1" x14ac:dyDescent="0.25">
      <c r="A789" s="45">
        <v>45759</v>
      </c>
      <c r="B789" s="2" t="s">
        <v>86</v>
      </c>
      <c r="C789" s="2">
        <v>1250</v>
      </c>
      <c r="D789" s="39">
        <v>0.12</v>
      </c>
      <c r="E789" s="40">
        <f t="shared" si="85"/>
        <v>1.25</v>
      </c>
      <c r="F789" s="41">
        <v>0.02</v>
      </c>
      <c r="G789" s="41">
        <v>7.0000000000000007E-2</v>
      </c>
      <c r="H789" s="42">
        <f t="shared" si="86"/>
        <v>0.1608</v>
      </c>
      <c r="I789" s="42">
        <f t="shared" si="87"/>
        <v>1.5008000000000001</v>
      </c>
      <c r="J789" s="2">
        <f>I789*250</f>
        <v>375.20000000000005</v>
      </c>
      <c r="K789" s="2"/>
      <c r="L789" s="2"/>
      <c r="M789" s="2"/>
      <c r="N789" s="2">
        <f t="shared" si="84"/>
        <v>1500.8000000000002</v>
      </c>
      <c r="O789" s="2"/>
      <c r="P789" s="2"/>
      <c r="Q789" s="43">
        <f t="shared" si="88"/>
        <v>10.714285714285714</v>
      </c>
    </row>
    <row r="790" spans="1:17" hidden="1" x14ac:dyDescent="0.25">
      <c r="A790" s="45">
        <v>45763</v>
      </c>
      <c r="B790" s="40" t="s">
        <v>164</v>
      </c>
      <c r="C790" s="40">
        <v>730</v>
      </c>
      <c r="D790" s="39">
        <v>9.8000000000000004E-2</v>
      </c>
      <c r="E790" s="40">
        <f t="shared" si="85"/>
        <v>0.73</v>
      </c>
      <c r="F790" s="41">
        <v>0.02</v>
      </c>
      <c r="G790" s="41">
        <v>7.0000000000000007E-2</v>
      </c>
      <c r="H790" s="42">
        <f t="shared" si="86"/>
        <v>8.0360000000000015E-2</v>
      </c>
      <c r="I790" s="42">
        <f t="shared" si="87"/>
        <v>0.90036000000000005</v>
      </c>
      <c r="J790" s="40"/>
      <c r="K790" s="40"/>
      <c r="L790" s="40"/>
      <c r="M790" s="40">
        <f>I790*750</f>
        <v>675.27</v>
      </c>
      <c r="N790" s="40">
        <f t="shared" si="84"/>
        <v>900.36</v>
      </c>
      <c r="O790" s="40"/>
      <c r="P790" s="40"/>
      <c r="Q790" s="43">
        <f t="shared" si="88"/>
        <v>8.9253187613843359</v>
      </c>
    </row>
    <row r="791" spans="1:17" hidden="1" x14ac:dyDescent="0.25">
      <c r="A791" s="45">
        <v>45763</v>
      </c>
      <c r="B791" s="2" t="s">
        <v>98</v>
      </c>
      <c r="C791" s="2">
        <v>750</v>
      </c>
      <c r="D791" s="39">
        <v>0.1</v>
      </c>
      <c r="E791" s="2">
        <f t="shared" si="85"/>
        <v>0.75</v>
      </c>
      <c r="F791" s="41">
        <v>0.02</v>
      </c>
      <c r="G791" s="41">
        <v>7.0000000000000007E-2</v>
      </c>
      <c r="H791" s="42">
        <f t="shared" si="86"/>
        <v>8.4000000000000019E-2</v>
      </c>
      <c r="I791" s="42">
        <f t="shared" si="87"/>
        <v>0.92400000000000015</v>
      </c>
      <c r="J791" s="2"/>
      <c r="K791" s="2"/>
      <c r="L791" s="2">
        <f>I791*500</f>
        <v>462.00000000000006</v>
      </c>
      <c r="M791" s="2">
        <f>I791*750</f>
        <v>693.00000000000011</v>
      </c>
      <c r="N791" s="40">
        <f t="shared" si="84"/>
        <v>924.00000000000011</v>
      </c>
      <c r="O791" s="2"/>
      <c r="P791" s="2"/>
      <c r="Q791" s="43">
        <f t="shared" si="88"/>
        <v>9.0909090909090917</v>
      </c>
    </row>
    <row r="792" spans="1:17" hidden="1" x14ac:dyDescent="0.25">
      <c r="A792" s="16">
        <v>45777</v>
      </c>
      <c r="B792" s="2" t="s">
        <v>139</v>
      </c>
      <c r="C792" s="2">
        <v>1450</v>
      </c>
      <c r="D792" s="39">
        <v>0.104</v>
      </c>
      <c r="E792" s="2">
        <f t="shared" si="85"/>
        <v>1.45</v>
      </c>
      <c r="F792" s="41">
        <v>0.02</v>
      </c>
      <c r="G792" s="41">
        <v>7.0000000000000007E-2</v>
      </c>
      <c r="H792" s="42">
        <f t="shared" si="86"/>
        <v>0.16016</v>
      </c>
      <c r="I792" s="42">
        <f t="shared" si="87"/>
        <v>1.7001600000000001</v>
      </c>
      <c r="J792" s="2"/>
      <c r="K792" s="2">
        <f>I792*350</f>
        <v>595.05600000000004</v>
      </c>
      <c r="L792" s="2"/>
      <c r="M792" s="2"/>
      <c r="N792" s="40">
        <f t="shared" si="84"/>
        <v>1700.16</v>
      </c>
      <c r="O792" s="2"/>
      <c r="P792" s="2"/>
      <c r="Q792" s="43">
        <f t="shared" si="88"/>
        <v>9.420289855072463</v>
      </c>
    </row>
    <row r="793" spans="1:17" hidden="1" x14ac:dyDescent="0.25">
      <c r="A793" s="45">
        <v>45777</v>
      </c>
      <c r="B793" s="40" t="s">
        <v>85</v>
      </c>
      <c r="C793" s="40">
        <v>1050</v>
      </c>
      <c r="D793" s="39">
        <v>0.155</v>
      </c>
      <c r="E793" s="40">
        <f t="shared" si="85"/>
        <v>1.05</v>
      </c>
      <c r="F793" s="41">
        <v>0.02</v>
      </c>
      <c r="G793" s="41">
        <v>7.0000000000000007E-2</v>
      </c>
      <c r="H793" s="42">
        <f t="shared" si="86"/>
        <v>0.17670000000000002</v>
      </c>
      <c r="I793" s="42">
        <f t="shared" si="87"/>
        <v>1.3167000000000002</v>
      </c>
      <c r="J793" s="40"/>
      <c r="K793" s="40">
        <f>I793*300</f>
        <v>395.01000000000005</v>
      </c>
      <c r="L793" s="40"/>
      <c r="M793" s="40"/>
      <c r="N793" s="40">
        <f t="shared" si="84"/>
        <v>1316.7000000000003</v>
      </c>
      <c r="O793" s="40"/>
      <c r="P793" s="40"/>
      <c r="Q793" s="43">
        <f t="shared" si="88"/>
        <v>13.419913419913421</v>
      </c>
    </row>
    <row r="794" spans="1:17" hidden="1" x14ac:dyDescent="0.25">
      <c r="A794" s="16">
        <v>45778</v>
      </c>
      <c r="B794" s="2" t="s">
        <v>161</v>
      </c>
      <c r="C794" s="2">
        <v>1800</v>
      </c>
      <c r="D794" s="39">
        <v>0.16500000000000001</v>
      </c>
      <c r="E794" s="2">
        <f t="shared" si="85"/>
        <v>1.8</v>
      </c>
      <c r="F794" s="41">
        <v>0.02</v>
      </c>
      <c r="G794" s="41">
        <v>7.0000000000000007E-2</v>
      </c>
      <c r="H794" s="42">
        <f t="shared" si="86"/>
        <v>0.31185000000000002</v>
      </c>
      <c r="I794" s="42">
        <f t="shared" si="87"/>
        <v>2.2018500000000003</v>
      </c>
      <c r="J794" s="2"/>
      <c r="K794" s="2"/>
      <c r="L794" s="2"/>
      <c r="M794" s="2">
        <f>I794*750</f>
        <v>1651.3875000000003</v>
      </c>
      <c r="N794" s="40">
        <f t="shared" si="84"/>
        <v>2201.8500000000004</v>
      </c>
      <c r="O794" s="2"/>
      <c r="P794" s="2"/>
      <c r="Q794" s="43">
        <f t="shared" si="88"/>
        <v>14.163090128755364</v>
      </c>
    </row>
    <row r="795" spans="1:17" hidden="1" x14ac:dyDescent="0.25">
      <c r="A795" s="16">
        <v>45779</v>
      </c>
      <c r="B795" s="2" t="s">
        <v>149</v>
      </c>
      <c r="C795" s="2">
        <v>1900</v>
      </c>
      <c r="D795" s="39">
        <v>0.10199999999999999</v>
      </c>
      <c r="E795" s="2">
        <f t="shared" si="85"/>
        <v>1.9</v>
      </c>
      <c r="F795" s="41">
        <v>0.02</v>
      </c>
      <c r="G795" s="41">
        <v>7.0000000000000007E-2</v>
      </c>
      <c r="H795" s="42">
        <f t="shared" si="86"/>
        <v>0.20297999999999999</v>
      </c>
      <c r="I795" s="42">
        <f t="shared" si="87"/>
        <v>2.1929799999999999</v>
      </c>
      <c r="J795" s="2"/>
      <c r="K795" s="2"/>
      <c r="L795" s="2"/>
      <c r="M795" s="2">
        <f>I795*750</f>
        <v>1644.7349999999999</v>
      </c>
      <c r="N795" s="40">
        <f t="shared" si="84"/>
        <v>2192.98</v>
      </c>
      <c r="O795" s="2"/>
      <c r="P795" s="2"/>
      <c r="Q795" s="43">
        <f t="shared" si="88"/>
        <v>9.2558983666061714</v>
      </c>
    </row>
    <row r="796" spans="1:17" hidden="1" x14ac:dyDescent="0.25">
      <c r="A796" s="16">
        <v>45779</v>
      </c>
      <c r="B796" s="2" t="s">
        <v>96</v>
      </c>
      <c r="C796" s="2">
        <v>1800</v>
      </c>
      <c r="D796" s="39">
        <v>0.159</v>
      </c>
      <c r="E796" s="2">
        <f t="shared" si="85"/>
        <v>1.8</v>
      </c>
      <c r="F796" s="41">
        <v>0.02</v>
      </c>
      <c r="G796" s="41">
        <v>7.0000000000000007E-2</v>
      </c>
      <c r="H796" s="42">
        <f t="shared" si="86"/>
        <v>0.30051</v>
      </c>
      <c r="I796" s="42">
        <f t="shared" si="87"/>
        <v>2.1905100000000002</v>
      </c>
      <c r="J796" s="2"/>
      <c r="K796" s="2"/>
      <c r="L796" s="2">
        <f>I796*500</f>
        <v>1095.2550000000001</v>
      </c>
      <c r="M796" s="2"/>
      <c r="N796" s="40">
        <f t="shared" si="84"/>
        <v>2190.5100000000002</v>
      </c>
      <c r="O796" s="2"/>
      <c r="P796" s="2"/>
      <c r="Q796" s="43">
        <f t="shared" si="88"/>
        <v>13.718723037100949</v>
      </c>
    </row>
    <row r="797" spans="1:17" hidden="1" x14ac:dyDescent="0.25">
      <c r="A797" s="16">
        <v>45780</v>
      </c>
      <c r="B797" s="2" t="s">
        <v>171</v>
      </c>
      <c r="C797" s="2">
        <v>750</v>
      </c>
      <c r="D797" s="39">
        <v>0.18</v>
      </c>
      <c r="E797" s="2">
        <f t="shared" si="85"/>
        <v>0.75</v>
      </c>
      <c r="F797" s="41">
        <v>0.02</v>
      </c>
      <c r="G797" s="41">
        <v>7.0000000000000007E-2</v>
      </c>
      <c r="H797" s="42">
        <f t="shared" si="86"/>
        <v>0.1512</v>
      </c>
      <c r="I797" s="42">
        <f t="shared" si="87"/>
        <v>0.99120000000000008</v>
      </c>
      <c r="J797" s="2"/>
      <c r="K797" s="2"/>
      <c r="L797" s="2">
        <f>I797*500</f>
        <v>495.6</v>
      </c>
      <c r="M797" s="2">
        <f>I797*750</f>
        <v>743.40000000000009</v>
      </c>
      <c r="N797" s="40">
        <f t="shared" si="84"/>
        <v>991.2</v>
      </c>
      <c r="O797" s="2"/>
      <c r="P797" s="2"/>
      <c r="Q797" s="43">
        <f t="shared" si="88"/>
        <v>15.254237288135592</v>
      </c>
    </row>
    <row r="798" spans="1:17" hidden="1" x14ac:dyDescent="0.25">
      <c r="A798" s="45">
        <v>45785</v>
      </c>
      <c r="B798" s="35" t="s">
        <v>161</v>
      </c>
      <c r="C798" s="35">
        <v>1720</v>
      </c>
      <c r="D798" s="39">
        <v>0.21199999999999999</v>
      </c>
      <c r="E798" s="35">
        <f t="shared" si="85"/>
        <v>1.72</v>
      </c>
      <c r="F798" s="41">
        <v>0.02</v>
      </c>
      <c r="G798" s="41">
        <v>7.0000000000000007E-2</v>
      </c>
      <c r="H798" s="42">
        <f t="shared" si="86"/>
        <v>0.38372000000000001</v>
      </c>
      <c r="I798" s="42">
        <f t="shared" si="87"/>
        <v>2.1937199999999999</v>
      </c>
      <c r="J798" s="56"/>
      <c r="K798" s="56"/>
      <c r="L798" s="56"/>
      <c r="M798" s="56">
        <f>I798*750</f>
        <v>1645.29</v>
      </c>
      <c r="N798" s="40">
        <f t="shared" si="84"/>
        <v>2193.7199999999998</v>
      </c>
      <c r="O798" s="56"/>
      <c r="P798" s="56"/>
      <c r="Q798" s="43">
        <f t="shared" si="88"/>
        <v>17.491749174917491</v>
      </c>
    </row>
    <row r="799" spans="1:17" hidden="1" x14ac:dyDescent="0.25">
      <c r="A799" s="16">
        <v>45786</v>
      </c>
      <c r="B799" s="2" t="s">
        <v>167</v>
      </c>
      <c r="C799" s="2">
        <v>750</v>
      </c>
      <c r="D799" s="39">
        <v>9.0999999999999998E-2</v>
      </c>
      <c r="E799" s="2">
        <f t="shared" si="85"/>
        <v>0.75</v>
      </c>
      <c r="F799" s="41">
        <v>0.02</v>
      </c>
      <c r="G799" s="41">
        <v>7.0000000000000007E-2</v>
      </c>
      <c r="H799" s="42">
        <f t="shared" si="86"/>
        <v>7.6440000000000008E-2</v>
      </c>
      <c r="I799" s="42">
        <f t="shared" si="87"/>
        <v>0.91644000000000014</v>
      </c>
      <c r="J799" s="2"/>
      <c r="K799" s="2"/>
      <c r="L799" s="2"/>
      <c r="M799" s="56"/>
      <c r="N799" s="40">
        <f t="shared" si="84"/>
        <v>916.44000000000017</v>
      </c>
      <c r="O799" s="2">
        <f>I799*1250</f>
        <v>1145.5500000000002</v>
      </c>
      <c r="P799" s="2">
        <f>I799*1500</f>
        <v>1374.6600000000003</v>
      </c>
      <c r="Q799" s="43">
        <f t="shared" si="88"/>
        <v>8.3409715857011903</v>
      </c>
    </row>
    <row r="800" spans="1:17" hidden="1" x14ac:dyDescent="0.25">
      <c r="A800" s="16">
        <v>45787</v>
      </c>
      <c r="B800" s="2" t="s">
        <v>123</v>
      </c>
      <c r="C800" s="2">
        <v>1680</v>
      </c>
      <c r="D800" s="39">
        <v>0.24</v>
      </c>
      <c r="E800" s="2">
        <f t="shared" si="85"/>
        <v>1.68</v>
      </c>
      <c r="F800" s="41">
        <v>0.02</v>
      </c>
      <c r="G800" s="41">
        <v>7.0000000000000007E-2</v>
      </c>
      <c r="H800" s="42">
        <f t="shared" si="86"/>
        <v>0.42480000000000001</v>
      </c>
      <c r="I800" s="42">
        <f t="shared" si="87"/>
        <v>2.1947999999999999</v>
      </c>
      <c r="J800" s="2"/>
      <c r="K800" s="2"/>
      <c r="L800" s="2">
        <f>I800*500</f>
        <v>1097.3999999999999</v>
      </c>
      <c r="M800" s="2"/>
      <c r="N800" s="40">
        <f t="shared" si="84"/>
        <v>2194.7999999999997</v>
      </c>
      <c r="O800" s="2"/>
      <c r="P800" s="2"/>
      <c r="Q800" s="43">
        <f t="shared" si="88"/>
        <v>19.35483870967742</v>
      </c>
    </row>
    <row r="801" spans="1:17" hidden="1" x14ac:dyDescent="0.25">
      <c r="A801" s="16">
        <v>45787</v>
      </c>
      <c r="B801" s="2" t="s">
        <v>96</v>
      </c>
      <c r="C801" s="2">
        <v>1600</v>
      </c>
      <c r="D801" s="11">
        <v>0.18</v>
      </c>
      <c r="E801" s="2">
        <f t="shared" si="85"/>
        <v>1.6</v>
      </c>
      <c r="F801" s="10">
        <v>0.02</v>
      </c>
      <c r="G801" s="10">
        <v>7.0000000000000007E-2</v>
      </c>
      <c r="H801" s="12">
        <f t="shared" si="86"/>
        <v>0.30420000000000003</v>
      </c>
      <c r="I801" s="12">
        <f t="shared" si="87"/>
        <v>1.9942000000000002</v>
      </c>
      <c r="J801" s="2"/>
      <c r="K801" s="2"/>
      <c r="L801" s="2">
        <f>I801*500</f>
        <v>997.10000000000014</v>
      </c>
      <c r="M801" s="2"/>
      <c r="N801" s="2">
        <f t="shared" si="84"/>
        <v>1994.2000000000003</v>
      </c>
      <c r="O801" s="2"/>
      <c r="P801" s="2"/>
      <c r="Q801" s="28">
        <f t="shared" si="88"/>
        <v>15.254237288135593</v>
      </c>
    </row>
    <row r="802" spans="1:17" hidden="1" x14ac:dyDescent="0.25">
      <c r="A802" s="16">
        <v>45792</v>
      </c>
      <c r="B802" s="2" t="s">
        <v>139</v>
      </c>
      <c r="C802" s="2">
        <v>1400</v>
      </c>
      <c r="D802" s="11">
        <v>0.21</v>
      </c>
      <c r="E802" s="2">
        <f t="shared" si="85"/>
        <v>1.4</v>
      </c>
      <c r="F802" s="10">
        <v>0.02</v>
      </c>
      <c r="G802" s="10">
        <v>7.0000000000000007E-2</v>
      </c>
      <c r="H802" s="12">
        <f t="shared" si="86"/>
        <v>0.31290000000000001</v>
      </c>
      <c r="I802" s="12">
        <f t="shared" si="87"/>
        <v>1.8028999999999999</v>
      </c>
      <c r="J802" s="2"/>
      <c r="K802" s="2">
        <f>I802*350</f>
        <v>631.01499999999999</v>
      </c>
      <c r="L802" s="2"/>
      <c r="M802" s="2"/>
      <c r="N802" s="2">
        <f t="shared" si="84"/>
        <v>1802.8999999999999</v>
      </c>
      <c r="O802" s="2"/>
      <c r="P802" s="2"/>
      <c r="Q802" s="28">
        <f t="shared" si="88"/>
        <v>17.355371900826448</v>
      </c>
    </row>
    <row r="803" spans="1:17" hidden="1" x14ac:dyDescent="0.25">
      <c r="A803" s="16">
        <v>45792</v>
      </c>
      <c r="B803" s="2" t="s">
        <v>96</v>
      </c>
      <c r="C803" s="2">
        <v>1700</v>
      </c>
      <c r="D803" s="11">
        <v>0.23</v>
      </c>
      <c r="E803" s="2">
        <f t="shared" si="85"/>
        <v>1.7</v>
      </c>
      <c r="F803" s="10">
        <v>0.02</v>
      </c>
      <c r="G803" s="10">
        <v>7.0000000000000007E-2</v>
      </c>
      <c r="H803" s="12">
        <f t="shared" si="86"/>
        <v>0.41170000000000001</v>
      </c>
      <c r="I803" s="12">
        <f t="shared" si="87"/>
        <v>2.2017000000000002</v>
      </c>
      <c r="J803" s="2"/>
      <c r="K803" s="2"/>
      <c r="L803" s="2">
        <f>I803*500</f>
        <v>1100.8500000000001</v>
      </c>
      <c r="M803" s="2"/>
      <c r="N803" s="2">
        <f t="shared" si="84"/>
        <v>2201.7000000000003</v>
      </c>
      <c r="O803" s="2"/>
      <c r="P803" s="2"/>
      <c r="Q803" s="28">
        <f t="shared" si="88"/>
        <v>18.699186991869919</v>
      </c>
    </row>
    <row r="804" spans="1:17" hidden="1" x14ac:dyDescent="0.25">
      <c r="A804" s="16">
        <v>45793</v>
      </c>
      <c r="B804" s="2" t="s">
        <v>122</v>
      </c>
      <c r="C804" s="2">
        <v>800</v>
      </c>
      <c r="D804" s="11">
        <v>0.15</v>
      </c>
      <c r="E804" s="2">
        <f t="shared" si="85"/>
        <v>0.8</v>
      </c>
      <c r="F804" s="10">
        <v>0.02</v>
      </c>
      <c r="G804" s="10">
        <v>7.0000000000000007E-2</v>
      </c>
      <c r="H804" s="12">
        <f t="shared" si="86"/>
        <v>0.13350000000000001</v>
      </c>
      <c r="I804" s="12">
        <f t="shared" si="87"/>
        <v>1.0235000000000001</v>
      </c>
      <c r="J804" s="2"/>
      <c r="K804" s="2"/>
      <c r="L804" s="2">
        <f>I804*500</f>
        <v>511.75000000000006</v>
      </c>
      <c r="M804" s="2"/>
      <c r="N804" s="2">
        <f t="shared" si="84"/>
        <v>1023.5000000000001</v>
      </c>
      <c r="O804" s="2"/>
      <c r="P804" s="2"/>
      <c r="Q804" s="28">
        <f t="shared" si="88"/>
        <v>13.043478260869565</v>
      </c>
    </row>
    <row r="805" spans="1:17" hidden="1" x14ac:dyDescent="0.25">
      <c r="A805" s="16">
        <v>45793</v>
      </c>
      <c r="B805" s="2" t="s">
        <v>175</v>
      </c>
      <c r="C805" s="2">
        <v>950</v>
      </c>
      <c r="D805" s="11">
        <v>0.1</v>
      </c>
      <c r="E805" s="2">
        <f t="shared" si="85"/>
        <v>0.95</v>
      </c>
      <c r="F805" s="10">
        <v>0.02</v>
      </c>
      <c r="G805" s="10">
        <v>7.0000000000000007E-2</v>
      </c>
      <c r="H805" s="12">
        <f t="shared" si="86"/>
        <v>0.10400000000000001</v>
      </c>
      <c r="I805" s="12">
        <f t="shared" si="87"/>
        <v>1.1440000000000001</v>
      </c>
      <c r="J805" s="2"/>
      <c r="K805" s="2"/>
      <c r="L805" s="2"/>
      <c r="M805" s="2"/>
      <c r="N805" s="2">
        <f t="shared" si="84"/>
        <v>1144.0000000000002</v>
      </c>
      <c r="O805" s="2">
        <f>I805*1350</f>
        <v>1544.4</v>
      </c>
      <c r="P805" s="2"/>
      <c r="Q805" s="28">
        <f t="shared" si="88"/>
        <v>9.0909090909090917</v>
      </c>
    </row>
    <row r="806" spans="1:17" x14ac:dyDescent="0.25">
      <c r="A806" s="16">
        <v>45797</v>
      </c>
      <c r="B806" s="2" t="s">
        <v>200</v>
      </c>
      <c r="C806" s="2">
        <v>900</v>
      </c>
      <c r="D806" s="11">
        <v>0.10299999999999999</v>
      </c>
      <c r="E806" s="2">
        <f t="shared" si="85"/>
        <v>0.9</v>
      </c>
      <c r="F806" s="10">
        <v>0.02</v>
      </c>
      <c r="G806" s="10">
        <v>7.0000000000000007E-2</v>
      </c>
      <c r="H806" s="12">
        <f t="shared" si="86"/>
        <v>0.10196999999999999</v>
      </c>
      <c r="I806" s="12">
        <f t="shared" si="87"/>
        <v>1.0919699999999999</v>
      </c>
      <c r="J806" s="2"/>
      <c r="K806" s="2"/>
      <c r="L806" s="2">
        <f>I806*500</f>
        <v>545.9849999999999</v>
      </c>
      <c r="M806" s="2"/>
      <c r="N806" s="2">
        <f t="shared" si="84"/>
        <v>1091.9699999999998</v>
      </c>
      <c r="O806" s="2"/>
      <c r="P806" s="2"/>
      <c r="Q806" s="28">
        <f t="shared" si="88"/>
        <v>9.3381686310063454</v>
      </c>
    </row>
    <row r="807" spans="1:17" hidden="1" x14ac:dyDescent="0.25">
      <c r="A807" s="16">
        <v>45797</v>
      </c>
      <c r="B807" s="2" t="s">
        <v>85</v>
      </c>
      <c r="C807" s="2">
        <v>1080</v>
      </c>
      <c r="D807" s="11">
        <v>0.154</v>
      </c>
      <c r="E807" s="2">
        <f t="shared" si="85"/>
        <v>1.08</v>
      </c>
      <c r="F807" s="10">
        <v>0.02</v>
      </c>
      <c r="G807" s="10">
        <v>7.0000000000000007E-2</v>
      </c>
      <c r="H807" s="12">
        <f t="shared" si="86"/>
        <v>0.18018000000000003</v>
      </c>
      <c r="I807" s="12">
        <f t="shared" si="87"/>
        <v>1.3501800000000002</v>
      </c>
      <c r="J807" s="2"/>
      <c r="K807" s="2">
        <f>I807*300</f>
        <v>405.05400000000003</v>
      </c>
      <c r="L807" s="2"/>
      <c r="M807" s="2"/>
      <c r="N807" s="2">
        <f t="shared" si="84"/>
        <v>1350.18</v>
      </c>
      <c r="O807" s="2"/>
      <c r="P807" s="2"/>
      <c r="Q807" s="28">
        <f t="shared" si="88"/>
        <v>13.344887348353554</v>
      </c>
    </row>
    <row r="808" spans="1:17" hidden="1" x14ac:dyDescent="0.25">
      <c r="A808" s="16">
        <v>45797</v>
      </c>
      <c r="B808" s="2" t="s">
        <v>96</v>
      </c>
      <c r="C808" s="2">
        <v>1700</v>
      </c>
      <c r="D808" s="11">
        <v>0.16800000000000001</v>
      </c>
      <c r="E808" s="2">
        <f t="shared" si="85"/>
        <v>1.7</v>
      </c>
      <c r="F808" s="10">
        <v>0.02</v>
      </c>
      <c r="G808" s="10">
        <v>7.0000000000000007E-2</v>
      </c>
      <c r="H808" s="12">
        <f t="shared" si="86"/>
        <v>0.30072000000000004</v>
      </c>
      <c r="I808" s="12">
        <f t="shared" si="87"/>
        <v>2.0907200000000001</v>
      </c>
      <c r="J808" s="2"/>
      <c r="K808" s="2"/>
      <c r="L808" s="2">
        <f>I808*500</f>
        <v>1045.3600000000001</v>
      </c>
      <c r="M808" s="2"/>
      <c r="N808" s="2">
        <f t="shared" si="84"/>
        <v>2090.7200000000003</v>
      </c>
      <c r="O808" s="2"/>
      <c r="P808" s="2"/>
      <c r="Q808" s="28">
        <f t="shared" si="88"/>
        <v>14.383561643835618</v>
      </c>
    </row>
    <row r="809" spans="1:17" x14ac:dyDescent="0.25">
      <c r="A809" s="16">
        <v>45799</v>
      </c>
      <c r="B809" s="2" t="s">
        <v>200</v>
      </c>
      <c r="C809" s="2">
        <v>1000</v>
      </c>
      <c r="D809" s="11">
        <v>0</v>
      </c>
      <c r="E809" s="2">
        <f t="shared" si="85"/>
        <v>1</v>
      </c>
      <c r="F809" s="10">
        <v>0.02</v>
      </c>
      <c r="G809" s="10">
        <v>7.0000000000000007E-2</v>
      </c>
      <c r="H809" s="12">
        <f t="shared" si="86"/>
        <v>0</v>
      </c>
      <c r="I809" s="12">
        <f t="shared" si="87"/>
        <v>1.0900000000000001</v>
      </c>
      <c r="J809" s="2"/>
      <c r="K809" s="2"/>
      <c r="L809" s="2">
        <f>I809*500</f>
        <v>545</v>
      </c>
      <c r="M809" s="2">
        <f>I809*750</f>
        <v>817.50000000000011</v>
      </c>
      <c r="N809" s="2">
        <f t="shared" si="84"/>
        <v>1090</v>
      </c>
      <c r="O809" s="2"/>
      <c r="P809" s="2"/>
      <c r="Q809" s="28">
        <f t="shared" si="88"/>
        <v>0</v>
      </c>
    </row>
    <row r="810" spans="1:17" hidden="1" x14ac:dyDescent="0.25">
      <c r="A810" s="16">
        <v>45799</v>
      </c>
      <c r="B810" s="2" t="s">
        <v>96</v>
      </c>
      <c r="C810" s="2">
        <v>1650</v>
      </c>
      <c r="D810" s="11">
        <v>0.20200000000000001</v>
      </c>
      <c r="E810" s="2">
        <f t="shared" si="85"/>
        <v>1.65</v>
      </c>
      <c r="F810" s="10">
        <v>0.02</v>
      </c>
      <c r="G810" s="10">
        <v>7.0000000000000007E-2</v>
      </c>
      <c r="H810" s="12">
        <f t="shared" si="86"/>
        <v>0.35148000000000001</v>
      </c>
      <c r="I810" s="12">
        <f t="shared" si="87"/>
        <v>2.0914799999999998</v>
      </c>
      <c r="J810" s="2"/>
      <c r="K810" s="2"/>
      <c r="L810" s="2">
        <f>I810*500</f>
        <v>1045.7399999999998</v>
      </c>
      <c r="M810" s="2"/>
      <c r="N810" s="2">
        <f t="shared" si="84"/>
        <v>2091.4799999999996</v>
      </c>
      <c r="O810" s="2"/>
      <c r="P810" s="2"/>
      <c r="Q810" s="28">
        <f t="shared" si="88"/>
        <v>16.805324459234612</v>
      </c>
    </row>
    <row r="811" spans="1:17" hidden="1" x14ac:dyDescent="0.25">
      <c r="A811" s="16">
        <v>45799</v>
      </c>
      <c r="B811" s="2" t="s">
        <v>161</v>
      </c>
      <c r="C811" s="2">
        <v>1650</v>
      </c>
      <c r="D811" s="11">
        <v>0.187</v>
      </c>
      <c r="E811" s="2">
        <f t="shared" si="85"/>
        <v>1.65</v>
      </c>
      <c r="F811" s="10">
        <v>0.02</v>
      </c>
      <c r="G811" s="10">
        <v>7.0000000000000007E-2</v>
      </c>
      <c r="H811" s="12">
        <f t="shared" si="86"/>
        <v>0.32538</v>
      </c>
      <c r="I811" s="12">
        <f t="shared" si="87"/>
        <v>2.0653800000000002</v>
      </c>
      <c r="J811" s="2"/>
      <c r="K811" s="2"/>
      <c r="L811" s="2">
        <f>I811*500</f>
        <v>1032.69</v>
      </c>
      <c r="M811" s="2">
        <f>I811*700</f>
        <v>1445.7660000000001</v>
      </c>
      <c r="N811" s="2">
        <f t="shared" si="84"/>
        <v>2065.38</v>
      </c>
      <c r="O811" s="2"/>
      <c r="P811" s="2"/>
      <c r="Q811" s="28">
        <f t="shared" si="88"/>
        <v>15.754001684919963</v>
      </c>
    </row>
    <row r="812" spans="1:17" x14ac:dyDescent="0.25">
      <c r="A812" s="16">
        <v>45802</v>
      </c>
      <c r="B812" s="2" t="s">
        <v>119</v>
      </c>
      <c r="C812" s="2">
        <v>1000</v>
      </c>
      <c r="D812" s="11">
        <v>9.5000000000000001E-2</v>
      </c>
      <c r="E812" s="2">
        <f t="shared" si="85"/>
        <v>1</v>
      </c>
      <c r="F812" s="10">
        <v>0.02</v>
      </c>
      <c r="G812" s="10">
        <v>7.0000000000000007E-2</v>
      </c>
      <c r="H812" s="12">
        <f t="shared" si="86"/>
        <v>0.10355</v>
      </c>
      <c r="I812" s="12">
        <f t="shared" si="87"/>
        <v>1.1935500000000001</v>
      </c>
      <c r="J812" s="2"/>
      <c r="K812" s="2"/>
      <c r="L812" s="2">
        <f>I812*500</f>
        <v>596.77500000000009</v>
      </c>
      <c r="M812" s="2">
        <f>I812*750</f>
        <v>895.16250000000014</v>
      </c>
      <c r="N812" s="2">
        <f t="shared" si="84"/>
        <v>1193.5500000000002</v>
      </c>
      <c r="O812" s="2"/>
      <c r="P812" s="2"/>
      <c r="Q812" s="28">
        <f t="shared" si="88"/>
        <v>8.6757990867579906</v>
      </c>
    </row>
    <row r="813" spans="1:17" hidden="1" x14ac:dyDescent="0.25">
      <c r="A813" s="16">
        <v>45804</v>
      </c>
      <c r="B813" s="2" t="s">
        <v>131</v>
      </c>
      <c r="C813" s="2">
        <v>1650</v>
      </c>
      <c r="D813" s="39">
        <v>0.14199999999999999</v>
      </c>
      <c r="E813" s="2">
        <f t="shared" si="85"/>
        <v>1.65</v>
      </c>
      <c r="F813" s="41">
        <v>0.02</v>
      </c>
      <c r="G813" s="41">
        <v>7.0000000000000007E-2</v>
      </c>
      <c r="H813" s="42">
        <f t="shared" si="86"/>
        <v>0.24707999999999997</v>
      </c>
      <c r="I813" s="42">
        <f t="shared" si="87"/>
        <v>1.98708</v>
      </c>
      <c r="J813" s="2"/>
      <c r="K813" s="2">
        <f>I813*350</f>
        <v>695.47799999999995</v>
      </c>
      <c r="L813" s="2"/>
      <c r="M813" s="2"/>
      <c r="N813" s="40">
        <f t="shared" si="84"/>
        <v>1987.08</v>
      </c>
      <c r="O813" s="2"/>
      <c r="P813" s="2"/>
      <c r="Q813" s="28">
        <f t="shared" si="88"/>
        <v>12.434325744308229</v>
      </c>
    </row>
    <row r="814" spans="1:17" hidden="1" x14ac:dyDescent="0.25">
      <c r="A814" s="16">
        <v>45804</v>
      </c>
      <c r="B814" s="2" t="s">
        <v>139</v>
      </c>
      <c r="C814" s="2">
        <v>1650</v>
      </c>
      <c r="D814" s="39">
        <v>0.14199999999999999</v>
      </c>
      <c r="E814" s="2">
        <f t="shared" si="85"/>
        <v>1.65</v>
      </c>
      <c r="F814" s="41">
        <v>0.02</v>
      </c>
      <c r="G814" s="41">
        <v>7.0000000000000007E-2</v>
      </c>
      <c r="H814" s="42">
        <f t="shared" si="86"/>
        <v>0.24707999999999997</v>
      </c>
      <c r="I814" s="42">
        <f t="shared" si="87"/>
        <v>1.98708</v>
      </c>
      <c r="J814" s="2"/>
      <c r="K814" s="2">
        <f>I814*350</f>
        <v>695.47799999999995</v>
      </c>
      <c r="L814" s="2"/>
      <c r="M814" s="56"/>
      <c r="N814" s="40">
        <f t="shared" si="84"/>
        <v>1987.08</v>
      </c>
      <c r="O814" s="2"/>
      <c r="P814" s="2"/>
      <c r="Q814" s="43">
        <f t="shared" si="88"/>
        <v>12.434325744308229</v>
      </c>
    </row>
    <row r="815" spans="1:17" hidden="1" x14ac:dyDescent="0.25">
      <c r="A815" s="16">
        <v>45804</v>
      </c>
      <c r="B815" s="2" t="s">
        <v>86</v>
      </c>
      <c r="C815" s="2">
        <v>1650</v>
      </c>
      <c r="D815" s="39">
        <v>9.4E-2</v>
      </c>
      <c r="E815" s="2">
        <f t="shared" ref="E815:E842" si="89">C815/1000</f>
        <v>1.65</v>
      </c>
      <c r="F815" s="41">
        <v>0.02</v>
      </c>
      <c r="G815" s="41">
        <v>7.0000000000000007E-2</v>
      </c>
      <c r="H815" s="42">
        <f t="shared" ref="H815:H842" si="90">SUM(E815:G815)*D815</f>
        <v>0.16356000000000001</v>
      </c>
      <c r="I815" s="42">
        <f t="shared" ref="I815:I842" si="91">SUM(E815:H815)</f>
        <v>1.9035599999999999</v>
      </c>
      <c r="J815" s="2">
        <f>I815*250</f>
        <v>475.89</v>
      </c>
      <c r="K815" s="2"/>
      <c r="L815" s="2"/>
      <c r="M815" s="56"/>
      <c r="N815" s="40">
        <f t="shared" si="84"/>
        <v>1903.56</v>
      </c>
      <c r="O815" s="2"/>
      <c r="P815" s="2"/>
      <c r="Q815" s="43">
        <f t="shared" ref="Q815:Q842" si="92">H815/I815%</f>
        <v>8.5923217550274238</v>
      </c>
    </row>
    <row r="816" spans="1:17" x14ac:dyDescent="0.25">
      <c r="A816" s="16">
        <v>45806</v>
      </c>
      <c r="B816" s="2" t="s">
        <v>136</v>
      </c>
      <c r="C816" s="2">
        <v>1000</v>
      </c>
      <c r="D816" s="39">
        <v>5.0999999999999997E-2</v>
      </c>
      <c r="E816" s="2">
        <f t="shared" si="89"/>
        <v>1</v>
      </c>
      <c r="F816" s="41">
        <v>0.02</v>
      </c>
      <c r="G816" s="41">
        <v>7.0000000000000007E-2</v>
      </c>
      <c r="H816" s="42">
        <f t="shared" si="90"/>
        <v>5.5590000000000001E-2</v>
      </c>
      <c r="I816" s="42">
        <f t="shared" si="91"/>
        <v>1.1455900000000001</v>
      </c>
      <c r="J816" s="2"/>
      <c r="K816" s="2"/>
      <c r="L816" s="2"/>
      <c r="M816" s="2"/>
      <c r="N816" s="40">
        <f t="shared" si="84"/>
        <v>1145.5900000000001</v>
      </c>
      <c r="O816" s="2"/>
      <c r="P816" s="2"/>
      <c r="Q816" s="43">
        <f t="shared" si="92"/>
        <v>4.8525214081826826</v>
      </c>
    </row>
    <row r="817" spans="1:17" x14ac:dyDescent="0.25">
      <c r="A817" s="16">
        <v>45806</v>
      </c>
      <c r="B817" s="40" t="s">
        <v>119</v>
      </c>
      <c r="C817" s="40">
        <v>1000</v>
      </c>
      <c r="D817" s="39">
        <v>9.5000000000000001E-2</v>
      </c>
      <c r="E817" s="40">
        <f t="shared" si="89"/>
        <v>1</v>
      </c>
      <c r="F817" s="41">
        <v>0.02</v>
      </c>
      <c r="G817" s="41">
        <v>7.0000000000000007E-2</v>
      </c>
      <c r="H817" s="42">
        <f t="shared" si="90"/>
        <v>0.10355</v>
      </c>
      <c r="I817" s="42">
        <f t="shared" si="91"/>
        <v>1.1935500000000001</v>
      </c>
      <c r="J817" s="40"/>
      <c r="K817" s="40"/>
      <c r="L817" s="40"/>
      <c r="M817" s="40">
        <f>I817*750</f>
        <v>895.16250000000014</v>
      </c>
      <c r="N817" s="40">
        <f t="shared" si="84"/>
        <v>1193.5500000000002</v>
      </c>
      <c r="O817" s="40"/>
      <c r="P817" s="40"/>
      <c r="Q817" s="43">
        <f t="shared" si="92"/>
        <v>8.6757990867579906</v>
      </c>
    </row>
    <row r="818" spans="1:17" x14ac:dyDescent="0.25">
      <c r="A818" s="16">
        <v>45806</v>
      </c>
      <c r="B818" s="2" t="s">
        <v>200</v>
      </c>
      <c r="C818" s="40">
        <v>1000</v>
      </c>
      <c r="D818" s="39">
        <v>9.1999999999999998E-2</v>
      </c>
      <c r="E818" s="40">
        <f t="shared" si="89"/>
        <v>1</v>
      </c>
      <c r="F818" s="41">
        <v>0.02</v>
      </c>
      <c r="G818" s="41">
        <v>7.0000000000000007E-2</v>
      </c>
      <c r="H818" s="42">
        <f t="shared" si="90"/>
        <v>0.10028000000000001</v>
      </c>
      <c r="I818" s="42">
        <f t="shared" si="91"/>
        <v>1.19028</v>
      </c>
      <c r="J818" s="2"/>
      <c r="K818" s="2"/>
      <c r="L818" s="2">
        <f>I818*500</f>
        <v>595.14</v>
      </c>
      <c r="M818" s="2"/>
      <c r="N818" s="40">
        <f t="shared" si="84"/>
        <v>1190.28</v>
      </c>
      <c r="O818" s="2"/>
      <c r="P818" s="2"/>
      <c r="Q818" s="43">
        <f t="shared" si="92"/>
        <v>8.4249084249084252</v>
      </c>
    </row>
    <row r="819" spans="1:17" hidden="1" x14ac:dyDescent="0.25">
      <c r="A819" s="16">
        <v>45806</v>
      </c>
      <c r="B819" s="2" t="s">
        <v>141</v>
      </c>
      <c r="C819" s="40">
        <v>950</v>
      </c>
      <c r="D819" s="39">
        <v>0.10100000000000001</v>
      </c>
      <c r="E819" s="40">
        <f t="shared" si="89"/>
        <v>0.95</v>
      </c>
      <c r="F819" s="41">
        <v>0.02</v>
      </c>
      <c r="G819" s="41">
        <v>7.0000000000000007E-2</v>
      </c>
      <c r="H819" s="42">
        <f t="shared" si="90"/>
        <v>0.10504000000000001</v>
      </c>
      <c r="I819" s="42">
        <f t="shared" si="91"/>
        <v>1.1450400000000001</v>
      </c>
      <c r="J819" s="2"/>
      <c r="K819" s="2"/>
      <c r="L819" s="2"/>
      <c r="M819" s="2"/>
      <c r="N819" s="40">
        <f t="shared" si="84"/>
        <v>1145.04</v>
      </c>
      <c r="O819" s="2"/>
      <c r="P819" s="2"/>
      <c r="Q819" s="43">
        <f t="shared" si="92"/>
        <v>9.1734786557674841</v>
      </c>
    </row>
    <row r="820" spans="1:17" hidden="1" x14ac:dyDescent="0.25">
      <c r="A820" s="16">
        <v>45806</v>
      </c>
      <c r="B820" s="2" t="s">
        <v>164</v>
      </c>
      <c r="C820" s="40">
        <v>950</v>
      </c>
      <c r="D820" s="39">
        <v>0.14799999999999999</v>
      </c>
      <c r="E820" s="40">
        <f t="shared" si="89"/>
        <v>0.95</v>
      </c>
      <c r="F820" s="41">
        <v>0.02</v>
      </c>
      <c r="G820" s="41">
        <v>7.0000000000000007E-2</v>
      </c>
      <c r="H820" s="42">
        <f t="shared" si="90"/>
        <v>0.15392</v>
      </c>
      <c r="I820" s="42">
        <f t="shared" si="91"/>
        <v>1.1939200000000001</v>
      </c>
      <c r="J820" s="2"/>
      <c r="K820" s="2"/>
      <c r="L820" s="2"/>
      <c r="M820" s="56">
        <f>I820*750</f>
        <v>895.44</v>
      </c>
      <c r="N820" s="40">
        <f t="shared" si="84"/>
        <v>1193.92</v>
      </c>
      <c r="O820" s="2"/>
      <c r="P820" s="2"/>
      <c r="Q820" s="43">
        <f t="shared" si="92"/>
        <v>12.89198606271777</v>
      </c>
    </row>
    <row r="821" spans="1:17" hidden="1" x14ac:dyDescent="0.25">
      <c r="A821" s="16">
        <v>45806</v>
      </c>
      <c r="B821" s="2" t="s">
        <v>171</v>
      </c>
      <c r="C821" s="40">
        <v>950</v>
      </c>
      <c r="D821" s="39">
        <v>0.14499999999999999</v>
      </c>
      <c r="E821" s="40">
        <f t="shared" si="89"/>
        <v>0.95</v>
      </c>
      <c r="F821" s="41">
        <v>0.02</v>
      </c>
      <c r="G821" s="41">
        <v>7.0000000000000007E-2</v>
      </c>
      <c r="H821" s="42">
        <f t="shared" si="90"/>
        <v>0.15079999999999999</v>
      </c>
      <c r="I821" s="42">
        <f t="shared" si="91"/>
        <v>1.1908000000000001</v>
      </c>
      <c r="J821" s="2"/>
      <c r="K821" s="2"/>
      <c r="L821" s="2">
        <f>I821*500</f>
        <v>595.40000000000009</v>
      </c>
      <c r="M821" s="2"/>
      <c r="N821" s="40">
        <f t="shared" si="84"/>
        <v>1190.8000000000002</v>
      </c>
      <c r="O821" s="2"/>
      <c r="P821" s="2"/>
      <c r="Q821" s="43">
        <f t="shared" si="92"/>
        <v>12.663755458515283</v>
      </c>
    </row>
    <row r="822" spans="1:17" hidden="1" x14ac:dyDescent="0.25">
      <c r="A822" s="16">
        <v>45806</v>
      </c>
      <c r="B822" s="2" t="s">
        <v>88</v>
      </c>
      <c r="C822" s="40">
        <v>530</v>
      </c>
      <c r="D822" s="39">
        <v>0.28299999999999997</v>
      </c>
      <c r="E822" s="40">
        <f t="shared" si="89"/>
        <v>0.53</v>
      </c>
      <c r="F822" s="41">
        <v>0.02</v>
      </c>
      <c r="G822" s="41">
        <v>7.0000000000000007E-2</v>
      </c>
      <c r="H822" s="42">
        <f t="shared" si="90"/>
        <v>0.17546</v>
      </c>
      <c r="I822" s="42">
        <f t="shared" si="91"/>
        <v>0.79546000000000006</v>
      </c>
      <c r="J822" s="2"/>
      <c r="K822" s="2"/>
      <c r="L822" s="2"/>
      <c r="M822" s="2"/>
      <c r="N822" s="40">
        <f t="shared" si="84"/>
        <v>795.46</v>
      </c>
      <c r="O822" s="2"/>
      <c r="P822" s="2"/>
      <c r="Q822" s="43">
        <f t="shared" si="92"/>
        <v>22.057677318784098</v>
      </c>
    </row>
    <row r="823" spans="1:17" hidden="1" x14ac:dyDescent="0.25">
      <c r="A823" s="16">
        <v>45806</v>
      </c>
      <c r="B823" s="2" t="s">
        <v>89</v>
      </c>
      <c r="C823" s="40">
        <v>530</v>
      </c>
      <c r="D823" s="39">
        <v>0.28000000000000003</v>
      </c>
      <c r="E823" s="40">
        <f t="shared" si="89"/>
        <v>0.53</v>
      </c>
      <c r="F823" s="41">
        <v>0.02</v>
      </c>
      <c r="G823" s="41">
        <v>7.0000000000000007E-2</v>
      </c>
      <c r="H823" s="42">
        <f t="shared" si="90"/>
        <v>0.17360000000000006</v>
      </c>
      <c r="I823" s="42">
        <f t="shared" si="91"/>
        <v>0.79360000000000019</v>
      </c>
      <c r="J823" s="2"/>
      <c r="K823" s="2"/>
      <c r="L823" s="2"/>
      <c r="M823" s="2">
        <f>I823*750</f>
        <v>595.20000000000016</v>
      </c>
      <c r="N823" s="40">
        <f t="shared" si="84"/>
        <v>793.60000000000025</v>
      </c>
      <c r="O823" s="2"/>
      <c r="P823" s="2"/>
      <c r="Q823" s="43">
        <f t="shared" si="92"/>
        <v>21.875000000000004</v>
      </c>
    </row>
    <row r="824" spans="1:17" x14ac:dyDescent="0.25">
      <c r="A824" s="16">
        <v>45811</v>
      </c>
      <c r="B824" s="2" t="s">
        <v>136</v>
      </c>
      <c r="C824" s="40">
        <v>1000</v>
      </c>
      <c r="D824" s="39">
        <v>9.2999999999999999E-2</v>
      </c>
      <c r="E824" s="40">
        <f t="shared" si="89"/>
        <v>1</v>
      </c>
      <c r="F824" s="41">
        <v>0.02</v>
      </c>
      <c r="G824" s="41">
        <v>7.0000000000000007E-2</v>
      </c>
      <c r="H824" s="42">
        <f t="shared" si="90"/>
        <v>0.10137</v>
      </c>
      <c r="I824" s="42">
        <f t="shared" si="91"/>
        <v>1.19137</v>
      </c>
      <c r="J824" s="2"/>
      <c r="K824" s="2"/>
      <c r="L824" s="2"/>
      <c r="M824" s="2"/>
      <c r="N824" s="40"/>
      <c r="O824" s="2"/>
      <c r="P824" s="2"/>
      <c r="Q824" s="43">
        <f t="shared" si="92"/>
        <v>8.508691674290942</v>
      </c>
    </row>
    <row r="825" spans="1:17" x14ac:dyDescent="0.25">
      <c r="A825" s="16">
        <v>45811</v>
      </c>
      <c r="B825" s="2" t="s">
        <v>200</v>
      </c>
      <c r="C825" s="40">
        <v>1000</v>
      </c>
      <c r="D825" s="39">
        <v>0.1</v>
      </c>
      <c r="E825" s="40">
        <f t="shared" si="89"/>
        <v>1</v>
      </c>
      <c r="F825" s="41">
        <v>0.02</v>
      </c>
      <c r="G825" s="41">
        <v>7.0000000000000007E-2</v>
      </c>
      <c r="H825" s="42">
        <f t="shared" si="90"/>
        <v>0.10900000000000001</v>
      </c>
      <c r="I825" s="42">
        <f t="shared" si="91"/>
        <v>1.1990000000000001</v>
      </c>
      <c r="J825" s="2"/>
      <c r="K825" s="2"/>
      <c r="L825" s="2">
        <f>I825*500</f>
        <v>599.5</v>
      </c>
      <c r="M825" s="2">
        <f>I825*750</f>
        <v>899.25</v>
      </c>
      <c r="N825" s="40">
        <f t="shared" ref="N825:N835" si="93">I825*1000</f>
        <v>1199</v>
      </c>
      <c r="O825" s="2"/>
      <c r="P825" s="2"/>
      <c r="Q825" s="43">
        <f t="shared" si="92"/>
        <v>9.0909090909090917</v>
      </c>
    </row>
    <row r="826" spans="1:17" hidden="1" x14ac:dyDescent="0.25">
      <c r="A826" s="45">
        <v>45811</v>
      </c>
      <c r="B826" s="40" t="s">
        <v>84</v>
      </c>
      <c r="C826" s="40"/>
      <c r="D826" s="39">
        <v>0</v>
      </c>
      <c r="E826" s="40">
        <f t="shared" si="89"/>
        <v>0</v>
      </c>
      <c r="F826" s="41">
        <v>0.02</v>
      </c>
      <c r="G826" s="41">
        <v>7.0000000000000007E-2</v>
      </c>
      <c r="H826" s="42">
        <f t="shared" si="90"/>
        <v>0</v>
      </c>
      <c r="I826" s="42">
        <f t="shared" si="91"/>
        <v>9.0000000000000011E-2</v>
      </c>
      <c r="J826" s="40"/>
      <c r="K826" s="40"/>
      <c r="L826" s="40">
        <f>I826*500</f>
        <v>45.000000000000007</v>
      </c>
      <c r="M826" s="40"/>
      <c r="N826" s="40">
        <f t="shared" si="93"/>
        <v>90.000000000000014</v>
      </c>
      <c r="O826" s="40"/>
      <c r="P826" s="40"/>
      <c r="Q826" s="43">
        <f t="shared" si="92"/>
        <v>0</v>
      </c>
    </row>
    <row r="827" spans="1:17" hidden="1" x14ac:dyDescent="0.25">
      <c r="A827" s="16">
        <v>45811</v>
      </c>
      <c r="B827" s="2" t="s">
        <v>163</v>
      </c>
      <c r="C827" s="2"/>
      <c r="D827" s="39">
        <v>0</v>
      </c>
      <c r="E827" s="2">
        <f t="shared" si="89"/>
        <v>0</v>
      </c>
      <c r="F827" s="41">
        <v>0.02</v>
      </c>
      <c r="G827" s="41">
        <v>7.0000000000000007E-2</v>
      </c>
      <c r="H827" s="42">
        <f t="shared" si="90"/>
        <v>0</v>
      </c>
      <c r="I827" s="42">
        <f t="shared" si="91"/>
        <v>9.0000000000000011E-2</v>
      </c>
      <c r="J827" s="2"/>
      <c r="K827" s="2"/>
      <c r="L827" s="2">
        <f>I827*500</f>
        <v>45.000000000000007</v>
      </c>
      <c r="M827" s="2"/>
      <c r="N827" s="40">
        <f t="shared" si="93"/>
        <v>90.000000000000014</v>
      </c>
      <c r="O827" s="2"/>
      <c r="P827" s="2"/>
      <c r="Q827" s="43">
        <f t="shared" si="92"/>
        <v>0</v>
      </c>
    </row>
    <row r="828" spans="1:17" hidden="1" x14ac:dyDescent="0.25">
      <c r="A828" s="16">
        <v>45811</v>
      </c>
      <c r="B828" s="2" t="s">
        <v>99</v>
      </c>
      <c r="C828" s="2">
        <v>580</v>
      </c>
      <c r="D828" s="39">
        <v>0.18</v>
      </c>
      <c r="E828" s="2">
        <f t="shared" si="89"/>
        <v>0.57999999999999996</v>
      </c>
      <c r="F828" s="41">
        <v>0.02</v>
      </c>
      <c r="G828" s="41">
        <v>7.0000000000000007E-2</v>
      </c>
      <c r="H828" s="42">
        <f t="shared" si="90"/>
        <v>0.12059999999999998</v>
      </c>
      <c r="I828" s="42">
        <f t="shared" si="91"/>
        <v>0.79059999999999997</v>
      </c>
      <c r="J828" s="2"/>
      <c r="K828" s="2"/>
      <c r="L828" s="2">
        <f>I828*500</f>
        <v>395.3</v>
      </c>
      <c r="M828" s="2"/>
      <c r="N828" s="40">
        <f t="shared" si="93"/>
        <v>790.6</v>
      </c>
      <c r="O828" s="2"/>
      <c r="P828" s="2"/>
      <c r="Q828" s="43">
        <f t="shared" si="92"/>
        <v>15.254237288135592</v>
      </c>
    </row>
    <row r="829" spans="1:17" hidden="1" x14ac:dyDescent="0.25">
      <c r="A829" s="16">
        <v>45811</v>
      </c>
      <c r="B829" s="2" t="s">
        <v>85</v>
      </c>
      <c r="C829" s="2">
        <v>1080</v>
      </c>
      <c r="D829" s="39">
        <v>0.154</v>
      </c>
      <c r="E829" s="2">
        <f t="shared" si="89"/>
        <v>1.08</v>
      </c>
      <c r="F829" s="41">
        <v>0.02</v>
      </c>
      <c r="G829" s="41">
        <v>7.0000000000000007E-2</v>
      </c>
      <c r="H829" s="42">
        <f t="shared" si="90"/>
        <v>0.18018000000000003</v>
      </c>
      <c r="I829" s="42">
        <f t="shared" si="91"/>
        <v>1.3501800000000002</v>
      </c>
      <c r="J829" s="2"/>
      <c r="K829" s="2">
        <f>I829*300</f>
        <v>405.05400000000003</v>
      </c>
      <c r="L829" s="2"/>
      <c r="M829" s="2"/>
      <c r="N829" s="40">
        <f t="shared" si="93"/>
        <v>1350.18</v>
      </c>
      <c r="O829" s="2"/>
      <c r="P829" s="2"/>
      <c r="Q829" s="43">
        <f t="shared" si="92"/>
        <v>13.344887348353554</v>
      </c>
    </row>
    <row r="830" spans="1:17" hidden="1" x14ac:dyDescent="0.25">
      <c r="A830" s="16">
        <v>45813</v>
      </c>
      <c r="B830" s="2" t="s">
        <v>88</v>
      </c>
      <c r="C830" s="2">
        <v>580</v>
      </c>
      <c r="D830" s="39">
        <v>0.188</v>
      </c>
      <c r="E830" s="2">
        <f t="shared" si="89"/>
        <v>0.57999999999999996</v>
      </c>
      <c r="F830" s="41">
        <v>0.02</v>
      </c>
      <c r="G830" s="41">
        <v>7.0000000000000007E-2</v>
      </c>
      <c r="H830" s="42">
        <f t="shared" si="90"/>
        <v>0.12595999999999999</v>
      </c>
      <c r="I830" s="42">
        <f t="shared" si="91"/>
        <v>0.79595999999999989</v>
      </c>
      <c r="J830" s="2"/>
      <c r="K830" s="2"/>
      <c r="L830" s="2"/>
      <c r="M830" s="2"/>
      <c r="N830" s="40">
        <f t="shared" si="93"/>
        <v>795.95999999999992</v>
      </c>
      <c r="O830" s="2"/>
      <c r="P830" s="2"/>
      <c r="Q830" s="43">
        <f t="shared" si="92"/>
        <v>15.824915824915825</v>
      </c>
    </row>
    <row r="831" spans="1:17" hidden="1" x14ac:dyDescent="0.25">
      <c r="A831" s="16">
        <v>45813</v>
      </c>
      <c r="B831" s="2" t="s">
        <v>89</v>
      </c>
      <c r="C831" s="2">
        <v>580</v>
      </c>
      <c r="D831" s="39">
        <v>0.185</v>
      </c>
      <c r="E831" s="2">
        <f t="shared" si="89"/>
        <v>0.57999999999999996</v>
      </c>
      <c r="F831" s="41">
        <v>0.02</v>
      </c>
      <c r="G831" s="41">
        <v>7.0000000000000007E-2</v>
      </c>
      <c r="H831" s="42">
        <f t="shared" si="90"/>
        <v>0.12394999999999999</v>
      </c>
      <c r="I831" s="42">
        <f t="shared" si="91"/>
        <v>0.79394999999999993</v>
      </c>
      <c r="J831" s="2"/>
      <c r="K831" s="2"/>
      <c r="L831" s="2"/>
      <c r="M831" s="2">
        <f>I831*750</f>
        <v>595.46249999999998</v>
      </c>
      <c r="N831" s="40">
        <f t="shared" si="93"/>
        <v>793.94999999999993</v>
      </c>
      <c r="O831" s="2"/>
      <c r="P831" s="2"/>
      <c r="Q831" s="43">
        <f t="shared" si="92"/>
        <v>15.611814345991563</v>
      </c>
    </row>
    <row r="832" spans="1:17" hidden="1" x14ac:dyDescent="0.25">
      <c r="A832" s="16">
        <v>45813</v>
      </c>
      <c r="B832" s="2" t="s">
        <v>187</v>
      </c>
      <c r="C832" s="2">
        <v>150</v>
      </c>
      <c r="D832" s="39">
        <v>0.02</v>
      </c>
      <c r="E832" s="2">
        <f t="shared" si="89"/>
        <v>0.15</v>
      </c>
      <c r="F832" s="10">
        <v>0.02</v>
      </c>
      <c r="G832" s="10">
        <v>7.0000000000000007E-2</v>
      </c>
      <c r="H832" s="12">
        <f t="shared" si="90"/>
        <v>4.7999999999999996E-3</v>
      </c>
      <c r="I832" s="12">
        <f t="shared" si="91"/>
        <v>0.24479999999999999</v>
      </c>
      <c r="J832" s="2"/>
      <c r="K832" s="2"/>
      <c r="L832" s="2"/>
      <c r="M832" s="2"/>
      <c r="N832" s="2">
        <f t="shared" si="93"/>
        <v>244.79999999999998</v>
      </c>
      <c r="O832" s="2"/>
      <c r="P832" s="2"/>
      <c r="Q832" s="28">
        <f t="shared" si="92"/>
        <v>1.9607843137254899</v>
      </c>
    </row>
    <row r="833" spans="1:17" x14ac:dyDescent="0.25">
      <c r="A833" s="16">
        <v>45814</v>
      </c>
      <c r="B833" s="2" t="s">
        <v>226</v>
      </c>
      <c r="C833" s="2">
        <v>1100</v>
      </c>
      <c r="D833" s="11">
        <v>0.1</v>
      </c>
      <c r="E833" s="2">
        <f t="shared" si="89"/>
        <v>1.1000000000000001</v>
      </c>
      <c r="F833" s="10">
        <v>0.02</v>
      </c>
      <c r="G833" s="10">
        <v>7.0000000000000007E-2</v>
      </c>
      <c r="H833" s="12">
        <f t="shared" si="90"/>
        <v>0.11900000000000002</v>
      </c>
      <c r="I833" s="12">
        <f t="shared" si="91"/>
        <v>1.3090000000000002</v>
      </c>
      <c r="J833" s="2"/>
      <c r="K833" s="2"/>
      <c r="L833" s="2">
        <f>I833*500</f>
        <v>654.50000000000011</v>
      </c>
      <c r="M833" s="2">
        <f>I833*750</f>
        <v>981.75000000000011</v>
      </c>
      <c r="N833" s="2">
        <f t="shared" si="93"/>
        <v>1309.0000000000002</v>
      </c>
      <c r="O833" s="2"/>
      <c r="P833" s="2"/>
      <c r="Q833" s="28">
        <f t="shared" si="92"/>
        <v>9.0909090909090917</v>
      </c>
    </row>
    <row r="834" spans="1:17" hidden="1" x14ac:dyDescent="0.25">
      <c r="A834" s="16">
        <v>45814</v>
      </c>
      <c r="B834" s="2" t="s">
        <v>227</v>
      </c>
      <c r="C834" s="2">
        <v>1300</v>
      </c>
      <c r="D834" s="11">
        <v>0.12</v>
      </c>
      <c r="E834" s="2">
        <f t="shared" si="89"/>
        <v>1.3</v>
      </c>
      <c r="F834" s="10">
        <v>0.02</v>
      </c>
      <c r="G834" s="10">
        <v>7.0000000000000007E-2</v>
      </c>
      <c r="H834" s="12">
        <f t="shared" si="90"/>
        <v>0.1668</v>
      </c>
      <c r="I834" s="12">
        <f t="shared" si="91"/>
        <v>1.5568000000000002</v>
      </c>
      <c r="J834" s="2"/>
      <c r="K834" s="2"/>
      <c r="L834" s="2">
        <f>I834*500</f>
        <v>778.40000000000009</v>
      </c>
      <c r="M834" s="2">
        <f>I834*750</f>
        <v>1167.6000000000001</v>
      </c>
      <c r="N834" s="2">
        <f t="shared" si="93"/>
        <v>1556.8000000000002</v>
      </c>
      <c r="O834" s="2">
        <f>I834*1250</f>
        <v>1946.0000000000002</v>
      </c>
      <c r="P834" s="2"/>
      <c r="Q834" s="28">
        <f t="shared" si="92"/>
        <v>10.714285714285714</v>
      </c>
    </row>
    <row r="835" spans="1:17" hidden="1" x14ac:dyDescent="0.25">
      <c r="A835" s="16">
        <v>45814</v>
      </c>
      <c r="B835" s="2" t="s">
        <v>139</v>
      </c>
      <c r="C835" s="2">
        <v>1700</v>
      </c>
      <c r="D835" s="11">
        <v>0.16</v>
      </c>
      <c r="E835" s="2">
        <f t="shared" si="89"/>
        <v>1.7</v>
      </c>
      <c r="F835" s="10">
        <v>0.02</v>
      </c>
      <c r="G835" s="10">
        <v>7.0000000000000007E-2</v>
      </c>
      <c r="H835" s="12">
        <f t="shared" si="90"/>
        <v>0.28639999999999999</v>
      </c>
      <c r="I835" s="12">
        <f t="shared" si="91"/>
        <v>2.0764</v>
      </c>
      <c r="J835" s="2"/>
      <c r="K835" s="2">
        <f>I835*350</f>
        <v>726.74</v>
      </c>
      <c r="L835" s="2"/>
      <c r="M835" s="2"/>
      <c r="N835" s="2">
        <f t="shared" si="93"/>
        <v>2076.4</v>
      </c>
      <c r="O835" s="2"/>
      <c r="P835" s="2"/>
      <c r="Q835" s="28">
        <f t="shared" si="92"/>
        <v>13.793103448275861</v>
      </c>
    </row>
    <row r="836" spans="1:17" x14ac:dyDescent="0.25">
      <c r="A836" s="16">
        <v>45815</v>
      </c>
      <c r="B836" s="2" t="s">
        <v>200</v>
      </c>
      <c r="C836" s="2">
        <v>1000</v>
      </c>
      <c r="D836" s="39">
        <v>0.185</v>
      </c>
      <c r="E836" s="2">
        <f t="shared" si="89"/>
        <v>1</v>
      </c>
      <c r="F836" s="41">
        <v>0.02</v>
      </c>
      <c r="G836" s="41">
        <v>7.0000000000000007E-2</v>
      </c>
      <c r="H836" s="42">
        <f t="shared" si="90"/>
        <v>0.20165000000000002</v>
      </c>
      <c r="I836" s="42">
        <f t="shared" si="91"/>
        <v>1.2916500000000002</v>
      </c>
      <c r="J836" s="2"/>
      <c r="K836" s="2"/>
      <c r="L836" s="2">
        <f>I836*500</f>
        <v>645.82500000000005</v>
      </c>
      <c r="M836" s="2"/>
      <c r="N836" s="40"/>
      <c r="O836" s="2"/>
      <c r="P836" s="2"/>
      <c r="Q836" s="43">
        <f t="shared" si="92"/>
        <v>15.61181434599156</v>
      </c>
    </row>
    <row r="837" spans="1:17" hidden="1" x14ac:dyDescent="0.25">
      <c r="A837" s="16">
        <v>45815</v>
      </c>
      <c r="B837" s="2" t="s">
        <v>89</v>
      </c>
      <c r="C837" s="2">
        <v>550</v>
      </c>
      <c r="D837" s="39">
        <v>0.24</v>
      </c>
      <c r="E837" s="2">
        <f t="shared" si="89"/>
        <v>0.55000000000000004</v>
      </c>
      <c r="F837" s="41">
        <v>0.02</v>
      </c>
      <c r="G837" s="41">
        <v>7.0000000000000007E-2</v>
      </c>
      <c r="H837" s="42">
        <f t="shared" si="90"/>
        <v>0.15360000000000001</v>
      </c>
      <c r="I837" s="42">
        <f t="shared" si="91"/>
        <v>0.79360000000000008</v>
      </c>
      <c r="J837" s="2"/>
      <c r="K837" s="2"/>
      <c r="L837" s="2"/>
      <c r="M837" s="2">
        <f>I837*750</f>
        <v>595.20000000000005</v>
      </c>
      <c r="N837" s="40"/>
      <c r="O837" s="2"/>
      <c r="P837" s="2"/>
      <c r="Q837" s="43">
        <f t="shared" si="92"/>
        <v>19.35483870967742</v>
      </c>
    </row>
    <row r="838" spans="1:17" x14ac:dyDescent="0.25">
      <c r="A838" s="16">
        <v>45818</v>
      </c>
      <c r="B838" s="2" t="s">
        <v>119</v>
      </c>
      <c r="C838" s="2">
        <v>1050</v>
      </c>
      <c r="D838" s="39">
        <v>0.106</v>
      </c>
      <c r="E838" s="2">
        <f t="shared" si="89"/>
        <v>1.05</v>
      </c>
      <c r="F838" s="41">
        <v>0.02</v>
      </c>
      <c r="G838" s="41">
        <v>7.0000000000000007E-2</v>
      </c>
      <c r="H838" s="42">
        <f t="shared" si="90"/>
        <v>0.12084</v>
      </c>
      <c r="I838" s="42">
        <f t="shared" si="91"/>
        <v>1.2608400000000002</v>
      </c>
      <c r="J838" s="2"/>
      <c r="K838" s="2"/>
      <c r="L838" s="2"/>
      <c r="M838" s="2">
        <f>I838*750</f>
        <v>945.63000000000011</v>
      </c>
      <c r="N838" s="40">
        <f t="shared" ref="N838:N849" si="94">I838*1000</f>
        <v>1260.8400000000001</v>
      </c>
      <c r="O838" s="2"/>
      <c r="P838" s="2"/>
      <c r="Q838" s="43">
        <f t="shared" si="92"/>
        <v>9.5840867992766707</v>
      </c>
    </row>
    <row r="839" spans="1:17" hidden="1" x14ac:dyDescent="0.25">
      <c r="A839" s="16">
        <v>45818</v>
      </c>
      <c r="B839" s="2" t="s">
        <v>228</v>
      </c>
      <c r="C839" s="2">
        <v>1450</v>
      </c>
      <c r="D839" s="39">
        <v>0.156</v>
      </c>
      <c r="E839" s="2">
        <f t="shared" si="89"/>
        <v>1.45</v>
      </c>
      <c r="F839" s="41">
        <v>0.02</v>
      </c>
      <c r="G839" s="41">
        <v>7.0000000000000007E-2</v>
      </c>
      <c r="H839" s="42">
        <f t="shared" si="90"/>
        <v>0.24024000000000001</v>
      </c>
      <c r="I839" s="42">
        <f t="shared" si="91"/>
        <v>1.78024</v>
      </c>
      <c r="J839" s="2">
        <f>I839*250</f>
        <v>445.06</v>
      </c>
      <c r="K839" s="2">
        <f>I839*300</f>
        <v>534.072</v>
      </c>
      <c r="L839" s="2">
        <f>I839*500</f>
        <v>890.12</v>
      </c>
      <c r="M839" s="2"/>
      <c r="N839" s="2">
        <f t="shared" si="94"/>
        <v>1780.24</v>
      </c>
      <c r="O839" s="2"/>
      <c r="P839" s="2"/>
      <c r="Q839" s="43">
        <f t="shared" si="92"/>
        <v>13.494809688581316</v>
      </c>
    </row>
    <row r="840" spans="1:17" hidden="1" x14ac:dyDescent="0.25">
      <c r="A840" s="16">
        <v>45818</v>
      </c>
      <c r="B840" s="2" t="s">
        <v>228</v>
      </c>
      <c r="C840" s="2">
        <v>1450</v>
      </c>
      <c r="D840" s="39">
        <v>0.1</v>
      </c>
      <c r="E840" s="2">
        <f t="shared" si="89"/>
        <v>1.45</v>
      </c>
      <c r="F840" s="41">
        <v>0.02</v>
      </c>
      <c r="G840" s="41">
        <v>7.0000000000000007E-2</v>
      </c>
      <c r="H840" s="42">
        <f t="shared" si="90"/>
        <v>0.15400000000000003</v>
      </c>
      <c r="I840" s="42">
        <f t="shared" si="91"/>
        <v>1.694</v>
      </c>
      <c r="J840" s="2">
        <f>I840*250</f>
        <v>423.5</v>
      </c>
      <c r="K840" s="2">
        <f>I840*300</f>
        <v>508.2</v>
      </c>
      <c r="L840" s="2">
        <f>I840*500</f>
        <v>847</v>
      </c>
      <c r="M840" s="2"/>
      <c r="N840" s="2">
        <f t="shared" si="94"/>
        <v>1694</v>
      </c>
      <c r="O840" s="2"/>
      <c r="P840" s="2"/>
      <c r="Q840" s="43">
        <f t="shared" si="92"/>
        <v>9.0909090909090917</v>
      </c>
    </row>
    <row r="841" spans="1:17" x14ac:dyDescent="0.25">
      <c r="A841" s="16">
        <v>45820</v>
      </c>
      <c r="B841" s="2" t="s">
        <v>136</v>
      </c>
      <c r="C841" s="2">
        <v>1000</v>
      </c>
      <c r="D841" s="39">
        <v>0.189</v>
      </c>
      <c r="E841" s="2">
        <f t="shared" si="89"/>
        <v>1</v>
      </c>
      <c r="F841" s="41">
        <v>0.02</v>
      </c>
      <c r="G841" s="41">
        <v>7.0000000000000007E-2</v>
      </c>
      <c r="H841" s="42">
        <f t="shared" si="90"/>
        <v>0.20601000000000003</v>
      </c>
      <c r="I841" s="42">
        <f t="shared" si="91"/>
        <v>1.2960100000000001</v>
      </c>
      <c r="J841" s="2"/>
      <c r="K841" s="2"/>
      <c r="L841" s="2"/>
      <c r="M841" s="2"/>
      <c r="N841" s="2">
        <f t="shared" si="94"/>
        <v>1296.0100000000002</v>
      </c>
      <c r="O841" s="2"/>
      <c r="P841" s="2"/>
      <c r="Q841" s="43">
        <f t="shared" si="92"/>
        <v>15.895710681244745</v>
      </c>
    </row>
    <row r="842" spans="1:17" x14ac:dyDescent="0.25">
      <c r="A842" s="16">
        <v>45820</v>
      </c>
      <c r="B842" s="2" t="s">
        <v>200</v>
      </c>
      <c r="C842" s="2">
        <v>1000</v>
      </c>
      <c r="D842" s="39">
        <v>0.185</v>
      </c>
      <c r="E842" s="2">
        <f t="shared" si="89"/>
        <v>1</v>
      </c>
      <c r="F842" s="41">
        <v>0.02</v>
      </c>
      <c r="G842" s="41">
        <v>7.0000000000000007E-2</v>
      </c>
      <c r="H842" s="42">
        <f t="shared" si="90"/>
        <v>0.20165000000000002</v>
      </c>
      <c r="I842" s="42">
        <f t="shared" si="91"/>
        <v>1.2916500000000002</v>
      </c>
      <c r="J842" s="2"/>
      <c r="K842" s="2"/>
      <c r="L842" s="2">
        <f>I842*500</f>
        <v>645.82500000000005</v>
      </c>
      <c r="M842" s="2"/>
      <c r="N842" s="2">
        <f t="shared" si="94"/>
        <v>1291.6500000000001</v>
      </c>
      <c r="O842" s="2"/>
      <c r="P842" s="2"/>
      <c r="Q842" s="43">
        <f t="shared" si="92"/>
        <v>15.61181434599156</v>
      </c>
    </row>
    <row r="843" spans="1:17" hidden="1" x14ac:dyDescent="0.25">
      <c r="A843" s="16">
        <v>45820</v>
      </c>
      <c r="B843" s="2" t="s">
        <v>98</v>
      </c>
      <c r="C843" s="2">
        <v>970</v>
      </c>
      <c r="D843" s="39">
        <v>0</v>
      </c>
      <c r="E843" s="2">
        <v>1.05</v>
      </c>
      <c r="F843" s="41">
        <v>0.02</v>
      </c>
      <c r="G843" s="41">
        <v>7.0000000000000007E-2</v>
      </c>
      <c r="H843" s="42">
        <v>0.12084</v>
      </c>
      <c r="I843" s="42">
        <v>1.2608400000000002</v>
      </c>
      <c r="J843" s="2"/>
      <c r="K843" s="2"/>
      <c r="L843" s="2"/>
      <c r="M843" s="2">
        <f>I843*750</f>
        <v>945.63000000000011</v>
      </c>
      <c r="N843" s="2">
        <f t="shared" si="94"/>
        <v>1260.8400000000001</v>
      </c>
      <c r="O843" s="2"/>
      <c r="P843" s="2"/>
      <c r="Q843" s="43">
        <v>9.5840867992766707</v>
      </c>
    </row>
    <row r="844" spans="1:17" hidden="1" x14ac:dyDescent="0.25">
      <c r="A844" s="16">
        <v>45820</v>
      </c>
      <c r="B844" s="2" t="s">
        <v>122</v>
      </c>
      <c r="C844" s="2">
        <v>970</v>
      </c>
      <c r="D844" s="39">
        <v>0.125</v>
      </c>
      <c r="E844" s="2">
        <f t="shared" ref="E844:E875" si="95">C844/1000</f>
        <v>0.97</v>
      </c>
      <c r="F844" s="41">
        <v>0.02</v>
      </c>
      <c r="G844" s="41">
        <v>7.0000000000000007E-2</v>
      </c>
      <c r="H844" s="42">
        <f t="shared" ref="H844:H875" si="96">SUM(E844:G844)*D844</f>
        <v>0.13250000000000001</v>
      </c>
      <c r="I844" s="42">
        <f t="shared" ref="I844:I875" si="97">SUM(E844:H844)</f>
        <v>1.1925000000000001</v>
      </c>
      <c r="J844" s="2"/>
      <c r="K844" s="2"/>
      <c r="L844" s="2">
        <f>I844*500</f>
        <v>596.25000000000011</v>
      </c>
      <c r="M844" s="2">
        <f>I844*750</f>
        <v>894.37500000000011</v>
      </c>
      <c r="N844" s="2">
        <f t="shared" si="94"/>
        <v>1192.5000000000002</v>
      </c>
      <c r="O844" s="2"/>
      <c r="P844" s="2"/>
      <c r="Q844" s="43">
        <v>9.5840867992766707</v>
      </c>
    </row>
    <row r="845" spans="1:17" x14ac:dyDescent="0.25">
      <c r="A845" s="16">
        <v>45822</v>
      </c>
      <c r="B845" s="2" t="s">
        <v>229</v>
      </c>
      <c r="C845" s="2">
        <v>950</v>
      </c>
      <c r="D845" s="39">
        <v>0.2</v>
      </c>
      <c r="E845" s="2">
        <f t="shared" si="95"/>
        <v>0.95</v>
      </c>
      <c r="F845" s="41">
        <v>0.02</v>
      </c>
      <c r="G845" s="41">
        <v>7.0000000000000007E-2</v>
      </c>
      <c r="H845" s="42">
        <f t="shared" si="96"/>
        <v>0.20800000000000002</v>
      </c>
      <c r="I845" s="42">
        <f t="shared" si="97"/>
        <v>1.248</v>
      </c>
      <c r="J845" s="2"/>
      <c r="K845" s="2"/>
      <c r="L845" s="2">
        <f>I845*500</f>
        <v>624</v>
      </c>
      <c r="M845" s="2">
        <f>I845*750</f>
        <v>936</v>
      </c>
      <c r="N845" s="2">
        <f t="shared" si="94"/>
        <v>1248</v>
      </c>
      <c r="O845" s="2">
        <f>I845*1250</f>
        <v>1560</v>
      </c>
      <c r="P845" s="2"/>
      <c r="Q845" s="43">
        <f t="shared" ref="Q845:Q876" si="98">H845/I845%</f>
        <v>16.666666666666668</v>
      </c>
    </row>
    <row r="846" spans="1:17" hidden="1" x14ac:dyDescent="0.25">
      <c r="A846" s="16">
        <v>45822</v>
      </c>
      <c r="B846" s="2" t="s">
        <v>123</v>
      </c>
      <c r="C846" s="2">
        <v>2100</v>
      </c>
      <c r="D846" s="39">
        <v>0.112</v>
      </c>
      <c r="E846" s="2">
        <f t="shared" si="95"/>
        <v>2.1</v>
      </c>
      <c r="F846" s="41">
        <v>0.02</v>
      </c>
      <c r="G846" s="41">
        <v>7.0000000000000007E-2</v>
      </c>
      <c r="H846" s="42">
        <f t="shared" si="96"/>
        <v>0.24528</v>
      </c>
      <c r="I846" s="42">
        <f t="shared" si="97"/>
        <v>2.4352800000000001</v>
      </c>
      <c r="J846" s="2"/>
      <c r="K846" s="2"/>
      <c r="L846" s="2">
        <f>I846*450</f>
        <v>1095.876</v>
      </c>
      <c r="M846" s="2"/>
      <c r="N846" s="2">
        <f t="shared" si="94"/>
        <v>2435.2800000000002</v>
      </c>
      <c r="O846" s="2"/>
      <c r="P846" s="2"/>
      <c r="Q846" s="43">
        <f t="shared" si="98"/>
        <v>10.071942446043165</v>
      </c>
    </row>
    <row r="847" spans="1:17" hidden="1" x14ac:dyDescent="0.25">
      <c r="A847" s="16">
        <v>45822</v>
      </c>
      <c r="B847" s="2" t="s">
        <v>149</v>
      </c>
      <c r="C847" s="2">
        <v>2100</v>
      </c>
      <c r="D847" s="39">
        <v>0.121</v>
      </c>
      <c r="E847" s="2">
        <f t="shared" si="95"/>
        <v>2.1</v>
      </c>
      <c r="F847" s="41">
        <v>0.02</v>
      </c>
      <c r="G847" s="41">
        <v>7.0000000000000007E-2</v>
      </c>
      <c r="H847" s="42">
        <f t="shared" si="96"/>
        <v>0.26499</v>
      </c>
      <c r="I847" s="42">
        <f t="shared" si="97"/>
        <v>2.45499</v>
      </c>
      <c r="J847" s="2"/>
      <c r="K847" s="2"/>
      <c r="L847" s="2"/>
      <c r="M847" s="2">
        <f>I847*650</f>
        <v>1595.7435</v>
      </c>
      <c r="N847" s="2">
        <f t="shared" si="94"/>
        <v>2454.9899999999998</v>
      </c>
      <c r="O847" s="2"/>
      <c r="P847" s="2"/>
      <c r="Q847" s="43">
        <f t="shared" si="98"/>
        <v>10.793933987511151</v>
      </c>
    </row>
    <row r="848" spans="1:17" hidden="1" x14ac:dyDescent="0.25">
      <c r="A848" s="16">
        <v>45826</v>
      </c>
      <c r="B848" s="2" t="s">
        <v>86</v>
      </c>
      <c r="C848" s="2">
        <v>1650</v>
      </c>
      <c r="D848" s="11">
        <v>3.5000000000000003E-2</v>
      </c>
      <c r="E848" s="2">
        <f t="shared" si="95"/>
        <v>1.65</v>
      </c>
      <c r="F848" s="10">
        <v>0.02</v>
      </c>
      <c r="G848" s="10">
        <v>7.0000000000000007E-2</v>
      </c>
      <c r="H848" s="12">
        <f t="shared" si="96"/>
        <v>6.0900000000000003E-2</v>
      </c>
      <c r="I848" s="12">
        <f t="shared" si="97"/>
        <v>1.8008999999999999</v>
      </c>
      <c r="J848" s="2">
        <f>I848*250</f>
        <v>450.22499999999997</v>
      </c>
      <c r="K848" s="2"/>
      <c r="L848" s="2"/>
      <c r="M848" s="2"/>
      <c r="N848" s="2">
        <f t="shared" si="94"/>
        <v>1800.8999999999999</v>
      </c>
      <c r="O848" s="2"/>
      <c r="P848" s="2"/>
      <c r="Q848" s="28">
        <f t="shared" si="98"/>
        <v>3.3816425120772946</v>
      </c>
    </row>
    <row r="849" spans="1:17" hidden="1" x14ac:dyDescent="0.25">
      <c r="A849" s="16">
        <v>45826</v>
      </c>
      <c r="B849" s="2" t="s">
        <v>85</v>
      </c>
      <c r="C849" s="2">
        <v>1250</v>
      </c>
      <c r="D849" s="11">
        <v>0.23200000000000001</v>
      </c>
      <c r="E849" s="2">
        <f t="shared" si="95"/>
        <v>1.25</v>
      </c>
      <c r="F849" s="10">
        <v>0.02</v>
      </c>
      <c r="G849" s="10">
        <v>7.0000000000000007E-2</v>
      </c>
      <c r="H849" s="12">
        <f t="shared" si="96"/>
        <v>0.31088000000000005</v>
      </c>
      <c r="I849" s="12">
        <f t="shared" si="97"/>
        <v>1.6508800000000001</v>
      </c>
      <c r="J849" s="2"/>
      <c r="K849" s="2">
        <f>I849*300</f>
        <v>495.26400000000001</v>
      </c>
      <c r="L849" s="2"/>
      <c r="M849" s="2"/>
      <c r="N849" s="2">
        <f t="shared" si="94"/>
        <v>1650.88</v>
      </c>
      <c r="O849" s="2"/>
      <c r="P849" s="2"/>
      <c r="Q849" s="28">
        <f t="shared" si="98"/>
        <v>18.831168831168835</v>
      </c>
    </row>
    <row r="850" spans="1:17" hidden="1" x14ac:dyDescent="0.25">
      <c r="A850" s="16">
        <v>45827</v>
      </c>
      <c r="B850" s="2" t="s">
        <v>100</v>
      </c>
      <c r="C850" s="2">
        <v>600</v>
      </c>
      <c r="D850" s="11">
        <v>0.14499999999999999</v>
      </c>
      <c r="E850" s="2">
        <f t="shared" si="95"/>
        <v>0.6</v>
      </c>
      <c r="F850" s="10">
        <v>0.02</v>
      </c>
      <c r="G850" s="10">
        <v>7.0000000000000007E-2</v>
      </c>
      <c r="H850" s="12">
        <f t="shared" si="96"/>
        <v>0.10004999999999999</v>
      </c>
      <c r="I850" s="12">
        <f t="shared" si="97"/>
        <v>0.79004999999999992</v>
      </c>
      <c r="J850" s="2"/>
      <c r="K850" s="2"/>
      <c r="L850" s="2">
        <f>I850*500</f>
        <v>395.02499999999998</v>
      </c>
      <c r="M850" s="2"/>
      <c r="N850" s="2"/>
      <c r="O850" s="2"/>
      <c r="P850" s="2"/>
      <c r="Q850" s="28">
        <f t="shared" si="98"/>
        <v>12.663755458515283</v>
      </c>
    </row>
    <row r="851" spans="1:17" hidden="1" x14ac:dyDescent="0.25">
      <c r="A851" s="16">
        <v>45827</v>
      </c>
      <c r="B851" s="2" t="s">
        <v>230</v>
      </c>
      <c r="C851" s="2">
        <v>650</v>
      </c>
      <c r="D851" s="11">
        <v>0.27</v>
      </c>
      <c r="E851" s="2">
        <f t="shared" si="95"/>
        <v>0.65</v>
      </c>
      <c r="F851" s="10">
        <v>0.02</v>
      </c>
      <c r="G851" s="10">
        <v>7.0000000000000007E-2</v>
      </c>
      <c r="H851" s="12">
        <f t="shared" si="96"/>
        <v>0.19980000000000001</v>
      </c>
      <c r="I851" s="12">
        <f t="shared" si="97"/>
        <v>0.93979999999999997</v>
      </c>
      <c r="J851" s="2"/>
      <c r="K851" s="2">
        <f>I851*400</f>
        <v>375.91999999999996</v>
      </c>
      <c r="L851" s="2"/>
      <c r="M851" s="2"/>
      <c r="N851" s="2">
        <f t="shared" ref="N851:N882" si="99">I851*1000</f>
        <v>939.8</v>
      </c>
      <c r="O851" s="2"/>
      <c r="P851" s="2"/>
      <c r="Q851" s="28">
        <f t="shared" si="98"/>
        <v>21.259842519685041</v>
      </c>
    </row>
    <row r="852" spans="1:17" hidden="1" x14ac:dyDescent="0.25">
      <c r="A852" s="16">
        <v>45827</v>
      </c>
      <c r="B852" s="2" t="s">
        <v>187</v>
      </c>
      <c r="C852" s="2">
        <v>150</v>
      </c>
      <c r="D852" s="11">
        <v>0.23</v>
      </c>
      <c r="E852" s="2">
        <f t="shared" si="95"/>
        <v>0.15</v>
      </c>
      <c r="F852" s="10">
        <v>0.02</v>
      </c>
      <c r="G852" s="10">
        <v>7.0000000000000007E-2</v>
      </c>
      <c r="H852" s="12">
        <f t="shared" si="96"/>
        <v>5.5199999999999999E-2</v>
      </c>
      <c r="I852" s="12">
        <f t="shared" si="97"/>
        <v>0.29520000000000002</v>
      </c>
      <c r="J852" s="2"/>
      <c r="K852" s="2"/>
      <c r="L852" s="2"/>
      <c r="M852" s="2"/>
      <c r="N852" s="2">
        <f t="shared" si="99"/>
        <v>295.20000000000005</v>
      </c>
      <c r="O852" s="2"/>
      <c r="P852" s="2"/>
      <c r="Q852" s="28">
        <f t="shared" si="98"/>
        <v>18.699186991869919</v>
      </c>
    </row>
    <row r="853" spans="1:17" hidden="1" x14ac:dyDescent="0.25">
      <c r="A853" s="16">
        <v>45827</v>
      </c>
      <c r="B853" s="2" t="s">
        <v>86</v>
      </c>
      <c r="C853" s="2">
        <v>1350</v>
      </c>
      <c r="D853" s="11">
        <v>0.32</v>
      </c>
      <c r="E853" s="2">
        <f t="shared" si="95"/>
        <v>1.35</v>
      </c>
      <c r="F853" s="10">
        <v>0.02</v>
      </c>
      <c r="G853" s="10">
        <v>7.0000000000000007E-2</v>
      </c>
      <c r="H853" s="12">
        <f t="shared" si="96"/>
        <v>0.46080000000000004</v>
      </c>
      <c r="I853" s="12">
        <f t="shared" si="97"/>
        <v>1.9008000000000003</v>
      </c>
      <c r="J853" s="2">
        <f>I853*250</f>
        <v>475.20000000000005</v>
      </c>
      <c r="K853" s="2"/>
      <c r="L853" s="2"/>
      <c r="M853" s="2"/>
      <c r="N853" s="2">
        <f t="shared" si="99"/>
        <v>1900.8000000000002</v>
      </c>
      <c r="O853" s="2"/>
      <c r="P853" s="2"/>
      <c r="Q853" s="28">
        <f t="shared" si="98"/>
        <v>24.242424242424239</v>
      </c>
    </row>
    <row r="854" spans="1:17" hidden="1" x14ac:dyDescent="0.25">
      <c r="A854" s="16">
        <v>45827</v>
      </c>
      <c r="B854" s="2" t="s">
        <v>85</v>
      </c>
      <c r="C854" s="2">
        <v>1100</v>
      </c>
      <c r="D854" s="11">
        <v>0.33200000000000002</v>
      </c>
      <c r="E854" s="2">
        <f t="shared" si="95"/>
        <v>1.1000000000000001</v>
      </c>
      <c r="F854" s="10">
        <v>0.02</v>
      </c>
      <c r="G854" s="10">
        <v>7.0000000000000007E-2</v>
      </c>
      <c r="H854" s="12">
        <f t="shared" si="96"/>
        <v>0.3950800000000001</v>
      </c>
      <c r="I854" s="12">
        <f t="shared" si="97"/>
        <v>1.5850800000000003</v>
      </c>
      <c r="J854" s="2"/>
      <c r="K854" s="2">
        <f>I854*300</f>
        <v>475.52400000000006</v>
      </c>
      <c r="L854" s="2"/>
      <c r="M854" s="2"/>
      <c r="N854" s="2">
        <f t="shared" si="99"/>
        <v>1585.0800000000002</v>
      </c>
      <c r="O854" s="2"/>
      <c r="P854" s="2"/>
      <c r="Q854" s="28">
        <f t="shared" si="98"/>
        <v>24.924924924924927</v>
      </c>
    </row>
    <row r="855" spans="1:17" x14ac:dyDescent="0.25">
      <c r="A855" s="16">
        <v>45828</v>
      </c>
      <c r="B855" s="2" t="s">
        <v>200</v>
      </c>
      <c r="C855" s="2">
        <v>950</v>
      </c>
      <c r="D855" s="11">
        <v>0.2</v>
      </c>
      <c r="E855" s="2">
        <f t="shared" si="95"/>
        <v>0.95</v>
      </c>
      <c r="F855" s="10">
        <v>0.02</v>
      </c>
      <c r="G855" s="10">
        <v>7.0000000000000007E-2</v>
      </c>
      <c r="H855" s="12">
        <f t="shared" si="96"/>
        <v>0.20800000000000002</v>
      </c>
      <c r="I855" s="12">
        <f t="shared" si="97"/>
        <v>1.248</v>
      </c>
      <c r="J855" s="2"/>
      <c r="K855" s="2"/>
      <c r="L855" s="2">
        <f>I855*500</f>
        <v>624</v>
      </c>
      <c r="M855" s="2"/>
      <c r="N855" s="2">
        <f t="shared" si="99"/>
        <v>1248</v>
      </c>
      <c r="O855" s="2"/>
      <c r="P855" s="2"/>
      <c r="Q855" s="28">
        <f t="shared" si="98"/>
        <v>16.666666666666668</v>
      </c>
    </row>
    <row r="856" spans="1:17" hidden="1" x14ac:dyDescent="0.25">
      <c r="A856" s="16">
        <v>45828</v>
      </c>
      <c r="B856" s="2" t="s">
        <v>109</v>
      </c>
      <c r="C856" s="2">
        <v>950</v>
      </c>
      <c r="D856" s="11">
        <v>0.20200000000000001</v>
      </c>
      <c r="E856" s="2">
        <f t="shared" si="95"/>
        <v>0.95</v>
      </c>
      <c r="F856" s="10">
        <v>0.02</v>
      </c>
      <c r="G856" s="10">
        <v>7.0000000000000007E-2</v>
      </c>
      <c r="H856" s="12">
        <f t="shared" si="96"/>
        <v>0.21008000000000002</v>
      </c>
      <c r="I856" s="12">
        <f t="shared" si="97"/>
        <v>1.2500800000000001</v>
      </c>
      <c r="J856" s="2"/>
      <c r="K856" s="2"/>
      <c r="L856" s="2"/>
      <c r="M856" s="2"/>
      <c r="N856" s="2">
        <f t="shared" si="99"/>
        <v>1250.0800000000002</v>
      </c>
      <c r="O856" s="2"/>
      <c r="P856" s="2"/>
      <c r="Q856" s="28">
        <f t="shared" si="98"/>
        <v>16.805324459234608</v>
      </c>
    </row>
    <row r="857" spans="1:17" hidden="1" x14ac:dyDescent="0.25">
      <c r="A857" s="16">
        <v>45828</v>
      </c>
      <c r="B857" s="2" t="s">
        <v>98</v>
      </c>
      <c r="C857" s="2">
        <v>950</v>
      </c>
      <c r="D857" s="11">
        <v>0.20200000000000001</v>
      </c>
      <c r="E857" s="2">
        <f t="shared" si="95"/>
        <v>0.95</v>
      </c>
      <c r="F857" s="10">
        <v>0.02</v>
      </c>
      <c r="G857" s="10">
        <v>7.0000000000000007E-2</v>
      </c>
      <c r="H857" s="12">
        <f t="shared" si="96"/>
        <v>0.21008000000000002</v>
      </c>
      <c r="I857" s="12">
        <f t="shared" si="97"/>
        <v>1.2500800000000001</v>
      </c>
      <c r="J857" s="2"/>
      <c r="K857" s="2"/>
      <c r="L857" s="2">
        <f>I857*500</f>
        <v>625.04000000000008</v>
      </c>
      <c r="M857" s="2">
        <f>I857*750</f>
        <v>937.56000000000006</v>
      </c>
      <c r="N857" s="2">
        <f t="shared" si="99"/>
        <v>1250.0800000000002</v>
      </c>
      <c r="O857" s="2"/>
      <c r="P857" s="2"/>
      <c r="Q857" s="28">
        <f t="shared" si="98"/>
        <v>16.805324459234608</v>
      </c>
    </row>
    <row r="858" spans="1:17" hidden="1" x14ac:dyDescent="0.25">
      <c r="A858" s="16">
        <v>45828</v>
      </c>
      <c r="B858" s="2" t="s">
        <v>122</v>
      </c>
      <c r="C858" s="2">
        <v>950</v>
      </c>
      <c r="D858" s="11">
        <v>0.25</v>
      </c>
      <c r="E858" s="2">
        <f t="shared" si="95"/>
        <v>0.95</v>
      </c>
      <c r="F858" s="10">
        <v>0.02</v>
      </c>
      <c r="G858" s="10">
        <v>7.0000000000000007E-2</v>
      </c>
      <c r="H858" s="12">
        <f t="shared" si="96"/>
        <v>0.26</v>
      </c>
      <c r="I858" s="12">
        <f t="shared" si="97"/>
        <v>1.3</v>
      </c>
      <c r="J858" s="2"/>
      <c r="K858" s="2"/>
      <c r="L858" s="2">
        <f>I858*500</f>
        <v>650</v>
      </c>
      <c r="M858" s="2"/>
      <c r="N858" s="2">
        <f t="shared" si="99"/>
        <v>1300</v>
      </c>
      <c r="O858" s="2"/>
      <c r="P858" s="2"/>
      <c r="Q858" s="28">
        <f t="shared" si="98"/>
        <v>20</v>
      </c>
    </row>
    <row r="859" spans="1:17" hidden="1" x14ac:dyDescent="0.25">
      <c r="A859" s="16">
        <v>45828</v>
      </c>
      <c r="B859" s="2" t="s">
        <v>123</v>
      </c>
      <c r="C859" s="2">
        <v>1250</v>
      </c>
      <c r="D859" s="11">
        <v>0.23200000000000001</v>
      </c>
      <c r="E859" s="2">
        <f t="shared" si="95"/>
        <v>1.25</v>
      </c>
      <c r="F859" s="10">
        <v>0.02</v>
      </c>
      <c r="G859" s="10">
        <v>7.0000000000000007E-2</v>
      </c>
      <c r="H859" s="12">
        <f t="shared" si="96"/>
        <v>0.31088000000000005</v>
      </c>
      <c r="I859" s="12">
        <f t="shared" si="97"/>
        <v>1.6508800000000001</v>
      </c>
      <c r="J859" s="2"/>
      <c r="K859" s="2"/>
      <c r="L859" s="2">
        <f>I859*500</f>
        <v>825.44</v>
      </c>
      <c r="M859" s="2"/>
      <c r="N859" s="2">
        <f t="shared" si="99"/>
        <v>1650.88</v>
      </c>
      <c r="O859" s="2"/>
      <c r="P859" s="2"/>
      <c r="Q859" s="28">
        <f t="shared" si="98"/>
        <v>18.831168831168835</v>
      </c>
    </row>
    <row r="860" spans="1:17" hidden="1" x14ac:dyDescent="0.25">
      <c r="A860" s="16">
        <v>45828</v>
      </c>
      <c r="B860" s="2" t="s">
        <v>131</v>
      </c>
      <c r="C860" s="2">
        <v>1250</v>
      </c>
      <c r="D860" s="11">
        <v>0.23</v>
      </c>
      <c r="E860" s="2">
        <f t="shared" si="95"/>
        <v>1.25</v>
      </c>
      <c r="F860" s="10">
        <v>0.02</v>
      </c>
      <c r="G860" s="10">
        <v>7.0000000000000007E-2</v>
      </c>
      <c r="H860" s="12">
        <f t="shared" si="96"/>
        <v>0.30820000000000003</v>
      </c>
      <c r="I860" s="12">
        <f t="shared" si="97"/>
        <v>1.6482000000000001</v>
      </c>
      <c r="J860" s="2"/>
      <c r="K860" s="2">
        <f>I860*400</f>
        <v>659.28000000000009</v>
      </c>
      <c r="L860" s="2"/>
      <c r="M860" s="2"/>
      <c r="N860" s="2">
        <f t="shared" si="99"/>
        <v>1648.2</v>
      </c>
      <c r="O860" s="2"/>
      <c r="P860" s="2"/>
      <c r="Q860" s="28">
        <f t="shared" si="98"/>
        <v>18.699186991869919</v>
      </c>
    </row>
    <row r="861" spans="1:17" hidden="1" x14ac:dyDescent="0.25">
      <c r="A861" s="16">
        <v>45828</v>
      </c>
      <c r="B861" s="2" t="s">
        <v>231</v>
      </c>
      <c r="C861" s="2">
        <v>800</v>
      </c>
      <c r="D861" s="11">
        <v>0.26500000000000001</v>
      </c>
      <c r="E861" s="2">
        <f t="shared" si="95"/>
        <v>0.8</v>
      </c>
      <c r="F861" s="10">
        <v>0.02</v>
      </c>
      <c r="G861" s="10">
        <v>7.0000000000000007E-2</v>
      </c>
      <c r="H861" s="12">
        <f t="shared" si="96"/>
        <v>0.23585000000000003</v>
      </c>
      <c r="I861" s="12">
        <f t="shared" si="97"/>
        <v>1.1258500000000002</v>
      </c>
      <c r="J861" s="2">
        <f>I861*200</f>
        <v>225.17000000000004</v>
      </c>
      <c r="K861" s="2"/>
      <c r="L861" s="2"/>
      <c r="M861" s="2"/>
      <c r="N861" s="2">
        <f t="shared" si="99"/>
        <v>1125.8500000000001</v>
      </c>
      <c r="O861" s="2"/>
      <c r="P861" s="2"/>
      <c r="Q861" s="28">
        <f t="shared" si="98"/>
        <v>20.948616600790512</v>
      </c>
    </row>
    <row r="862" spans="1:17" hidden="1" x14ac:dyDescent="0.25">
      <c r="A862" s="16">
        <v>45829</v>
      </c>
      <c r="B862" s="2" t="s">
        <v>231</v>
      </c>
      <c r="C862" s="2">
        <v>1000</v>
      </c>
      <c r="D862" s="11">
        <v>3.5999999999999997E-2</v>
      </c>
      <c r="E862" s="2">
        <f t="shared" si="95"/>
        <v>1</v>
      </c>
      <c r="F862" s="10">
        <v>0.02</v>
      </c>
      <c r="G862" s="10">
        <v>7.0000000000000007E-2</v>
      </c>
      <c r="H862" s="12">
        <f t="shared" si="96"/>
        <v>3.9239999999999997E-2</v>
      </c>
      <c r="I862" s="12">
        <f t="shared" si="97"/>
        <v>1.12924</v>
      </c>
      <c r="J862" s="2">
        <f>I862*200</f>
        <v>225.84800000000001</v>
      </c>
      <c r="K862" s="2"/>
      <c r="L862" s="2"/>
      <c r="M862" s="2"/>
      <c r="N862" s="2">
        <f t="shared" si="99"/>
        <v>1129.24</v>
      </c>
      <c r="O862" s="2"/>
      <c r="P862" s="2"/>
      <c r="Q862" s="28">
        <f t="shared" si="98"/>
        <v>3.4749034749034742</v>
      </c>
    </row>
    <row r="863" spans="1:17" hidden="1" x14ac:dyDescent="0.25">
      <c r="A863" s="16">
        <v>45829</v>
      </c>
      <c r="B863" s="2" t="s">
        <v>139</v>
      </c>
      <c r="C863" s="2">
        <v>1300</v>
      </c>
      <c r="D863" s="11">
        <v>0.28499999999999998</v>
      </c>
      <c r="E863" s="2">
        <f t="shared" si="95"/>
        <v>1.3</v>
      </c>
      <c r="F863" s="10">
        <v>0.02</v>
      </c>
      <c r="G863" s="10">
        <v>7.0000000000000007E-2</v>
      </c>
      <c r="H863" s="12">
        <f t="shared" si="96"/>
        <v>0.39615</v>
      </c>
      <c r="I863" s="12">
        <f t="shared" si="97"/>
        <v>1.7861500000000001</v>
      </c>
      <c r="J863" s="2"/>
      <c r="K863" s="2">
        <f>I863*350</f>
        <v>625.15250000000003</v>
      </c>
      <c r="L863" s="2"/>
      <c r="M863" s="2"/>
      <c r="N863" s="2">
        <f t="shared" si="99"/>
        <v>1786.15</v>
      </c>
      <c r="O863" s="2"/>
      <c r="P863" s="2"/>
      <c r="Q863" s="28">
        <f t="shared" si="98"/>
        <v>22.178988326848245</v>
      </c>
    </row>
    <row r="864" spans="1:17" hidden="1" x14ac:dyDescent="0.25">
      <c r="A864" s="16">
        <v>45829</v>
      </c>
      <c r="B864" s="2" t="s">
        <v>85</v>
      </c>
      <c r="C864" s="2">
        <v>1000</v>
      </c>
      <c r="D864" s="11">
        <v>0.3</v>
      </c>
      <c r="E864" s="2">
        <f t="shared" si="95"/>
        <v>1</v>
      </c>
      <c r="F864" s="10">
        <v>0.02</v>
      </c>
      <c r="G864" s="10">
        <v>7.0000000000000007E-2</v>
      </c>
      <c r="H864" s="12">
        <f t="shared" si="96"/>
        <v>0.32700000000000001</v>
      </c>
      <c r="I864" s="12">
        <f t="shared" si="97"/>
        <v>1.417</v>
      </c>
      <c r="J864" s="2"/>
      <c r="K864" s="2">
        <f>I864*300</f>
        <v>425.1</v>
      </c>
      <c r="L864" s="2"/>
      <c r="M864" s="2"/>
      <c r="N864" s="2">
        <f t="shared" si="99"/>
        <v>1417</v>
      </c>
      <c r="O864" s="2"/>
      <c r="P864" s="2"/>
      <c r="Q864" s="28">
        <f t="shared" si="98"/>
        <v>23.076923076923077</v>
      </c>
    </row>
    <row r="865" spans="1:17" x14ac:dyDescent="0.25">
      <c r="A865" s="16">
        <v>45832</v>
      </c>
      <c r="B865" s="2" t="s">
        <v>232</v>
      </c>
      <c r="C865" s="2">
        <v>750</v>
      </c>
      <c r="D865" s="11">
        <v>0.31</v>
      </c>
      <c r="E865" s="2">
        <f t="shared" si="95"/>
        <v>0.75</v>
      </c>
      <c r="F865" s="10">
        <v>0.02</v>
      </c>
      <c r="G865" s="10">
        <v>7.0000000000000007E-2</v>
      </c>
      <c r="H865" s="12">
        <f t="shared" si="96"/>
        <v>0.26040000000000002</v>
      </c>
      <c r="I865" s="12">
        <f t="shared" si="97"/>
        <v>1.1004</v>
      </c>
      <c r="J865" s="2">
        <f>I865*250</f>
        <v>275.10000000000002</v>
      </c>
      <c r="K865" s="2"/>
      <c r="L865" s="2"/>
      <c r="M865" s="2"/>
      <c r="N865" s="2">
        <f t="shared" si="99"/>
        <v>1100.4000000000001</v>
      </c>
      <c r="O865" s="2"/>
      <c r="P865" s="2"/>
      <c r="Q865" s="28">
        <f t="shared" si="98"/>
        <v>23.664122137404583</v>
      </c>
    </row>
    <row r="866" spans="1:17" x14ac:dyDescent="0.25">
      <c r="A866" s="16">
        <v>45832</v>
      </c>
      <c r="B866" s="2" t="s">
        <v>200</v>
      </c>
      <c r="C866" s="2">
        <v>750</v>
      </c>
      <c r="D866" s="11">
        <v>0.25</v>
      </c>
      <c r="E866" s="2">
        <f t="shared" si="95"/>
        <v>0.75</v>
      </c>
      <c r="F866" s="10">
        <v>0.02</v>
      </c>
      <c r="G866" s="10">
        <v>7.0000000000000007E-2</v>
      </c>
      <c r="H866" s="12">
        <f t="shared" si="96"/>
        <v>0.21000000000000002</v>
      </c>
      <c r="I866" s="12">
        <f t="shared" si="97"/>
        <v>1.05</v>
      </c>
      <c r="J866" s="2"/>
      <c r="K866" s="2"/>
      <c r="L866" s="2">
        <f>I866*500</f>
        <v>525</v>
      </c>
      <c r="M866" s="2"/>
      <c r="N866" s="2">
        <f t="shared" si="99"/>
        <v>1050</v>
      </c>
      <c r="O866" s="2"/>
      <c r="P866" s="2"/>
      <c r="Q866" s="28">
        <f t="shared" si="98"/>
        <v>20</v>
      </c>
    </row>
    <row r="867" spans="1:17" hidden="1" x14ac:dyDescent="0.25">
      <c r="A867" s="16">
        <v>45832</v>
      </c>
      <c r="B867" s="2" t="s">
        <v>86</v>
      </c>
      <c r="C867" s="2">
        <v>1100</v>
      </c>
      <c r="D867" s="11">
        <v>0.26200000000000001</v>
      </c>
      <c r="E867" s="2">
        <f t="shared" si="95"/>
        <v>1.1000000000000001</v>
      </c>
      <c r="F867" s="10">
        <v>0.02</v>
      </c>
      <c r="G867" s="10">
        <v>7.0000000000000007E-2</v>
      </c>
      <c r="H867" s="12">
        <f t="shared" si="96"/>
        <v>0.31178000000000006</v>
      </c>
      <c r="I867" s="12">
        <f t="shared" si="97"/>
        <v>1.5017800000000001</v>
      </c>
      <c r="J867" s="2">
        <f>I867*250</f>
        <v>375.44500000000005</v>
      </c>
      <c r="K867" s="2"/>
      <c r="L867" s="2"/>
      <c r="M867" s="2"/>
      <c r="N867" s="2">
        <f t="shared" si="99"/>
        <v>1501.7800000000002</v>
      </c>
      <c r="O867" s="2"/>
      <c r="P867" s="2"/>
      <c r="Q867" s="28">
        <f t="shared" si="98"/>
        <v>20.760697305863712</v>
      </c>
    </row>
    <row r="868" spans="1:17" hidden="1" x14ac:dyDescent="0.25">
      <c r="A868" s="16">
        <v>45833</v>
      </c>
      <c r="B868" s="2" t="s">
        <v>88</v>
      </c>
      <c r="C868" s="2">
        <v>500</v>
      </c>
      <c r="D868" s="11">
        <v>0.26400000000000001</v>
      </c>
      <c r="E868" s="2">
        <f t="shared" si="95"/>
        <v>0.5</v>
      </c>
      <c r="F868" s="10">
        <v>0.02</v>
      </c>
      <c r="G868" s="10">
        <v>7.0000000000000007E-2</v>
      </c>
      <c r="H868" s="12">
        <f t="shared" si="96"/>
        <v>0.15576000000000004</v>
      </c>
      <c r="I868" s="12">
        <f t="shared" si="97"/>
        <v>0.74576000000000009</v>
      </c>
      <c r="J868" s="2"/>
      <c r="K868" s="2"/>
      <c r="L868" s="2"/>
      <c r="M868" s="2"/>
      <c r="N868" s="2">
        <f t="shared" si="99"/>
        <v>745.7600000000001</v>
      </c>
      <c r="O868" s="2"/>
      <c r="P868" s="2"/>
      <c r="Q868" s="28">
        <f t="shared" si="98"/>
        <v>20.88607594936709</v>
      </c>
    </row>
    <row r="869" spans="1:17" hidden="1" x14ac:dyDescent="0.25">
      <c r="A869" s="16">
        <v>45833</v>
      </c>
      <c r="B869" s="2" t="s">
        <v>86</v>
      </c>
      <c r="C869" s="2">
        <v>1200</v>
      </c>
      <c r="D869" s="11">
        <v>0.22500000000000001</v>
      </c>
      <c r="E869" s="2">
        <f t="shared" si="95"/>
        <v>1.2</v>
      </c>
      <c r="F869" s="10">
        <v>0.02</v>
      </c>
      <c r="G869" s="10">
        <v>7.0000000000000007E-2</v>
      </c>
      <c r="H869" s="12">
        <f t="shared" si="96"/>
        <v>0.29025000000000001</v>
      </c>
      <c r="I869" s="12">
        <f t="shared" si="97"/>
        <v>1.5802499999999999</v>
      </c>
      <c r="J869" s="2">
        <f>I869*250</f>
        <v>395.0625</v>
      </c>
      <c r="K869" s="2"/>
      <c r="L869" s="2"/>
      <c r="M869" s="2"/>
      <c r="N869" s="2">
        <f t="shared" si="99"/>
        <v>1580.25</v>
      </c>
      <c r="O869" s="2"/>
      <c r="P869" s="2"/>
      <c r="Q869" s="28">
        <f t="shared" si="98"/>
        <v>18.367346938775508</v>
      </c>
    </row>
    <row r="870" spans="1:17" hidden="1" x14ac:dyDescent="0.25">
      <c r="A870" s="16">
        <v>45833</v>
      </c>
      <c r="B870" s="2" t="s">
        <v>85</v>
      </c>
      <c r="C870" s="2">
        <v>1000</v>
      </c>
      <c r="D870" s="11">
        <v>0.21</v>
      </c>
      <c r="E870" s="2">
        <f t="shared" si="95"/>
        <v>1</v>
      </c>
      <c r="F870" s="10">
        <v>0.02</v>
      </c>
      <c r="G870" s="10">
        <v>7.0000000000000007E-2</v>
      </c>
      <c r="H870" s="12">
        <f t="shared" si="96"/>
        <v>0.22890000000000002</v>
      </c>
      <c r="I870" s="12">
        <f t="shared" si="97"/>
        <v>1.3189000000000002</v>
      </c>
      <c r="J870" s="2"/>
      <c r="K870" s="2">
        <f>I870*300</f>
        <v>395.67000000000007</v>
      </c>
      <c r="L870" s="2"/>
      <c r="M870" s="2"/>
      <c r="N870" s="2">
        <f t="shared" si="99"/>
        <v>1318.9</v>
      </c>
      <c r="O870" s="2"/>
      <c r="P870" s="2"/>
      <c r="Q870" s="28">
        <f t="shared" si="98"/>
        <v>17.355371900826448</v>
      </c>
    </row>
    <row r="871" spans="1:17" hidden="1" x14ac:dyDescent="0.25">
      <c r="A871" s="16">
        <v>45834</v>
      </c>
      <c r="B871" s="2" t="s">
        <v>123</v>
      </c>
      <c r="C871" s="2">
        <v>1200</v>
      </c>
      <c r="D871" s="11">
        <v>0.24</v>
      </c>
      <c r="E871" s="2">
        <f t="shared" si="95"/>
        <v>1.2</v>
      </c>
      <c r="F871" s="10">
        <v>0.02</v>
      </c>
      <c r="G871" s="10">
        <v>7.0000000000000007E-2</v>
      </c>
      <c r="H871" s="12">
        <f t="shared" si="96"/>
        <v>0.30959999999999999</v>
      </c>
      <c r="I871" s="12">
        <f t="shared" si="97"/>
        <v>1.5996000000000001</v>
      </c>
      <c r="J871" s="2"/>
      <c r="K871" s="2"/>
      <c r="L871" s="2">
        <f>I871*500</f>
        <v>799.80000000000007</v>
      </c>
      <c r="M871" s="2"/>
      <c r="N871" s="2">
        <f t="shared" si="99"/>
        <v>1599.6000000000001</v>
      </c>
      <c r="O871" s="2"/>
      <c r="P871" s="2"/>
      <c r="Q871" s="28">
        <f t="shared" si="98"/>
        <v>19.35483870967742</v>
      </c>
    </row>
    <row r="872" spans="1:17" hidden="1" x14ac:dyDescent="0.25">
      <c r="A872" s="16">
        <v>45834</v>
      </c>
      <c r="B872" s="2" t="s">
        <v>131</v>
      </c>
      <c r="C872" s="2">
        <v>1200</v>
      </c>
      <c r="D872" s="11">
        <v>0.24</v>
      </c>
      <c r="E872" s="2">
        <f t="shared" si="95"/>
        <v>1.2</v>
      </c>
      <c r="F872" s="10">
        <v>0.02</v>
      </c>
      <c r="G872" s="10">
        <v>7.0000000000000007E-2</v>
      </c>
      <c r="H872" s="12">
        <f t="shared" si="96"/>
        <v>0.30959999999999999</v>
      </c>
      <c r="I872" s="12">
        <f t="shared" si="97"/>
        <v>1.5996000000000001</v>
      </c>
      <c r="J872" s="2"/>
      <c r="K872" s="2">
        <f>I872*400</f>
        <v>639.84</v>
      </c>
      <c r="L872" s="2"/>
      <c r="M872" s="2"/>
      <c r="N872" s="2">
        <f t="shared" si="99"/>
        <v>1599.6000000000001</v>
      </c>
      <c r="O872" s="2"/>
      <c r="P872" s="2"/>
      <c r="Q872" s="28">
        <f t="shared" si="98"/>
        <v>19.35483870967742</v>
      </c>
    </row>
    <row r="873" spans="1:17" hidden="1" x14ac:dyDescent="0.25">
      <c r="A873" s="16">
        <v>45835</v>
      </c>
      <c r="B873" s="2" t="s">
        <v>139</v>
      </c>
      <c r="C873" s="2">
        <v>1300</v>
      </c>
      <c r="D873" s="11">
        <v>0.224</v>
      </c>
      <c r="E873" s="2">
        <f t="shared" si="95"/>
        <v>1.3</v>
      </c>
      <c r="F873" s="10">
        <v>0.02</v>
      </c>
      <c r="G873" s="10">
        <v>7.0000000000000007E-2</v>
      </c>
      <c r="H873" s="12">
        <f t="shared" si="96"/>
        <v>0.31136000000000003</v>
      </c>
      <c r="I873" s="12">
        <f t="shared" si="97"/>
        <v>1.7013600000000002</v>
      </c>
      <c r="J873" s="2"/>
      <c r="K873" s="2">
        <f>I873*350</f>
        <v>595.47600000000011</v>
      </c>
      <c r="L873" s="2"/>
      <c r="M873" s="2"/>
      <c r="N873" s="2">
        <f t="shared" si="99"/>
        <v>1701.3600000000001</v>
      </c>
      <c r="O873" s="2"/>
      <c r="P873" s="2"/>
      <c r="Q873" s="28">
        <f t="shared" si="98"/>
        <v>18.300653594771241</v>
      </c>
    </row>
    <row r="874" spans="1:17" hidden="1" x14ac:dyDescent="0.25">
      <c r="A874" s="16">
        <v>45835</v>
      </c>
      <c r="B874" s="2" t="s">
        <v>86</v>
      </c>
      <c r="C874" s="2">
        <v>1150</v>
      </c>
      <c r="D874" s="11">
        <v>0.27500000000000002</v>
      </c>
      <c r="E874" s="2">
        <f t="shared" si="95"/>
        <v>1.1499999999999999</v>
      </c>
      <c r="F874" s="10">
        <v>0.02</v>
      </c>
      <c r="G874" s="10">
        <v>7.0000000000000007E-2</v>
      </c>
      <c r="H874" s="12">
        <f t="shared" si="96"/>
        <v>0.34100000000000003</v>
      </c>
      <c r="I874" s="12">
        <f t="shared" si="97"/>
        <v>1.581</v>
      </c>
      <c r="J874" s="2">
        <f>I874*250</f>
        <v>395.25</v>
      </c>
      <c r="K874" s="2"/>
      <c r="L874" s="2"/>
      <c r="M874" s="2"/>
      <c r="N874" s="2">
        <f t="shared" si="99"/>
        <v>1581</v>
      </c>
      <c r="O874" s="2"/>
      <c r="P874" s="2"/>
      <c r="Q874" s="28">
        <f t="shared" si="98"/>
        <v>21.568627450980394</v>
      </c>
    </row>
    <row r="875" spans="1:17" hidden="1" x14ac:dyDescent="0.25">
      <c r="A875" s="16">
        <v>45836</v>
      </c>
      <c r="B875" s="2" t="s">
        <v>122</v>
      </c>
      <c r="C875" s="2">
        <v>650</v>
      </c>
      <c r="D875" s="11">
        <v>0.28499999999999998</v>
      </c>
      <c r="E875" s="2">
        <f t="shared" si="95"/>
        <v>0.65</v>
      </c>
      <c r="F875" s="10">
        <v>0.02</v>
      </c>
      <c r="G875" s="10">
        <v>7.0000000000000007E-2</v>
      </c>
      <c r="H875" s="12">
        <f t="shared" si="96"/>
        <v>0.21089999999999998</v>
      </c>
      <c r="I875" s="12">
        <f t="shared" si="97"/>
        <v>0.95089999999999997</v>
      </c>
      <c r="J875" s="2"/>
      <c r="K875" s="2"/>
      <c r="L875" s="2">
        <f>I875*500</f>
        <v>475.45</v>
      </c>
      <c r="M875" s="2"/>
      <c r="N875" s="2">
        <f t="shared" si="99"/>
        <v>950.9</v>
      </c>
      <c r="O875" s="2"/>
      <c r="P875" s="2"/>
      <c r="Q875" s="28">
        <f t="shared" si="98"/>
        <v>22.178988326848245</v>
      </c>
    </row>
    <row r="876" spans="1:17" hidden="1" x14ac:dyDescent="0.25">
      <c r="A876" s="16">
        <v>45836</v>
      </c>
      <c r="B876" s="2" t="s">
        <v>131</v>
      </c>
      <c r="C876" s="2">
        <v>1200</v>
      </c>
      <c r="D876" s="11">
        <v>0.25</v>
      </c>
      <c r="E876" s="2">
        <f t="shared" ref="E876:E907" si="100">C876/1000</f>
        <v>1.2</v>
      </c>
      <c r="F876" s="10">
        <v>0.02</v>
      </c>
      <c r="G876" s="10">
        <v>7.0000000000000007E-2</v>
      </c>
      <c r="H876" s="12">
        <f t="shared" ref="H876:H907" si="101">SUM(E876:G876)*D876</f>
        <v>0.32250000000000001</v>
      </c>
      <c r="I876" s="12">
        <f t="shared" ref="I876:I907" si="102">SUM(E876:H876)</f>
        <v>1.6125</v>
      </c>
      <c r="J876" s="2"/>
      <c r="K876" s="2">
        <f>I876*400</f>
        <v>645</v>
      </c>
      <c r="L876" s="2"/>
      <c r="M876" s="2"/>
      <c r="N876" s="2">
        <f t="shared" si="99"/>
        <v>1612.5</v>
      </c>
      <c r="O876" s="2"/>
      <c r="P876" s="2"/>
      <c r="Q876" s="28">
        <f t="shared" si="98"/>
        <v>20</v>
      </c>
    </row>
    <row r="877" spans="1:17" hidden="1" x14ac:dyDescent="0.25">
      <c r="A877" s="16">
        <v>45836</v>
      </c>
      <c r="B877" s="2" t="s">
        <v>85</v>
      </c>
      <c r="C877" s="2">
        <v>850</v>
      </c>
      <c r="D877" s="11">
        <v>0.40400000000000003</v>
      </c>
      <c r="E877" s="2">
        <f t="shared" si="100"/>
        <v>0.85</v>
      </c>
      <c r="F877" s="10">
        <v>0.02</v>
      </c>
      <c r="G877" s="10">
        <v>7.0000000000000007E-2</v>
      </c>
      <c r="H877" s="12">
        <f t="shared" si="101"/>
        <v>0.37975999999999999</v>
      </c>
      <c r="I877" s="12">
        <f t="shared" si="102"/>
        <v>1.31976</v>
      </c>
      <c r="J877" s="2"/>
      <c r="K877" s="2">
        <f>I877*300</f>
        <v>395.928</v>
      </c>
      <c r="L877" s="2"/>
      <c r="M877" s="2"/>
      <c r="N877" s="2">
        <f t="shared" si="99"/>
        <v>1319.76</v>
      </c>
      <c r="O877" s="2"/>
      <c r="P877" s="2"/>
      <c r="Q877" s="28">
        <f t="shared" ref="Q877:Q906" si="103">H877/I877%</f>
        <v>28.774928774928775</v>
      </c>
    </row>
    <row r="878" spans="1:17" x14ac:dyDescent="0.25">
      <c r="A878" s="16">
        <v>45839</v>
      </c>
      <c r="B878" s="2" t="s">
        <v>136</v>
      </c>
      <c r="C878" s="2">
        <v>750</v>
      </c>
      <c r="D878" s="11">
        <v>0.3</v>
      </c>
      <c r="E878" s="2">
        <f t="shared" si="100"/>
        <v>0.75</v>
      </c>
      <c r="F878" s="10">
        <v>0.02</v>
      </c>
      <c r="G878" s="10">
        <v>7.0000000000000007E-2</v>
      </c>
      <c r="H878" s="12">
        <f t="shared" si="101"/>
        <v>0.252</v>
      </c>
      <c r="I878" s="12">
        <f t="shared" si="102"/>
        <v>1.0920000000000001</v>
      </c>
      <c r="J878" s="2"/>
      <c r="K878" s="2"/>
      <c r="L878" s="2"/>
      <c r="M878" s="2"/>
      <c r="N878" s="2">
        <f t="shared" si="99"/>
        <v>1092</v>
      </c>
      <c r="O878" s="2"/>
      <c r="P878" s="2"/>
      <c r="Q878" s="28">
        <f t="shared" si="103"/>
        <v>23.076923076923077</v>
      </c>
    </row>
    <row r="879" spans="1:17" hidden="1" x14ac:dyDescent="0.25">
      <c r="A879" s="16">
        <v>45840</v>
      </c>
      <c r="B879" s="2" t="s">
        <v>123</v>
      </c>
      <c r="C879" s="2">
        <v>1250</v>
      </c>
      <c r="D879" s="11">
        <v>0.187</v>
      </c>
      <c r="E879" s="2">
        <f t="shared" si="100"/>
        <v>1.25</v>
      </c>
      <c r="F879" s="10">
        <v>0.02</v>
      </c>
      <c r="G879" s="10">
        <v>7.0000000000000007E-2</v>
      </c>
      <c r="H879" s="12">
        <f t="shared" si="101"/>
        <v>0.25058000000000002</v>
      </c>
      <c r="I879" s="12">
        <f t="shared" si="102"/>
        <v>1.5905800000000001</v>
      </c>
      <c r="J879" s="2"/>
      <c r="K879" s="2"/>
      <c r="L879" s="2">
        <f>I879*500</f>
        <v>795.29000000000008</v>
      </c>
      <c r="M879" s="2"/>
      <c r="N879" s="2">
        <f t="shared" si="99"/>
        <v>1590.5800000000002</v>
      </c>
      <c r="O879" s="2"/>
      <c r="P879" s="2"/>
      <c r="Q879" s="28">
        <f t="shared" si="103"/>
        <v>15.754001684919967</v>
      </c>
    </row>
    <row r="880" spans="1:17" hidden="1" x14ac:dyDescent="0.25">
      <c r="A880" s="16">
        <v>45840</v>
      </c>
      <c r="B880" s="2" t="s">
        <v>149</v>
      </c>
      <c r="C880" s="2">
        <v>1250</v>
      </c>
      <c r="D880" s="11">
        <v>0.2</v>
      </c>
      <c r="E880" s="2">
        <f t="shared" si="100"/>
        <v>1.25</v>
      </c>
      <c r="F880" s="10">
        <v>0.02</v>
      </c>
      <c r="G880" s="10">
        <v>7.0000000000000007E-2</v>
      </c>
      <c r="H880" s="12">
        <f t="shared" si="101"/>
        <v>0.26800000000000002</v>
      </c>
      <c r="I880" s="12">
        <f t="shared" si="102"/>
        <v>1.6080000000000001</v>
      </c>
      <c r="J880" s="2"/>
      <c r="K880" s="2"/>
      <c r="L880" s="2"/>
      <c r="M880" s="2">
        <f>I880*700</f>
        <v>1125.6000000000001</v>
      </c>
      <c r="N880" s="2">
        <f t="shared" si="99"/>
        <v>1608</v>
      </c>
      <c r="O880" s="2"/>
      <c r="P880" s="2"/>
      <c r="Q880" s="28">
        <f t="shared" si="103"/>
        <v>16.666666666666668</v>
      </c>
    </row>
    <row r="881" spans="1:17" hidden="1" x14ac:dyDescent="0.25">
      <c r="A881" s="16">
        <v>45840</v>
      </c>
      <c r="B881" s="2" t="s">
        <v>86</v>
      </c>
      <c r="C881" s="2">
        <v>1000</v>
      </c>
      <c r="D881" s="11">
        <v>0.28000000000000003</v>
      </c>
      <c r="E881" s="2">
        <f t="shared" si="100"/>
        <v>1</v>
      </c>
      <c r="F881" s="10">
        <v>0.02</v>
      </c>
      <c r="G881" s="10">
        <v>7.0000000000000007E-2</v>
      </c>
      <c r="H881" s="12">
        <f t="shared" si="101"/>
        <v>0.30520000000000003</v>
      </c>
      <c r="I881" s="12">
        <f t="shared" si="102"/>
        <v>1.3952</v>
      </c>
      <c r="J881" s="2">
        <f>I881*250</f>
        <v>348.8</v>
      </c>
      <c r="K881" s="2"/>
      <c r="L881" s="2"/>
      <c r="M881" s="2"/>
      <c r="N881" s="2">
        <f t="shared" si="99"/>
        <v>1395.2</v>
      </c>
      <c r="O881" s="2"/>
      <c r="P881" s="2"/>
      <c r="Q881" s="28">
        <f t="shared" si="103"/>
        <v>21.875000000000004</v>
      </c>
    </row>
    <row r="882" spans="1:17" x14ac:dyDescent="0.25">
      <c r="A882" s="16">
        <v>45841</v>
      </c>
      <c r="B882" s="2" t="s">
        <v>119</v>
      </c>
      <c r="C882" s="2">
        <v>650</v>
      </c>
      <c r="D882" s="11">
        <v>0.27800000000000002</v>
      </c>
      <c r="E882" s="2">
        <f t="shared" si="100"/>
        <v>0.65</v>
      </c>
      <c r="F882" s="10">
        <v>0.02</v>
      </c>
      <c r="G882" s="10">
        <v>7.0000000000000007E-2</v>
      </c>
      <c r="H882" s="12">
        <f t="shared" si="101"/>
        <v>0.20572000000000001</v>
      </c>
      <c r="I882" s="12">
        <f t="shared" si="102"/>
        <v>0.94572000000000001</v>
      </c>
      <c r="J882" s="2"/>
      <c r="K882" s="2"/>
      <c r="L882" s="2"/>
      <c r="M882" s="2">
        <f>I882*750</f>
        <v>709.29</v>
      </c>
      <c r="N882" s="2">
        <f t="shared" si="99"/>
        <v>945.72</v>
      </c>
      <c r="O882" s="2"/>
      <c r="P882" s="2"/>
      <c r="Q882" s="28">
        <f t="shared" si="103"/>
        <v>21.752738654147105</v>
      </c>
    </row>
    <row r="883" spans="1:17" hidden="1" x14ac:dyDescent="0.25">
      <c r="A883" s="16">
        <v>45841</v>
      </c>
      <c r="B883" s="2" t="s">
        <v>139</v>
      </c>
      <c r="C883" s="2">
        <v>1150</v>
      </c>
      <c r="D883" s="11">
        <v>0.32500000000000001</v>
      </c>
      <c r="E883" s="2">
        <f t="shared" si="100"/>
        <v>1.1499999999999999</v>
      </c>
      <c r="F883" s="10">
        <v>0.02</v>
      </c>
      <c r="G883" s="10">
        <v>7.0000000000000007E-2</v>
      </c>
      <c r="H883" s="12">
        <f t="shared" si="101"/>
        <v>0.40300000000000002</v>
      </c>
      <c r="I883" s="12">
        <f t="shared" si="102"/>
        <v>1.643</v>
      </c>
      <c r="J883" s="2"/>
      <c r="K883" s="2">
        <f>I883*350</f>
        <v>575.04999999999995</v>
      </c>
      <c r="L883" s="2"/>
      <c r="M883" s="2"/>
      <c r="N883" s="2">
        <f t="shared" ref="N883:N914" si="104">I883*1000</f>
        <v>1643</v>
      </c>
      <c r="O883" s="2"/>
      <c r="P883" s="2"/>
      <c r="Q883" s="28">
        <f t="shared" si="103"/>
        <v>24.528301886792455</v>
      </c>
    </row>
    <row r="884" spans="1:17" hidden="1" x14ac:dyDescent="0.25">
      <c r="A884" s="16">
        <v>45844</v>
      </c>
      <c r="B884" s="2" t="s">
        <v>139</v>
      </c>
      <c r="C884" s="2">
        <v>1270</v>
      </c>
      <c r="D884" s="11">
        <v>0.21</v>
      </c>
      <c r="E884" s="2">
        <f t="shared" si="100"/>
        <v>1.27</v>
      </c>
      <c r="F884" s="10">
        <v>0.02</v>
      </c>
      <c r="G884" s="10">
        <v>7.0000000000000007E-2</v>
      </c>
      <c r="H884" s="12">
        <f t="shared" si="101"/>
        <v>0.28560000000000002</v>
      </c>
      <c r="I884" s="12">
        <f t="shared" si="102"/>
        <v>1.6456000000000002</v>
      </c>
      <c r="J884" s="2"/>
      <c r="K884" s="2">
        <f>I884*350</f>
        <v>575.96</v>
      </c>
      <c r="L884" s="2"/>
      <c r="M884" s="2"/>
      <c r="N884" s="2">
        <f t="shared" si="104"/>
        <v>1645.6000000000001</v>
      </c>
      <c r="O884" s="2"/>
      <c r="P884" s="2"/>
      <c r="Q884" s="28">
        <f t="shared" si="103"/>
        <v>17.355371900826444</v>
      </c>
    </row>
    <row r="885" spans="1:17" hidden="1" x14ac:dyDescent="0.25">
      <c r="A885" s="16">
        <v>45844</v>
      </c>
      <c r="B885" s="2" t="s">
        <v>85</v>
      </c>
      <c r="C885" s="2">
        <v>860</v>
      </c>
      <c r="D885" s="11">
        <v>0.316</v>
      </c>
      <c r="E885" s="2">
        <f t="shared" si="100"/>
        <v>0.86</v>
      </c>
      <c r="F885" s="10">
        <v>0.02</v>
      </c>
      <c r="G885" s="10">
        <v>7.0000000000000007E-2</v>
      </c>
      <c r="H885" s="12">
        <f t="shared" si="101"/>
        <v>0.30019999999999997</v>
      </c>
      <c r="I885" s="12">
        <f t="shared" si="102"/>
        <v>1.2502</v>
      </c>
      <c r="J885" s="2"/>
      <c r="K885" s="2">
        <f>I885*300</f>
        <v>375.06</v>
      </c>
      <c r="L885" s="2"/>
      <c r="M885" s="2"/>
      <c r="N885" s="2">
        <f t="shared" si="104"/>
        <v>1250.2</v>
      </c>
      <c r="O885" s="2"/>
      <c r="P885" s="2"/>
      <c r="Q885" s="28">
        <f t="shared" si="103"/>
        <v>24.012158054711247</v>
      </c>
    </row>
    <row r="886" spans="1:17" hidden="1" x14ac:dyDescent="0.25">
      <c r="A886" s="16">
        <v>45846</v>
      </c>
      <c r="B886" s="2" t="s">
        <v>230</v>
      </c>
      <c r="C886" s="2">
        <v>550</v>
      </c>
      <c r="D886" s="11">
        <v>0.35</v>
      </c>
      <c r="E886" s="2">
        <f t="shared" si="100"/>
        <v>0.55000000000000004</v>
      </c>
      <c r="F886" s="10">
        <v>0.02</v>
      </c>
      <c r="G886" s="10">
        <v>7.0000000000000007E-2</v>
      </c>
      <c r="H886" s="12">
        <f t="shared" si="101"/>
        <v>0.22400000000000003</v>
      </c>
      <c r="I886" s="12">
        <f t="shared" si="102"/>
        <v>0.8640000000000001</v>
      </c>
      <c r="J886" s="2"/>
      <c r="K886" s="2">
        <f>I886*400</f>
        <v>345.6</v>
      </c>
      <c r="L886" s="2">
        <f>I886*500</f>
        <v>432.00000000000006</v>
      </c>
      <c r="M886" s="2"/>
      <c r="N886" s="2">
        <f t="shared" si="104"/>
        <v>864.00000000000011</v>
      </c>
      <c r="O886" s="2"/>
      <c r="P886" s="2"/>
      <c r="Q886" s="28">
        <f t="shared" si="103"/>
        <v>25.925925925925924</v>
      </c>
    </row>
    <row r="887" spans="1:17" hidden="1" x14ac:dyDescent="0.25">
      <c r="A887" s="16">
        <v>45846</v>
      </c>
      <c r="B887" s="2" t="s">
        <v>122</v>
      </c>
      <c r="C887" s="2">
        <v>550</v>
      </c>
      <c r="D887" s="11">
        <v>0.39300000000000002</v>
      </c>
      <c r="E887" s="2">
        <f t="shared" si="100"/>
        <v>0.55000000000000004</v>
      </c>
      <c r="F887" s="10">
        <v>0.02</v>
      </c>
      <c r="G887" s="10">
        <v>7.0000000000000007E-2</v>
      </c>
      <c r="H887" s="12">
        <f t="shared" si="101"/>
        <v>0.25152000000000008</v>
      </c>
      <c r="I887" s="12">
        <f t="shared" si="102"/>
        <v>0.8915200000000002</v>
      </c>
      <c r="J887" s="2"/>
      <c r="K887" s="2">
        <v>0</v>
      </c>
      <c r="L887" s="2">
        <f>I887*500</f>
        <v>445.7600000000001</v>
      </c>
      <c r="M887" s="2"/>
      <c r="N887" s="2">
        <f t="shared" si="104"/>
        <v>891.52000000000021</v>
      </c>
      <c r="O887" s="2"/>
      <c r="P887" s="2"/>
      <c r="Q887" s="28">
        <f t="shared" si="103"/>
        <v>28.212491026561381</v>
      </c>
    </row>
    <row r="888" spans="1:17" hidden="1" x14ac:dyDescent="0.25">
      <c r="A888" s="16">
        <v>45846</v>
      </c>
      <c r="B888" s="2" t="s">
        <v>139</v>
      </c>
      <c r="C888" s="2">
        <v>1300</v>
      </c>
      <c r="D888" s="11">
        <v>0.29799999999999999</v>
      </c>
      <c r="E888" s="2">
        <f t="shared" si="100"/>
        <v>1.3</v>
      </c>
      <c r="F888" s="10">
        <v>0.02</v>
      </c>
      <c r="G888" s="10">
        <v>7.0000000000000007E-2</v>
      </c>
      <c r="H888" s="12">
        <f t="shared" si="101"/>
        <v>0.41422000000000003</v>
      </c>
      <c r="I888" s="12">
        <f t="shared" si="102"/>
        <v>1.8042200000000002</v>
      </c>
      <c r="J888" s="2"/>
      <c r="K888" s="2">
        <f>I888*350</f>
        <v>631.47700000000009</v>
      </c>
      <c r="L888" s="2"/>
      <c r="M888" s="2"/>
      <c r="N888" s="2">
        <f t="shared" si="104"/>
        <v>1804.2200000000003</v>
      </c>
      <c r="O888" s="2"/>
      <c r="P888" s="2"/>
      <c r="Q888" s="28">
        <f t="shared" si="103"/>
        <v>22.95839753466872</v>
      </c>
    </row>
    <row r="889" spans="1:17" hidden="1" x14ac:dyDescent="0.25">
      <c r="A889" s="16">
        <v>45847</v>
      </c>
      <c r="B889" s="2" t="s">
        <v>123</v>
      </c>
      <c r="C889" s="2">
        <v>1250</v>
      </c>
      <c r="D889" s="11">
        <v>0.34499999999999997</v>
      </c>
      <c r="E889" s="2">
        <f t="shared" si="100"/>
        <v>1.25</v>
      </c>
      <c r="F889" s="10">
        <v>0.02</v>
      </c>
      <c r="G889" s="10">
        <v>7.0000000000000007E-2</v>
      </c>
      <c r="H889" s="12">
        <f t="shared" si="101"/>
        <v>0.46229999999999999</v>
      </c>
      <c r="I889" s="12">
        <f t="shared" si="102"/>
        <v>1.8023</v>
      </c>
      <c r="J889" s="2"/>
      <c r="K889" s="2"/>
      <c r="L889" s="2">
        <f>I889*450</f>
        <v>811.03499999999997</v>
      </c>
      <c r="M889" s="2"/>
      <c r="N889" s="2">
        <f t="shared" si="104"/>
        <v>1802.3</v>
      </c>
      <c r="O889" s="2"/>
      <c r="P889" s="2"/>
      <c r="Q889" s="28">
        <f t="shared" si="103"/>
        <v>25.650557620817843</v>
      </c>
    </row>
    <row r="890" spans="1:17" hidden="1" x14ac:dyDescent="0.25">
      <c r="A890" s="16">
        <v>45847</v>
      </c>
      <c r="B890" s="2" t="s">
        <v>131</v>
      </c>
      <c r="C890" s="2">
        <v>1250</v>
      </c>
      <c r="D890" s="11">
        <v>0.34</v>
      </c>
      <c r="E890" s="2">
        <f t="shared" si="100"/>
        <v>1.25</v>
      </c>
      <c r="F890" s="10">
        <v>0.02</v>
      </c>
      <c r="G890" s="10">
        <v>7.0000000000000007E-2</v>
      </c>
      <c r="H890" s="12">
        <f t="shared" si="101"/>
        <v>0.45560000000000006</v>
      </c>
      <c r="I890" s="12">
        <f t="shared" si="102"/>
        <v>1.7956000000000001</v>
      </c>
      <c r="J890" s="2"/>
      <c r="K890" s="2">
        <f>I890*400</f>
        <v>718.24</v>
      </c>
      <c r="L890" s="2"/>
      <c r="M890" s="2"/>
      <c r="N890" s="2">
        <f t="shared" si="104"/>
        <v>1795.6000000000001</v>
      </c>
      <c r="O890" s="2"/>
      <c r="P890" s="2"/>
      <c r="Q890" s="28">
        <f t="shared" si="103"/>
        <v>25.373134328358212</v>
      </c>
    </row>
    <row r="891" spans="1:17" hidden="1" x14ac:dyDescent="0.25">
      <c r="A891" s="16">
        <v>45847</v>
      </c>
      <c r="B891" s="2" t="s">
        <v>231</v>
      </c>
      <c r="C891" s="2">
        <v>950</v>
      </c>
      <c r="D891" s="11">
        <v>0.56399999999999995</v>
      </c>
      <c r="E891" s="2">
        <f t="shared" si="100"/>
        <v>0.95</v>
      </c>
      <c r="F891" s="10">
        <v>0.02</v>
      </c>
      <c r="G891" s="10">
        <v>7.0000000000000007E-2</v>
      </c>
      <c r="H891" s="12">
        <f t="shared" si="101"/>
        <v>0.58655999999999997</v>
      </c>
      <c r="I891" s="12">
        <f t="shared" si="102"/>
        <v>1.62656</v>
      </c>
      <c r="J891" s="2">
        <f>I891*200</f>
        <v>325.31200000000001</v>
      </c>
      <c r="K891" s="2"/>
      <c r="L891" s="2"/>
      <c r="M891" s="2"/>
      <c r="N891" s="2">
        <f t="shared" si="104"/>
        <v>1626.56</v>
      </c>
      <c r="O891" s="2"/>
      <c r="P891" s="2"/>
      <c r="Q891" s="28">
        <f t="shared" si="103"/>
        <v>36.061381074168793</v>
      </c>
    </row>
    <row r="892" spans="1:17" hidden="1" x14ac:dyDescent="0.25">
      <c r="A892" s="16">
        <v>45847</v>
      </c>
      <c r="B892" s="2" t="s">
        <v>86</v>
      </c>
      <c r="C892" s="2">
        <v>1150</v>
      </c>
      <c r="D892" s="11">
        <v>0.27500000000000002</v>
      </c>
      <c r="E892" s="2">
        <f t="shared" si="100"/>
        <v>1.1499999999999999</v>
      </c>
      <c r="F892" s="10">
        <v>0.02</v>
      </c>
      <c r="G892" s="10">
        <v>7.0000000000000007E-2</v>
      </c>
      <c r="H892" s="12">
        <f t="shared" si="101"/>
        <v>0.34100000000000003</v>
      </c>
      <c r="I892" s="12">
        <f t="shared" si="102"/>
        <v>1.581</v>
      </c>
      <c r="J892" s="2">
        <f>I892*250</f>
        <v>395.25</v>
      </c>
      <c r="K892" s="2"/>
      <c r="L892" s="2"/>
      <c r="M892" s="2"/>
      <c r="N892" s="2">
        <f t="shared" si="104"/>
        <v>1581</v>
      </c>
      <c r="O892" s="2"/>
      <c r="P892" s="2"/>
      <c r="Q892" s="28">
        <f t="shared" si="103"/>
        <v>21.568627450980394</v>
      </c>
    </row>
    <row r="893" spans="1:17" hidden="1" x14ac:dyDescent="0.25">
      <c r="A893" s="16">
        <v>45847</v>
      </c>
      <c r="B893" s="2" t="s">
        <v>85</v>
      </c>
      <c r="C893" s="2">
        <v>950</v>
      </c>
      <c r="D893" s="11">
        <v>0.36499999999999999</v>
      </c>
      <c r="E893" s="2">
        <f t="shared" si="100"/>
        <v>0.95</v>
      </c>
      <c r="F893" s="10">
        <v>0.02</v>
      </c>
      <c r="G893" s="10">
        <v>7.0000000000000007E-2</v>
      </c>
      <c r="H893" s="12">
        <f t="shared" si="101"/>
        <v>0.37959999999999999</v>
      </c>
      <c r="I893" s="12">
        <f t="shared" si="102"/>
        <v>1.4196</v>
      </c>
      <c r="J893" s="2"/>
      <c r="K893" s="2">
        <f>I893*300</f>
        <v>425.88</v>
      </c>
      <c r="L893" s="2"/>
      <c r="M893" s="2"/>
      <c r="N893" s="2">
        <f t="shared" si="104"/>
        <v>1419.6</v>
      </c>
      <c r="O893" s="2"/>
      <c r="P893" s="2"/>
      <c r="Q893" s="28">
        <f t="shared" si="103"/>
        <v>26.739926739926737</v>
      </c>
    </row>
    <row r="894" spans="1:17" x14ac:dyDescent="0.25">
      <c r="A894" s="16">
        <v>45848</v>
      </c>
      <c r="B894" s="2" t="s">
        <v>119</v>
      </c>
      <c r="C894" s="2">
        <v>850</v>
      </c>
      <c r="D894" s="11">
        <v>0.27700000000000002</v>
      </c>
      <c r="E894" s="2">
        <f t="shared" si="100"/>
        <v>0.85</v>
      </c>
      <c r="F894" s="10">
        <v>0.02</v>
      </c>
      <c r="G894" s="10">
        <v>7.0000000000000007E-2</v>
      </c>
      <c r="H894" s="12">
        <f t="shared" si="101"/>
        <v>0.26038</v>
      </c>
      <c r="I894" s="12">
        <f t="shared" si="102"/>
        <v>1.20038</v>
      </c>
      <c r="J894" s="2"/>
      <c r="K894" s="2"/>
      <c r="L894" s="2"/>
      <c r="M894" s="2">
        <f>I894*750</f>
        <v>900.28499999999997</v>
      </c>
      <c r="N894" s="2">
        <f t="shared" si="104"/>
        <v>1200.3800000000001</v>
      </c>
      <c r="O894" s="2"/>
      <c r="P894" s="2"/>
      <c r="Q894" s="28">
        <f t="shared" si="103"/>
        <v>21.691464369616288</v>
      </c>
    </row>
    <row r="895" spans="1:17" x14ac:dyDescent="0.25">
      <c r="A895" s="16">
        <v>45848</v>
      </c>
      <c r="B895" s="2" t="s">
        <v>200</v>
      </c>
      <c r="C895" s="2">
        <v>850</v>
      </c>
      <c r="D895" s="11">
        <v>0.27700000000000002</v>
      </c>
      <c r="E895" s="2">
        <f t="shared" si="100"/>
        <v>0.85</v>
      </c>
      <c r="F895" s="10">
        <v>0.02</v>
      </c>
      <c r="G895" s="10">
        <v>7.0000000000000007E-2</v>
      </c>
      <c r="H895" s="12">
        <f t="shared" si="101"/>
        <v>0.26038</v>
      </c>
      <c r="I895" s="12">
        <f t="shared" si="102"/>
        <v>1.20038</v>
      </c>
      <c r="J895" s="2"/>
      <c r="K895" s="2"/>
      <c r="L895" s="2">
        <f>I895*500</f>
        <v>600.19000000000005</v>
      </c>
      <c r="M895" s="2"/>
      <c r="N895" s="2">
        <f t="shared" si="104"/>
        <v>1200.3800000000001</v>
      </c>
      <c r="O895" s="2"/>
      <c r="P895" s="2"/>
      <c r="Q895" s="28">
        <f t="shared" si="103"/>
        <v>21.691464369616288</v>
      </c>
    </row>
    <row r="896" spans="1:17" hidden="1" x14ac:dyDescent="0.25">
      <c r="A896" s="16">
        <v>45848</v>
      </c>
      <c r="B896" s="2" t="s">
        <v>109</v>
      </c>
      <c r="C896" s="2">
        <v>770</v>
      </c>
      <c r="D896" s="11">
        <v>0.39</v>
      </c>
      <c r="E896" s="2">
        <f t="shared" si="100"/>
        <v>0.77</v>
      </c>
      <c r="F896" s="10">
        <v>0.02</v>
      </c>
      <c r="G896" s="10">
        <v>7.0000000000000007E-2</v>
      </c>
      <c r="H896" s="12">
        <f t="shared" si="101"/>
        <v>0.33540000000000003</v>
      </c>
      <c r="I896" s="12">
        <f t="shared" si="102"/>
        <v>1.1954000000000002</v>
      </c>
      <c r="J896" s="2"/>
      <c r="K896" s="2"/>
      <c r="L896" s="2"/>
      <c r="M896" s="2"/>
      <c r="N896" s="2">
        <f t="shared" si="104"/>
        <v>1195.4000000000003</v>
      </c>
      <c r="O896" s="2"/>
      <c r="P896" s="2"/>
      <c r="Q896" s="28">
        <f t="shared" si="103"/>
        <v>28.057553956834528</v>
      </c>
    </row>
    <row r="897" spans="1:17" hidden="1" x14ac:dyDescent="0.25">
      <c r="A897" s="16">
        <v>45848</v>
      </c>
      <c r="B897" s="2" t="s">
        <v>239</v>
      </c>
      <c r="C897" s="2">
        <v>150</v>
      </c>
      <c r="D897" s="11">
        <v>0.23</v>
      </c>
      <c r="E897" s="2">
        <f t="shared" si="100"/>
        <v>0.15</v>
      </c>
      <c r="F897" s="10">
        <v>0.02</v>
      </c>
      <c r="G897" s="10">
        <v>7.0000000000000007E-2</v>
      </c>
      <c r="H897" s="12">
        <f t="shared" si="101"/>
        <v>5.5199999999999999E-2</v>
      </c>
      <c r="I897" s="12">
        <f t="shared" si="102"/>
        <v>0.29520000000000002</v>
      </c>
      <c r="J897" s="2"/>
      <c r="K897" s="2"/>
      <c r="L897" s="2"/>
      <c r="M897" s="2"/>
      <c r="N897" s="2">
        <f t="shared" si="104"/>
        <v>295.20000000000005</v>
      </c>
      <c r="O897" s="2"/>
      <c r="P897" s="2"/>
      <c r="Q897" s="28">
        <f t="shared" si="103"/>
        <v>18.699186991869919</v>
      </c>
    </row>
    <row r="898" spans="1:17" hidden="1" x14ac:dyDescent="0.25">
      <c r="A898" s="16">
        <v>45848</v>
      </c>
      <c r="B898" s="2" t="s">
        <v>86</v>
      </c>
      <c r="C898" s="2">
        <v>1000</v>
      </c>
      <c r="D898" s="11">
        <v>0.495</v>
      </c>
      <c r="E898" s="2">
        <f t="shared" si="100"/>
        <v>1</v>
      </c>
      <c r="F898" s="10">
        <v>0.02</v>
      </c>
      <c r="G898" s="10">
        <v>7.0000000000000007E-2</v>
      </c>
      <c r="H898" s="12">
        <f t="shared" si="101"/>
        <v>0.53955000000000009</v>
      </c>
      <c r="I898" s="12">
        <f t="shared" si="102"/>
        <v>1.6295500000000001</v>
      </c>
      <c r="J898" s="2">
        <f>I898*200</f>
        <v>325.91000000000003</v>
      </c>
      <c r="K898" s="2"/>
      <c r="L898" s="2"/>
      <c r="M898" s="2"/>
      <c r="N898" s="2">
        <f t="shared" si="104"/>
        <v>1629.55</v>
      </c>
      <c r="O898" s="2"/>
      <c r="P898" s="2"/>
      <c r="Q898" s="28">
        <f t="shared" si="103"/>
        <v>33.110367892976591</v>
      </c>
    </row>
    <row r="899" spans="1:17" hidden="1" x14ac:dyDescent="0.25">
      <c r="A899" s="16">
        <v>45849</v>
      </c>
      <c r="B899" s="2" t="s">
        <v>123</v>
      </c>
      <c r="C899" s="2">
        <v>1350</v>
      </c>
      <c r="D899" s="11">
        <v>0.25700000000000001</v>
      </c>
      <c r="E899" s="2">
        <f t="shared" si="100"/>
        <v>1.35</v>
      </c>
      <c r="F899" s="10">
        <v>0.02</v>
      </c>
      <c r="G899" s="10">
        <v>7.0000000000000007E-2</v>
      </c>
      <c r="H899" s="12">
        <f t="shared" si="101"/>
        <v>0.37008000000000008</v>
      </c>
      <c r="I899" s="12">
        <f t="shared" si="102"/>
        <v>1.8100800000000001</v>
      </c>
      <c r="J899" s="2"/>
      <c r="K899" s="2"/>
      <c r="L899" s="2">
        <f>I899*550</f>
        <v>995.5440000000001</v>
      </c>
      <c r="M899" s="2"/>
      <c r="N899" s="2">
        <f t="shared" si="104"/>
        <v>1810.0800000000002</v>
      </c>
      <c r="O899" s="2"/>
      <c r="P899" s="2"/>
      <c r="Q899" s="28">
        <f t="shared" si="103"/>
        <v>20.445505171042168</v>
      </c>
    </row>
    <row r="900" spans="1:17" hidden="1" x14ac:dyDescent="0.25">
      <c r="A900" s="16">
        <v>45849</v>
      </c>
      <c r="B900" s="2" t="s">
        <v>86</v>
      </c>
      <c r="C900" s="2">
        <v>1150</v>
      </c>
      <c r="D900" s="11">
        <v>0.21</v>
      </c>
      <c r="E900" s="2">
        <f t="shared" si="100"/>
        <v>1.1499999999999999</v>
      </c>
      <c r="F900" s="10">
        <v>0.02</v>
      </c>
      <c r="G900" s="10">
        <v>7.0000000000000007E-2</v>
      </c>
      <c r="H900" s="12">
        <f t="shared" si="101"/>
        <v>0.26039999999999996</v>
      </c>
      <c r="I900" s="12">
        <f t="shared" si="102"/>
        <v>1.5004</v>
      </c>
      <c r="J900" s="2">
        <f>I900*250</f>
        <v>375.09999999999997</v>
      </c>
      <c r="K900" s="2"/>
      <c r="L900" s="2"/>
      <c r="M900" s="2"/>
      <c r="N900" s="2">
        <f t="shared" si="104"/>
        <v>1500.3999999999999</v>
      </c>
      <c r="O900" s="2"/>
      <c r="P900" s="2"/>
      <c r="Q900" s="28">
        <f t="shared" si="103"/>
        <v>17.355371900826444</v>
      </c>
    </row>
    <row r="901" spans="1:17" hidden="1" x14ac:dyDescent="0.25">
      <c r="A901" s="16">
        <v>45849</v>
      </c>
      <c r="B901" s="2" t="s">
        <v>85</v>
      </c>
      <c r="C901" s="2">
        <v>950</v>
      </c>
      <c r="D901" s="11">
        <v>0.26800000000000002</v>
      </c>
      <c r="E901" s="2">
        <f t="shared" si="100"/>
        <v>0.95</v>
      </c>
      <c r="F901" s="10">
        <v>0.02</v>
      </c>
      <c r="G901" s="10">
        <v>7.0000000000000007E-2</v>
      </c>
      <c r="H901" s="12">
        <f t="shared" si="101"/>
        <v>0.27872000000000002</v>
      </c>
      <c r="I901" s="12">
        <f t="shared" si="102"/>
        <v>1.3187200000000001</v>
      </c>
      <c r="J901" s="2"/>
      <c r="K901" s="2">
        <f>I901*300</f>
        <v>395.61600000000004</v>
      </c>
      <c r="L901" s="2"/>
      <c r="M901" s="2"/>
      <c r="N901" s="2">
        <f t="shared" si="104"/>
        <v>1318.72</v>
      </c>
      <c r="O901" s="2"/>
      <c r="P901" s="2"/>
      <c r="Q901" s="28">
        <f t="shared" si="103"/>
        <v>21.135646687697161</v>
      </c>
    </row>
    <row r="902" spans="1:17" hidden="1" x14ac:dyDescent="0.25">
      <c r="A902" s="16">
        <v>45850</v>
      </c>
      <c r="B902" s="2" t="s">
        <v>123</v>
      </c>
      <c r="C902" s="2">
        <v>1200</v>
      </c>
      <c r="D902" s="11">
        <v>0.54300000000000004</v>
      </c>
      <c r="E902" s="2">
        <f t="shared" si="100"/>
        <v>1.2</v>
      </c>
      <c r="F902" s="10">
        <v>0.02</v>
      </c>
      <c r="G902" s="10">
        <v>7.0000000000000007E-2</v>
      </c>
      <c r="H902" s="12">
        <f t="shared" si="101"/>
        <v>0.70047000000000004</v>
      </c>
      <c r="I902" s="12">
        <f t="shared" si="102"/>
        <v>1.9904700000000002</v>
      </c>
      <c r="J902" s="2"/>
      <c r="K902" s="2">
        <f>I902*400</f>
        <v>796.1880000000001</v>
      </c>
      <c r="L902" s="2">
        <f>I902*500</f>
        <v>995.23500000000013</v>
      </c>
      <c r="M902" s="2"/>
      <c r="N902" s="2">
        <f t="shared" si="104"/>
        <v>1990.4700000000003</v>
      </c>
      <c r="O902" s="2"/>
      <c r="P902" s="2"/>
      <c r="Q902" s="28">
        <f t="shared" si="103"/>
        <v>35.191186001296174</v>
      </c>
    </row>
    <row r="903" spans="1:17" hidden="1" x14ac:dyDescent="0.25">
      <c r="A903" s="16">
        <v>45850</v>
      </c>
      <c r="B903" s="2" t="s">
        <v>231</v>
      </c>
      <c r="C903" s="2">
        <v>970</v>
      </c>
      <c r="D903" s="11">
        <v>0.22900000000000001</v>
      </c>
      <c r="E903" s="2">
        <f t="shared" si="100"/>
        <v>0.97</v>
      </c>
      <c r="F903" s="10">
        <v>0.02</v>
      </c>
      <c r="G903" s="10">
        <v>7.0000000000000007E-2</v>
      </c>
      <c r="H903" s="12">
        <f t="shared" si="101"/>
        <v>0.24274000000000001</v>
      </c>
      <c r="I903" s="12">
        <f t="shared" si="102"/>
        <v>1.30274</v>
      </c>
      <c r="J903" s="2">
        <f>I903*250</f>
        <v>325.685</v>
      </c>
      <c r="K903" s="2"/>
      <c r="L903" s="2"/>
      <c r="M903" s="2"/>
      <c r="N903" s="2">
        <f t="shared" si="104"/>
        <v>1302.74</v>
      </c>
      <c r="O903" s="2"/>
      <c r="P903" s="2"/>
      <c r="Q903" s="28">
        <f t="shared" si="103"/>
        <v>18.633034987794957</v>
      </c>
    </row>
    <row r="904" spans="1:17" hidden="1" x14ac:dyDescent="0.25">
      <c r="A904" s="16">
        <v>45850</v>
      </c>
      <c r="B904" s="2" t="s">
        <v>86</v>
      </c>
      <c r="C904" s="2">
        <v>1150</v>
      </c>
      <c r="D904" s="11">
        <v>0.39400000000000002</v>
      </c>
      <c r="E904" s="2">
        <f t="shared" si="100"/>
        <v>1.1499999999999999</v>
      </c>
      <c r="F904" s="10">
        <v>0.02</v>
      </c>
      <c r="G904" s="10">
        <v>7.0000000000000007E-2</v>
      </c>
      <c r="H904" s="12">
        <f t="shared" si="101"/>
        <v>0.48855999999999999</v>
      </c>
      <c r="I904" s="12">
        <f t="shared" si="102"/>
        <v>1.7285599999999999</v>
      </c>
      <c r="J904" s="2">
        <f>I904*200</f>
        <v>345.71199999999999</v>
      </c>
      <c r="K904" s="2"/>
      <c r="L904" s="2"/>
      <c r="M904" s="2"/>
      <c r="N904" s="2">
        <f t="shared" si="104"/>
        <v>1728.56</v>
      </c>
      <c r="O904" s="2"/>
      <c r="P904" s="2"/>
      <c r="Q904" s="28">
        <f t="shared" si="103"/>
        <v>28.263988522238165</v>
      </c>
    </row>
    <row r="905" spans="1:17" hidden="1" x14ac:dyDescent="0.25">
      <c r="A905" s="16">
        <v>45850</v>
      </c>
      <c r="B905" s="2" t="s">
        <v>85</v>
      </c>
      <c r="C905" s="2">
        <v>970</v>
      </c>
      <c r="D905" s="11">
        <v>0.24299999999999999</v>
      </c>
      <c r="E905" s="2">
        <f t="shared" si="100"/>
        <v>0.97</v>
      </c>
      <c r="F905" s="10">
        <v>0.02</v>
      </c>
      <c r="G905" s="10">
        <v>7.0000000000000007E-2</v>
      </c>
      <c r="H905" s="12">
        <f t="shared" si="101"/>
        <v>0.25758000000000003</v>
      </c>
      <c r="I905" s="12">
        <f t="shared" si="102"/>
        <v>1.31758</v>
      </c>
      <c r="J905" s="2"/>
      <c r="K905" s="2">
        <f>I905*300</f>
        <v>395.274</v>
      </c>
      <c r="L905" s="2"/>
      <c r="M905" s="2"/>
      <c r="N905" s="2">
        <f t="shared" si="104"/>
        <v>1317.58</v>
      </c>
      <c r="O905" s="2"/>
      <c r="P905" s="2"/>
      <c r="Q905" s="28">
        <f t="shared" si="103"/>
        <v>19.549477071600968</v>
      </c>
    </row>
    <row r="906" spans="1:17" hidden="1" x14ac:dyDescent="0.25">
      <c r="A906" s="16">
        <v>45851</v>
      </c>
      <c r="B906" s="2" t="s">
        <v>139</v>
      </c>
      <c r="C906" s="2">
        <v>1400</v>
      </c>
      <c r="D906" s="11">
        <v>0.33200000000000002</v>
      </c>
      <c r="E906" s="2">
        <f t="shared" si="100"/>
        <v>1.4</v>
      </c>
      <c r="F906" s="10">
        <v>0.02</v>
      </c>
      <c r="G906" s="10">
        <v>7.0000000000000007E-2</v>
      </c>
      <c r="H906" s="12">
        <f t="shared" si="101"/>
        <v>0.49468000000000001</v>
      </c>
      <c r="I906" s="12">
        <f t="shared" si="102"/>
        <v>1.98468</v>
      </c>
      <c r="J906" s="2"/>
      <c r="K906" s="2">
        <f>I906*300</f>
        <v>595.404</v>
      </c>
      <c r="L906" s="2"/>
      <c r="M906" s="2"/>
      <c r="N906" s="2">
        <f t="shared" si="104"/>
        <v>1984.68</v>
      </c>
      <c r="O906" s="2"/>
      <c r="P906" s="2"/>
      <c r="Q906" s="28">
        <f t="shared" si="103"/>
        <v>24.924924924924923</v>
      </c>
    </row>
    <row r="907" spans="1:17" x14ac:dyDescent="0.25">
      <c r="A907" s="16">
        <v>45853</v>
      </c>
      <c r="B907" s="2" t="s">
        <v>136</v>
      </c>
      <c r="C907" s="2">
        <v>780</v>
      </c>
      <c r="D907" s="11">
        <v>0.372</v>
      </c>
      <c r="E907" s="2">
        <f t="shared" si="100"/>
        <v>0.78</v>
      </c>
      <c r="F907" s="10">
        <v>0.02</v>
      </c>
      <c r="G907" s="10">
        <v>7.0000000000000007E-2</v>
      </c>
      <c r="H907" s="12">
        <f t="shared" si="101"/>
        <v>0.32364000000000004</v>
      </c>
      <c r="I907" s="12">
        <f t="shared" si="102"/>
        <v>1.1936400000000003</v>
      </c>
      <c r="J907" s="2"/>
      <c r="K907" s="2"/>
      <c r="L907" s="2"/>
      <c r="M907" s="2"/>
      <c r="N907" s="2">
        <f t="shared" si="104"/>
        <v>1193.6400000000003</v>
      </c>
      <c r="O907" s="2"/>
      <c r="P907" s="2"/>
      <c r="Q907" s="28"/>
    </row>
    <row r="908" spans="1:17" x14ac:dyDescent="0.25">
      <c r="A908" s="16">
        <v>45853</v>
      </c>
      <c r="B908" s="2" t="s">
        <v>119</v>
      </c>
      <c r="C908" s="2">
        <v>780</v>
      </c>
      <c r="D908" s="11">
        <v>0.26600000000000001</v>
      </c>
      <c r="E908" s="2">
        <f t="shared" ref="E908:E939" si="105">C908/1000</f>
        <v>0.78</v>
      </c>
      <c r="F908" s="10">
        <v>0.02</v>
      </c>
      <c r="G908" s="10">
        <v>7.0000000000000007E-2</v>
      </c>
      <c r="H908" s="12">
        <f t="shared" ref="H908:H939" si="106">SUM(E908:G908)*D908</f>
        <v>0.23142000000000004</v>
      </c>
      <c r="I908" s="12">
        <f t="shared" ref="I908:I939" si="107">SUM(E908:H908)</f>
        <v>1.1014200000000001</v>
      </c>
      <c r="J908" s="2"/>
      <c r="K908" s="2"/>
      <c r="L908" s="2"/>
      <c r="M908" s="2">
        <f>I908*750</f>
        <v>826.06500000000005</v>
      </c>
      <c r="N908" s="2">
        <f t="shared" si="104"/>
        <v>1101.42</v>
      </c>
      <c r="O908" s="2"/>
      <c r="P908" s="2"/>
      <c r="Q908" s="28">
        <f t="shared" ref="Q908:Q939" si="108">H908/I908%</f>
        <v>21.011058451816748</v>
      </c>
    </row>
    <row r="909" spans="1:17" hidden="1" x14ac:dyDescent="0.25">
      <c r="A909" s="16">
        <v>45853</v>
      </c>
      <c r="B909" s="2" t="s">
        <v>188</v>
      </c>
      <c r="C909" s="2">
        <v>780</v>
      </c>
      <c r="D909" s="11">
        <v>0.14499999999999999</v>
      </c>
      <c r="E909" s="2">
        <f t="shared" si="105"/>
        <v>0.78</v>
      </c>
      <c r="F909" s="10">
        <v>0.02</v>
      </c>
      <c r="G909" s="10">
        <v>7.0000000000000007E-2</v>
      </c>
      <c r="H909" s="12">
        <f t="shared" si="106"/>
        <v>0.12615000000000001</v>
      </c>
      <c r="I909" s="12">
        <f t="shared" si="107"/>
        <v>0.99615000000000009</v>
      </c>
      <c r="J909" s="2"/>
      <c r="K909" s="2"/>
      <c r="L909" s="2"/>
      <c r="M909" s="2"/>
      <c r="N909" s="2">
        <f t="shared" si="104"/>
        <v>996.15000000000009</v>
      </c>
      <c r="O909" s="2"/>
      <c r="P909" s="2">
        <f>I909*1500</f>
        <v>1494.2250000000001</v>
      </c>
      <c r="Q909" s="28">
        <f t="shared" si="108"/>
        <v>12.663755458515283</v>
      </c>
    </row>
    <row r="910" spans="1:17" hidden="1" x14ac:dyDescent="0.25">
      <c r="A910" s="16">
        <v>45853</v>
      </c>
      <c r="B910" s="2" t="s">
        <v>109</v>
      </c>
      <c r="C910" s="2">
        <v>750</v>
      </c>
      <c r="D910" s="11">
        <v>0.31</v>
      </c>
      <c r="E910" s="2">
        <f t="shared" si="105"/>
        <v>0.75</v>
      </c>
      <c r="F910" s="10">
        <v>0.02</v>
      </c>
      <c r="G910" s="10">
        <v>7.0000000000000007E-2</v>
      </c>
      <c r="H910" s="12">
        <f t="shared" si="106"/>
        <v>0.26040000000000002</v>
      </c>
      <c r="I910" s="12">
        <f t="shared" si="107"/>
        <v>1.1004</v>
      </c>
      <c r="J910" s="2"/>
      <c r="K910" s="2"/>
      <c r="L910" s="2"/>
      <c r="M910" s="2"/>
      <c r="N910" s="2">
        <f t="shared" si="104"/>
        <v>1100.4000000000001</v>
      </c>
      <c r="O910" s="2"/>
      <c r="P910" s="2"/>
      <c r="Q910" s="28">
        <f t="shared" si="108"/>
        <v>23.664122137404583</v>
      </c>
    </row>
    <row r="911" spans="1:17" hidden="1" x14ac:dyDescent="0.25">
      <c r="A911" s="16">
        <v>45853</v>
      </c>
      <c r="B911" s="2" t="s">
        <v>98</v>
      </c>
      <c r="C911" s="2">
        <v>750</v>
      </c>
      <c r="D911" s="11">
        <v>0.31</v>
      </c>
      <c r="E911" s="2">
        <f t="shared" si="105"/>
        <v>0.75</v>
      </c>
      <c r="F911" s="10">
        <v>0.02</v>
      </c>
      <c r="G911" s="10">
        <v>7.0000000000000007E-2</v>
      </c>
      <c r="H911" s="12">
        <f t="shared" si="106"/>
        <v>0.26040000000000002</v>
      </c>
      <c r="I911" s="12">
        <f t="shared" si="107"/>
        <v>1.1004</v>
      </c>
      <c r="J911" s="2"/>
      <c r="K911" s="2"/>
      <c r="L911" s="2"/>
      <c r="M911" s="2">
        <f>I911*750</f>
        <v>825.30000000000007</v>
      </c>
      <c r="N911" s="2">
        <f t="shared" si="104"/>
        <v>1100.4000000000001</v>
      </c>
      <c r="O911" s="2"/>
      <c r="P911" s="2"/>
      <c r="Q911" s="28">
        <f t="shared" si="108"/>
        <v>23.664122137404583</v>
      </c>
    </row>
    <row r="912" spans="1:17" hidden="1" x14ac:dyDescent="0.25">
      <c r="A912" s="16">
        <v>45853</v>
      </c>
      <c r="B912" s="2" t="s">
        <v>122</v>
      </c>
      <c r="C912" s="2">
        <v>750</v>
      </c>
      <c r="D912" s="11">
        <v>0.31</v>
      </c>
      <c r="E912" s="2">
        <f t="shared" si="105"/>
        <v>0.75</v>
      </c>
      <c r="F912" s="10">
        <v>0.02</v>
      </c>
      <c r="G912" s="10">
        <v>7.0000000000000007E-2</v>
      </c>
      <c r="H912" s="12">
        <f t="shared" si="106"/>
        <v>0.26040000000000002</v>
      </c>
      <c r="I912" s="12">
        <f t="shared" si="107"/>
        <v>1.1004</v>
      </c>
      <c r="J912" s="2"/>
      <c r="K912" s="2"/>
      <c r="L912" s="2">
        <f>I912*500</f>
        <v>550.20000000000005</v>
      </c>
      <c r="M912" s="2"/>
      <c r="N912" s="2">
        <f t="shared" si="104"/>
        <v>1100.4000000000001</v>
      </c>
      <c r="O912" s="2"/>
      <c r="P912" s="2"/>
      <c r="Q912" s="28">
        <f t="shared" si="108"/>
        <v>23.664122137404583</v>
      </c>
    </row>
    <row r="913" spans="1:17" hidden="1" x14ac:dyDescent="0.25">
      <c r="A913" s="16">
        <v>45853</v>
      </c>
      <c r="B913" s="2" t="s">
        <v>123</v>
      </c>
      <c r="C913" s="2">
        <v>1220</v>
      </c>
      <c r="D913" s="11">
        <v>0.435</v>
      </c>
      <c r="E913" s="2">
        <f t="shared" si="105"/>
        <v>1.22</v>
      </c>
      <c r="F913" s="10">
        <v>0.02</v>
      </c>
      <c r="G913" s="10">
        <v>7.0000000000000007E-2</v>
      </c>
      <c r="H913" s="12">
        <f t="shared" si="106"/>
        <v>0.56984999999999997</v>
      </c>
      <c r="I913" s="12">
        <f t="shared" si="107"/>
        <v>1.87985</v>
      </c>
      <c r="J913" s="2"/>
      <c r="K913" s="2"/>
      <c r="L913" s="2">
        <f>I913*450</f>
        <v>845.9325</v>
      </c>
      <c r="M913" s="2"/>
      <c r="N913" s="2">
        <f t="shared" si="104"/>
        <v>1879.85</v>
      </c>
      <c r="O913" s="2"/>
      <c r="P913" s="2"/>
      <c r="Q913" s="28">
        <f t="shared" si="108"/>
        <v>30.313588850174217</v>
      </c>
    </row>
    <row r="914" spans="1:17" hidden="1" x14ac:dyDescent="0.25">
      <c r="A914" s="16">
        <v>45853</v>
      </c>
      <c r="B914" s="2" t="s">
        <v>131</v>
      </c>
      <c r="C914" s="2">
        <v>1220</v>
      </c>
      <c r="D914" s="11">
        <v>0.221</v>
      </c>
      <c r="E914" s="2">
        <f t="shared" si="105"/>
        <v>1.22</v>
      </c>
      <c r="F914" s="10">
        <v>0.02</v>
      </c>
      <c r="G914" s="10">
        <v>7.0000000000000007E-2</v>
      </c>
      <c r="H914" s="12">
        <f t="shared" si="106"/>
        <v>0.28950999999999999</v>
      </c>
      <c r="I914" s="12">
        <f t="shared" si="107"/>
        <v>1.59951</v>
      </c>
      <c r="J914" s="2"/>
      <c r="K914" s="2">
        <f>I914*350</f>
        <v>559.82849999999996</v>
      </c>
      <c r="L914" s="2"/>
      <c r="M914" s="2"/>
      <c r="N914" s="2">
        <f t="shared" si="104"/>
        <v>1599.51</v>
      </c>
      <c r="O914" s="2"/>
      <c r="P914" s="2"/>
      <c r="Q914" s="28">
        <f t="shared" si="108"/>
        <v>18.099918099918103</v>
      </c>
    </row>
    <row r="915" spans="1:17" hidden="1" x14ac:dyDescent="0.25">
      <c r="A915" s="16">
        <v>45853</v>
      </c>
      <c r="B915" s="2" t="s">
        <v>149</v>
      </c>
      <c r="C915" s="2">
        <v>1220</v>
      </c>
      <c r="D915" s="11">
        <v>0.47099999999999997</v>
      </c>
      <c r="E915" s="2">
        <f t="shared" si="105"/>
        <v>1.22</v>
      </c>
      <c r="F915" s="10">
        <v>0.02</v>
      </c>
      <c r="G915" s="10">
        <v>7.0000000000000007E-2</v>
      </c>
      <c r="H915" s="12">
        <f t="shared" si="106"/>
        <v>0.61700999999999995</v>
      </c>
      <c r="I915" s="12">
        <f t="shared" si="107"/>
        <v>1.9270100000000001</v>
      </c>
      <c r="J915" s="2"/>
      <c r="K915" s="2"/>
      <c r="L915" s="2"/>
      <c r="M915" s="2">
        <f>I915*750</f>
        <v>1445.2575000000002</v>
      </c>
      <c r="N915" s="2">
        <f t="shared" ref="N915:N946" si="109">I915*1000</f>
        <v>1927.0100000000002</v>
      </c>
      <c r="O915" s="2"/>
      <c r="P915" s="2"/>
      <c r="Q915" s="28">
        <f t="shared" si="108"/>
        <v>32.019034670292314</v>
      </c>
    </row>
    <row r="916" spans="1:17" hidden="1" x14ac:dyDescent="0.25">
      <c r="A916" s="16">
        <v>45853</v>
      </c>
      <c r="B916" s="2" t="s">
        <v>86</v>
      </c>
      <c r="C916" s="2">
        <v>1150</v>
      </c>
      <c r="D916" s="11">
        <v>0.6</v>
      </c>
      <c r="E916" s="2">
        <f t="shared" si="105"/>
        <v>1.1499999999999999</v>
      </c>
      <c r="F916" s="10">
        <v>0.02</v>
      </c>
      <c r="G916" s="10">
        <v>7.0000000000000007E-2</v>
      </c>
      <c r="H916" s="12">
        <f t="shared" si="106"/>
        <v>0.74399999999999999</v>
      </c>
      <c r="I916" s="12">
        <f t="shared" si="107"/>
        <v>1.984</v>
      </c>
      <c r="J916" s="2">
        <f>I916*200</f>
        <v>396.8</v>
      </c>
      <c r="K916" s="2"/>
      <c r="L916" s="2"/>
      <c r="M916" s="2"/>
      <c r="N916" s="2">
        <f t="shared" si="109"/>
        <v>1984</v>
      </c>
      <c r="O916" s="2"/>
      <c r="P916" s="2"/>
      <c r="Q916" s="28">
        <f t="shared" si="108"/>
        <v>37.5</v>
      </c>
    </row>
    <row r="917" spans="1:17" hidden="1" x14ac:dyDescent="0.25">
      <c r="A917" s="16">
        <v>45853</v>
      </c>
      <c r="B917" s="2" t="s">
        <v>86</v>
      </c>
      <c r="C917" s="2">
        <v>1150</v>
      </c>
      <c r="D917" s="11">
        <v>0.372</v>
      </c>
      <c r="E917" s="2">
        <f t="shared" si="105"/>
        <v>1.1499999999999999</v>
      </c>
      <c r="F917" s="10">
        <v>0.02</v>
      </c>
      <c r="G917" s="10">
        <v>7.0000000000000007E-2</v>
      </c>
      <c r="H917" s="12">
        <f t="shared" si="106"/>
        <v>0.46127999999999997</v>
      </c>
      <c r="I917" s="12">
        <f t="shared" si="107"/>
        <v>1.7012799999999999</v>
      </c>
      <c r="J917" s="2">
        <f>I917*250</f>
        <v>425.32</v>
      </c>
      <c r="K917" s="2"/>
      <c r="L917" s="2"/>
      <c r="M917" s="2"/>
      <c r="N917" s="2">
        <f t="shared" si="109"/>
        <v>1701.28</v>
      </c>
      <c r="O917" s="2"/>
      <c r="P917" s="2"/>
      <c r="Q917" s="28">
        <f t="shared" si="108"/>
        <v>27.113702623906708</v>
      </c>
    </row>
    <row r="918" spans="1:17" hidden="1" x14ac:dyDescent="0.25">
      <c r="A918" s="16">
        <v>45853</v>
      </c>
      <c r="B918" s="2" t="s">
        <v>85</v>
      </c>
      <c r="C918" s="2">
        <v>1150</v>
      </c>
      <c r="D918" s="11">
        <v>0.01</v>
      </c>
      <c r="E918" s="2">
        <f t="shared" si="105"/>
        <v>1.1499999999999999</v>
      </c>
      <c r="F918" s="10">
        <v>0.02</v>
      </c>
      <c r="G918" s="10">
        <v>7.0000000000000007E-2</v>
      </c>
      <c r="H918" s="12">
        <f t="shared" si="106"/>
        <v>1.24E-2</v>
      </c>
      <c r="I918" s="12">
        <f t="shared" si="107"/>
        <v>1.2524</v>
      </c>
      <c r="J918" s="2"/>
      <c r="K918" s="2">
        <f>I918*300</f>
        <v>375.71999999999997</v>
      </c>
      <c r="L918" s="2"/>
      <c r="M918" s="2"/>
      <c r="N918" s="2">
        <f t="shared" si="109"/>
        <v>1252.3999999999999</v>
      </c>
      <c r="O918" s="2"/>
      <c r="P918" s="2"/>
      <c r="Q918" s="28">
        <f t="shared" si="108"/>
        <v>0.99009900990098998</v>
      </c>
    </row>
    <row r="919" spans="1:17" hidden="1" x14ac:dyDescent="0.25">
      <c r="A919" s="16">
        <v>45854</v>
      </c>
      <c r="B919" s="2" t="s">
        <v>231</v>
      </c>
      <c r="C919" s="2">
        <v>950</v>
      </c>
      <c r="D919" s="11">
        <v>0.66</v>
      </c>
      <c r="E919" s="2">
        <f t="shared" si="105"/>
        <v>0.95</v>
      </c>
      <c r="F919" s="10">
        <v>0.02</v>
      </c>
      <c r="G919" s="10">
        <v>7.0000000000000007E-2</v>
      </c>
      <c r="H919" s="12">
        <f t="shared" si="106"/>
        <v>0.68640000000000001</v>
      </c>
      <c r="I919" s="12">
        <f t="shared" si="107"/>
        <v>1.7263999999999999</v>
      </c>
      <c r="J919" s="2">
        <f>I919*200</f>
        <v>345.28</v>
      </c>
      <c r="K919" s="2"/>
      <c r="L919" s="2"/>
      <c r="M919" s="2"/>
      <c r="N919" s="2">
        <f t="shared" si="109"/>
        <v>1726.3999999999999</v>
      </c>
      <c r="O919" s="2"/>
      <c r="P919" s="2"/>
      <c r="Q919" s="28">
        <f t="shared" si="108"/>
        <v>39.759036144578317</v>
      </c>
    </row>
    <row r="920" spans="1:17" hidden="1" x14ac:dyDescent="0.25">
      <c r="A920" s="16">
        <v>45854</v>
      </c>
      <c r="B920" s="2" t="s">
        <v>139</v>
      </c>
      <c r="C920" s="2">
        <v>1350</v>
      </c>
      <c r="D920" s="11">
        <v>0.24199999999999999</v>
      </c>
      <c r="E920" s="2">
        <f t="shared" si="105"/>
        <v>1.35</v>
      </c>
      <c r="F920" s="10">
        <v>0.02</v>
      </c>
      <c r="G920" s="10">
        <v>7.0000000000000007E-2</v>
      </c>
      <c r="H920" s="12">
        <f t="shared" si="106"/>
        <v>0.34848000000000001</v>
      </c>
      <c r="I920" s="12">
        <f t="shared" si="107"/>
        <v>1.7884800000000003</v>
      </c>
      <c r="J920" s="2"/>
      <c r="K920" s="2">
        <f>I920*350</f>
        <v>625.96800000000007</v>
      </c>
      <c r="L920" s="2"/>
      <c r="M920" s="2"/>
      <c r="N920" s="2">
        <f t="shared" si="109"/>
        <v>1788.4800000000002</v>
      </c>
      <c r="O920" s="2"/>
      <c r="P920" s="2"/>
      <c r="Q920" s="28">
        <f t="shared" si="108"/>
        <v>19.484702093397743</v>
      </c>
    </row>
    <row r="921" spans="1:17" hidden="1" x14ac:dyDescent="0.25">
      <c r="A921" s="16">
        <v>45854</v>
      </c>
      <c r="B921" s="2" t="s">
        <v>86</v>
      </c>
      <c r="C921" s="2">
        <v>1100</v>
      </c>
      <c r="D921" s="11">
        <v>0.43</v>
      </c>
      <c r="E921" s="2">
        <f t="shared" si="105"/>
        <v>1.1000000000000001</v>
      </c>
      <c r="F921" s="10">
        <v>0.02</v>
      </c>
      <c r="G921" s="10">
        <v>7.0000000000000007E-2</v>
      </c>
      <c r="H921" s="12">
        <f t="shared" si="106"/>
        <v>0.51170000000000004</v>
      </c>
      <c r="I921" s="12">
        <f t="shared" si="107"/>
        <v>1.7017000000000002</v>
      </c>
      <c r="J921" s="2">
        <f>I921*250</f>
        <v>425.42500000000007</v>
      </c>
      <c r="K921" s="2"/>
      <c r="L921" s="2"/>
      <c r="M921" s="2"/>
      <c r="N921" s="2">
        <f t="shared" si="109"/>
        <v>1701.7000000000003</v>
      </c>
      <c r="O921" s="2"/>
      <c r="P921" s="2"/>
      <c r="Q921" s="28">
        <f t="shared" si="108"/>
        <v>30.06993006993007</v>
      </c>
    </row>
    <row r="922" spans="1:17" hidden="1" x14ac:dyDescent="0.25">
      <c r="A922" s="16">
        <v>45854</v>
      </c>
      <c r="B922" s="2" t="s">
        <v>85</v>
      </c>
      <c r="C922" s="2">
        <v>950</v>
      </c>
      <c r="D922" s="11">
        <v>0.27</v>
      </c>
      <c r="E922" s="2">
        <f t="shared" si="105"/>
        <v>0.95</v>
      </c>
      <c r="F922" s="10">
        <v>0.02</v>
      </c>
      <c r="G922" s="10">
        <v>7.0000000000000007E-2</v>
      </c>
      <c r="H922" s="12">
        <f t="shared" si="106"/>
        <v>0.28080000000000005</v>
      </c>
      <c r="I922" s="12">
        <f t="shared" si="107"/>
        <v>1.3208000000000002</v>
      </c>
      <c r="J922" s="2"/>
      <c r="K922" s="2">
        <f>I922*300</f>
        <v>396.24000000000007</v>
      </c>
      <c r="L922" s="2"/>
      <c r="M922" s="2"/>
      <c r="N922" s="2">
        <f t="shared" si="109"/>
        <v>1320.8000000000002</v>
      </c>
      <c r="O922" s="2"/>
      <c r="P922" s="2"/>
      <c r="Q922" s="28">
        <f t="shared" si="108"/>
        <v>21.259842519685037</v>
      </c>
    </row>
    <row r="923" spans="1:17" hidden="1" x14ac:dyDescent="0.25">
      <c r="A923" s="16">
        <v>45855</v>
      </c>
      <c r="B923" s="2" t="s">
        <v>98</v>
      </c>
      <c r="C923" s="2">
        <v>750</v>
      </c>
      <c r="D923" s="11">
        <v>0.31</v>
      </c>
      <c r="E923" s="2">
        <f t="shared" si="105"/>
        <v>0.75</v>
      </c>
      <c r="F923" s="10">
        <v>0.02</v>
      </c>
      <c r="G923" s="10">
        <v>7.0000000000000007E-2</v>
      </c>
      <c r="H923" s="12">
        <f t="shared" si="106"/>
        <v>0.26040000000000002</v>
      </c>
      <c r="I923" s="12">
        <f t="shared" si="107"/>
        <v>1.1004</v>
      </c>
      <c r="J923" s="2"/>
      <c r="K923" s="2"/>
      <c r="L923" s="2"/>
      <c r="M923" s="2">
        <f>I923*750</f>
        <v>825.30000000000007</v>
      </c>
      <c r="N923" s="2">
        <f t="shared" si="109"/>
        <v>1100.4000000000001</v>
      </c>
      <c r="O923" s="2"/>
      <c r="P923" s="2"/>
      <c r="Q923" s="28">
        <f t="shared" si="108"/>
        <v>23.664122137404583</v>
      </c>
    </row>
    <row r="924" spans="1:17" hidden="1" x14ac:dyDescent="0.25">
      <c r="A924" s="16">
        <v>45855</v>
      </c>
      <c r="B924" s="2" t="s">
        <v>122</v>
      </c>
      <c r="C924" s="2">
        <v>750</v>
      </c>
      <c r="D924" s="11">
        <v>0.31</v>
      </c>
      <c r="E924" s="2">
        <f t="shared" si="105"/>
        <v>0.75</v>
      </c>
      <c r="F924" s="10">
        <v>0.02</v>
      </c>
      <c r="G924" s="10">
        <v>7.0000000000000007E-2</v>
      </c>
      <c r="H924" s="12">
        <f t="shared" si="106"/>
        <v>0.26040000000000002</v>
      </c>
      <c r="I924" s="12">
        <f t="shared" si="107"/>
        <v>1.1004</v>
      </c>
      <c r="J924" s="2"/>
      <c r="K924" s="2"/>
      <c r="L924" s="2">
        <f>I924*500</f>
        <v>550.20000000000005</v>
      </c>
      <c r="M924" s="2"/>
      <c r="N924" s="2">
        <f t="shared" si="109"/>
        <v>1100.4000000000001</v>
      </c>
      <c r="O924" s="2"/>
      <c r="P924" s="2"/>
      <c r="Q924" s="28">
        <f t="shared" si="108"/>
        <v>23.664122137404583</v>
      </c>
    </row>
    <row r="925" spans="1:17" hidden="1" x14ac:dyDescent="0.25">
      <c r="A925" s="16">
        <v>45855</v>
      </c>
      <c r="B925" s="2" t="s">
        <v>123</v>
      </c>
      <c r="C925" s="2">
        <v>1400</v>
      </c>
      <c r="D925" s="11">
        <v>0.26900000000000002</v>
      </c>
      <c r="E925" s="2">
        <f t="shared" si="105"/>
        <v>1.4</v>
      </c>
      <c r="F925" s="10">
        <v>0.02</v>
      </c>
      <c r="G925" s="10">
        <v>7.0000000000000007E-2</v>
      </c>
      <c r="H925" s="12">
        <f t="shared" si="106"/>
        <v>0.40081</v>
      </c>
      <c r="I925" s="12">
        <f t="shared" si="107"/>
        <v>1.8908100000000001</v>
      </c>
      <c r="J925" s="2"/>
      <c r="K925" s="2"/>
      <c r="L925" s="2">
        <f>I925*500</f>
        <v>945.40500000000009</v>
      </c>
      <c r="M925" s="2"/>
      <c r="N925" s="2">
        <f t="shared" si="109"/>
        <v>1890.8100000000002</v>
      </c>
      <c r="O925" s="2"/>
      <c r="P925" s="2"/>
      <c r="Q925" s="28">
        <f t="shared" si="108"/>
        <v>21.19779353821907</v>
      </c>
    </row>
    <row r="926" spans="1:17" hidden="1" x14ac:dyDescent="0.25">
      <c r="A926" s="16">
        <v>45857</v>
      </c>
      <c r="B926" s="2" t="s">
        <v>231</v>
      </c>
      <c r="C926" s="2">
        <v>1000</v>
      </c>
      <c r="D926" s="11">
        <v>0.41</v>
      </c>
      <c r="E926" s="2">
        <f t="shared" si="105"/>
        <v>1</v>
      </c>
      <c r="F926" s="10">
        <v>0.02</v>
      </c>
      <c r="G926" s="10">
        <v>7.0000000000000007E-2</v>
      </c>
      <c r="H926" s="12">
        <f t="shared" si="106"/>
        <v>0.44690000000000002</v>
      </c>
      <c r="I926" s="12">
        <f t="shared" si="107"/>
        <v>1.5369000000000002</v>
      </c>
      <c r="J926" s="2">
        <f>I926*225</f>
        <v>345.80250000000001</v>
      </c>
      <c r="K926" s="2"/>
      <c r="L926" s="2"/>
      <c r="M926" s="2"/>
      <c r="N926" s="2">
        <f t="shared" si="109"/>
        <v>1536.9</v>
      </c>
      <c r="O926" s="2"/>
      <c r="P926" s="2"/>
      <c r="Q926" s="28">
        <f t="shared" si="108"/>
        <v>29.078014184397162</v>
      </c>
    </row>
    <row r="927" spans="1:17" hidden="1" x14ac:dyDescent="0.25">
      <c r="A927" s="16">
        <v>45857</v>
      </c>
      <c r="B927" s="2" t="s">
        <v>139</v>
      </c>
      <c r="C927" s="2">
        <v>1350</v>
      </c>
      <c r="D927" s="11">
        <v>0.28000000000000003</v>
      </c>
      <c r="E927" s="2">
        <f t="shared" si="105"/>
        <v>1.35</v>
      </c>
      <c r="F927" s="10">
        <v>0.02</v>
      </c>
      <c r="G927" s="10">
        <v>7.0000000000000007E-2</v>
      </c>
      <c r="H927" s="12">
        <f t="shared" si="106"/>
        <v>0.40320000000000006</v>
      </c>
      <c r="I927" s="12">
        <f t="shared" si="107"/>
        <v>1.8432000000000002</v>
      </c>
      <c r="J927" s="2"/>
      <c r="K927" s="2">
        <f>I927*350</f>
        <v>645.12</v>
      </c>
      <c r="L927" s="2"/>
      <c r="M927" s="2"/>
      <c r="N927" s="2">
        <f t="shared" si="109"/>
        <v>1843.2000000000003</v>
      </c>
      <c r="O927" s="2"/>
      <c r="P927" s="2"/>
      <c r="Q927" s="28">
        <f t="shared" si="108"/>
        <v>21.875000000000004</v>
      </c>
    </row>
    <row r="928" spans="1:17" hidden="1" x14ac:dyDescent="0.25">
      <c r="A928" s="16">
        <v>45857</v>
      </c>
      <c r="B928" s="2" t="s">
        <v>86</v>
      </c>
      <c r="C928" s="2">
        <v>1200</v>
      </c>
      <c r="D928" s="11">
        <v>0.32</v>
      </c>
      <c r="E928" s="2">
        <f t="shared" si="105"/>
        <v>1.2</v>
      </c>
      <c r="F928" s="10">
        <v>0.02</v>
      </c>
      <c r="G928" s="10">
        <v>7.0000000000000007E-2</v>
      </c>
      <c r="H928" s="12">
        <f t="shared" si="106"/>
        <v>0.4128</v>
      </c>
      <c r="I928" s="12">
        <f t="shared" si="107"/>
        <v>1.7028000000000001</v>
      </c>
      <c r="J928" s="2">
        <f>I928*250</f>
        <v>425.70000000000005</v>
      </c>
      <c r="K928" s="2"/>
      <c r="L928" s="2"/>
      <c r="M928" s="2"/>
      <c r="N928" s="2">
        <f t="shared" si="109"/>
        <v>1702.8000000000002</v>
      </c>
      <c r="O928" s="2"/>
      <c r="P928" s="2"/>
      <c r="Q928" s="28">
        <f t="shared" si="108"/>
        <v>24.242424242424239</v>
      </c>
    </row>
    <row r="929" spans="1:17" hidden="1" x14ac:dyDescent="0.25">
      <c r="A929" s="16">
        <v>45857</v>
      </c>
      <c r="B929" s="2" t="s">
        <v>85</v>
      </c>
      <c r="C929" s="2">
        <v>1000</v>
      </c>
      <c r="D929" s="11">
        <v>0.21</v>
      </c>
      <c r="E929" s="2">
        <f t="shared" si="105"/>
        <v>1</v>
      </c>
      <c r="F929" s="10">
        <v>0.02</v>
      </c>
      <c r="G929" s="10">
        <v>7.0000000000000007E-2</v>
      </c>
      <c r="H929" s="12">
        <f t="shared" si="106"/>
        <v>0.22890000000000002</v>
      </c>
      <c r="I929" s="12">
        <f t="shared" si="107"/>
        <v>1.3189000000000002</v>
      </c>
      <c r="J929" s="2"/>
      <c r="K929" s="2">
        <f>I929*300</f>
        <v>395.67000000000007</v>
      </c>
      <c r="L929" s="2"/>
      <c r="M929" s="2"/>
      <c r="N929" s="2">
        <f t="shared" si="109"/>
        <v>1318.9</v>
      </c>
      <c r="O929" s="2"/>
      <c r="P929" s="2"/>
      <c r="Q929" s="28">
        <f t="shared" si="108"/>
        <v>17.355371900826448</v>
      </c>
    </row>
    <row r="930" spans="1:17" hidden="1" x14ac:dyDescent="0.25">
      <c r="A930" s="16">
        <v>45858</v>
      </c>
      <c r="B930" s="2" t="s">
        <v>230</v>
      </c>
      <c r="C930" s="2">
        <v>850</v>
      </c>
      <c r="D930" s="11">
        <v>0.26500000000000001</v>
      </c>
      <c r="E930" s="2">
        <f t="shared" si="105"/>
        <v>0.85</v>
      </c>
      <c r="F930" s="10">
        <v>0.02</v>
      </c>
      <c r="G930" s="10">
        <v>7.0000000000000007E-2</v>
      </c>
      <c r="H930" s="12">
        <f t="shared" si="106"/>
        <v>0.24909999999999999</v>
      </c>
      <c r="I930" s="12">
        <f t="shared" si="107"/>
        <v>1.1890999999999998</v>
      </c>
      <c r="J930" s="2"/>
      <c r="K930" s="2">
        <f>I930*400</f>
        <v>475.63999999999993</v>
      </c>
      <c r="L930" s="2"/>
      <c r="M930" s="2"/>
      <c r="N930" s="2">
        <f t="shared" si="109"/>
        <v>1189.0999999999999</v>
      </c>
      <c r="O930" s="2"/>
      <c r="P930" s="2"/>
      <c r="Q930" s="28">
        <f t="shared" si="108"/>
        <v>20.948616600790515</v>
      </c>
    </row>
    <row r="931" spans="1:17" hidden="1" x14ac:dyDescent="0.25">
      <c r="A931" s="16">
        <v>45858</v>
      </c>
      <c r="B931" s="2" t="s">
        <v>122</v>
      </c>
      <c r="C931" s="2">
        <v>850</v>
      </c>
      <c r="D931" s="11">
        <v>0.26800000000000002</v>
      </c>
      <c r="E931" s="2">
        <f t="shared" si="105"/>
        <v>0.85</v>
      </c>
      <c r="F931" s="10">
        <v>0.02</v>
      </c>
      <c r="G931" s="10">
        <v>7.0000000000000007E-2</v>
      </c>
      <c r="H931" s="12">
        <f t="shared" si="106"/>
        <v>0.25191999999999998</v>
      </c>
      <c r="I931" s="12">
        <f t="shared" si="107"/>
        <v>1.1919199999999999</v>
      </c>
      <c r="J931" s="2"/>
      <c r="K931" s="2"/>
      <c r="L931" s="2">
        <f>I931*500</f>
        <v>595.95999999999992</v>
      </c>
      <c r="M931" s="2"/>
      <c r="N931" s="2">
        <f t="shared" si="109"/>
        <v>1191.9199999999998</v>
      </c>
      <c r="O931" s="2"/>
      <c r="P931" s="2"/>
      <c r="Q931" s="28">
        <f t="shared" si="108"/>
        <v>21.135646687697164</v>
      </c>
    </row>
    <row r="932" spans="1:17" hidden="1" x14ac:dyDescent="0.25">
      <c r="A932" s="16">
        <v>45858</v>
      </c>
      <c r="B932" s="2" t="s">
        <v>123</v>
      </c>
      <c r="C932" s="2">
        <v>1500</v>
      </c>
      <c r="D932" s="11">
        <v>0.38</v>
      </c>
      <c r="E932" s="2">
        <f t="shared" si="105"/>
        <v>1.5</v>
      </c>
      <c r="F932" s="10">
        <v>0.02</v>
      </c>
      <c r="G932" s="10">
        <v>7.0000000000000007E-2</v>
      </c>
      <c r="H932" s="12">
        <f t="shared" si="106"/>
        <v>0.60420000000000007</v>
      </c>
      <c r="I932" s="12">
        <f t="shared" si="107"/>
        <v>2.1942000000000004</v>
      </c>
      <c r="J932" s="2"/>
      <c r="K932" s="2"/>
      <c r="L932" s="2">
        <f>I932*500</f>
        <v>1097.1000000000001</v>
      </c>
      <c r="M932" s="2"/>
      <c r="N932" s="2">
        <f t="shared" si="109"/>
        <v>2194.2000000000003</v>
      </c>
      <c r="O932" s="2"/>
      <c r="P932" s="2"/>
      <c r="Q932" s="28">
        <f t="shared" si="108"/>
        <v>27.536231884057969</v>
      </c>
    </row>
    <row r="933" spans="1:17" hidden="1" x14ac:dyDescent="0.25">
      <c r="A933" s="16">
        <v>45858</v>
      </c>
      <c r="B933" s="2" t="s">
        <v>149</v>
      </c>
      <c r="C933" s="2">
        <v>1500</v>
      </c>
      <c r="D933" s="11">
        <v>0.38900000000000001</v>
      </c>
      <c r="E933" s="2">
        <f t="shared" si="105"/>
        <v>1.5</v>
      </c>
      <c r="F933" s="10">
        <v>0.02</v>
      </c>
      <c r="G933" s="10">
        <v>7.0000000000000007E-2</v>
      </c>
      <c r="H933" s="12">
        <f t="shared" si="106"/>
        <v>0.61851</v>
      </c>
      <c r="I933" s="12">
        <f t="shared" si="107"/>
        <v>2.20851</v>
      </c>
      <c r="J933" s="2"/>
      <c r="K933" s="2"/>
      <c r="L933" s="2"/>
      <c r="M933" s="2">
        <f>I933*700</f>
        <v>1545.9569999999999</v>
      </c>
      <c r="N933" s="2">
        <f t="shared" si="109"/>
        <v>2208.5099999999998</v>
      </c>
      <c r="O933" s="2"/>
      <c r="P933" s="2"/>
      <c r="Q933" s="28">
        <f t="shared" si="108"/>
        <v>28.005759539236863</v>
      </c>
    </row>
    <row r="934" spans="1:17" hidden="1" x14ac:dyDescent="0.25">
      <c r="A934" s="16">
        <v>45860</v>
      </c>
      <c r="B934" s="2" t="s">
        <v>231</v>
      </c>
      <c r="C934" s="2">
        <v>850</v>
      </c>
      <c r="D934" s="11">
        <v>0.39</v>
      </c>
      <c r="E934" s="2">
        <f t="shared" si="105"/>
        <v>0.85</v>
      </c>
      <c r="F934" s="10">
        <v>0.02</v>
      </c>
      <c r="G934" s="10">
        <v>7.0000000000000007E-2</v>
      </c>
      <c r="H934" s="12">
        <f t="shared" si="106"/>
        <v>0.36659999999999998</v>
      </c>
      <c r="I934" s="12">
        <f t="shared" si="107"/>
        <v>1.3066</v>
      </c>
      <c r="J934" s="2">
        <f>I934*250</f>
        <v>326.64999999999998</v>
      </c>
      <c r="K934" s="2"/>
      <c r="L934" s="2"/>
      <c r="M934" s="2"/>
      <c r="N934" s="2">
        <f t="shared" si="109"/>
        <v>1306.5999999999999</v>
      </c>
      <c r="O934" s="2"/>
      <c r="P934" s="2"/>
      <c r="Q934" s="28">
        <f t="shared" si="108"/>
        <v>28.057553956834532</v>
      </c>
    </row>
    <row r="935" spans="1:17" hidden="1" x14ac:dyDescent="0.25">
      <c r="A935" s="16">
        <v>45860</v>
      </c>
      <c r="B935" s="2" t="s">
        <v>139</v>
      </c>
      <c r="C935" s="2">
        <v>1350</v>
      </c>
      <c r="D935" s="11">
        <v>0.38</v>
      </c>
      <c r="E935" s="2">
        <f t="shared" si="105"/>
        <v>1.35</v>
      </c>
      <c r="F935" s="10">
        <v>0.02</v>
      </c>
      <c r="G935" s="10">
        <v>7.0000000000000007E-2</v>
      </c>
      <c r="H935" s="12">
        <f t="shared" si="106"/>
        <v>0.54720000000000002</v>
      </c>
      <c r="I935" s="12">
        <f t="shared" si="107"/>
        <v>1.9872000000000001</v>
      </c>
      <c r="J935" s="2"/>
      <c r="K935" s="2">
        <f>I935*350</f>
        <v>695.52</v>
      </c>
      <c r="L935" s="2"/>
      <c r="M935" s="2"/>
      <c r="N935" s="2">
        <f t="shared" si="109"/>
        <v>1987.2</v>
      </c>
      <c r="O935" s="2"/>
      <c r="P935" s="2"/>
      <c r="Q935" s="28">
        <f t="shared" si="108"/>
        <v>27.536231884057973</v>
      </c>
    </row>
    <row r="936" spans="1:17" hidden="1" x14ac:dyDescent="0.25">
      <c r="A936" s="16">
        <v>45860</v>
      </c>
      <c r="B936" s="2" t="s">
        <v>85</v>
      </c>
      <c r="C936" s="2">
        <v>850</v>
      </c>
      <c r="D936" s="11">
        <v>0.33</v>
      </c>
      <c r="E936" s="2">
        <f t="shared" si="105"/>
        <v>0.85</v>
      </c>
      <c r="F936" s="10">
        <v>0.02</v>
      </c>
      <c r="G936" s="10">
        <v>7.0000000000000007E-2</v>
      </c>
      <c r="H936" s="12">
        <f t="shared" si="106"/>
        <v>0.31019999999999998</v>
      </c>
      <c r="I936" s="12">
        <f t="shared" si="107"/>
        <v>1.2502</v>
      </c>
      <c r="J936" s="2"/>
      <c r="K936" s="2">
        <f>I936*300</f>
        <v>375.06</v>
      </c>
      <c r="L936" s="2"/>
      <c r="M936" s="2"/>
      <c r="N936" s="2">
        <f t="shared" si="109"/>
        <v>1250.2</v>
      </c>
      <c r="O936" s="2"/>
      <c r="P936" s="2"/>
      <c r="Q936" s="28">
        <f t="shared" si="108"/>
        <v>24.81203007518797</v>
      </c>
    </row>
    <row r="937" spans="1:17" x14ac:dyDescent="0.25">
      <c r="A937" s="16">
        <v>45861</v>
      </c>
      <c r="B937" s="2" t="s">
        <v>119</v>
      </c>
      <c r="C937" s="2">
        <v>850</v>
      </c>
      <c r="D937" s="11">
        <v>0.27</v>
      </c>
      <c r="E937" s="2">
        <f t="shared" si="105"/>
        <v>0.85</v>
      </c>
      <c r="F937" s="10">
        <v>0.02</v>
      </c>
      <c r="G937" s="10">
        <v>7.0000000000000007E-2</v>
      </c>
      <c r="H937" s="12">
        <f t="shared" si="106"/>
        <v>0.25380000000000003</v>
      </c>
      <c r="I937" s="12">
        <f t="shared" si="107"/>
        <v>1.1938</v>
      </c>
      <c r="J937" s="2"/>
      <c r="K937" s="2"/>
      <c r="L937" s="2"/>
      <c r="M937" s="2">
        <f>I937*750</f>
        <v>895.35</v>
      </c>
      <c r="N937" s="2">
        <f t="shared" si="109"/>
        <v>1193.8</v>
      </c>
      <c r="O937" s="2"/>
      <c r="P937" s="2"/>
      <c r="Q937" s="28">
        <f t="shared" si="108"/>
        <v>21.259842519685044</v>
      </c>
    </row>
    <row r="938" spans="1:17" x14ac:dyDescent="0.25">
      <c r="A938" s="16">
        <v>45861</v>
      </c>
      <c r="B938" s="2" t="s">
        <v>200</v>
      </c>
      <c r="C938" s="2">
        <v>850</v>
      </c>
      <c r="D938" s="11">
        <v>0.27</v>
      </c>
      <c r="E938" s="2">
        <f t="shared" si="105"/>
        <v>0.85</v>
      </c>
      <c r="F938" s="10">
        <v>0.02</v>
      </c>
      <c r="G938" s="10">
        <v>7.0000000000000007E-2</v>
      </c>
      <c r="H938" s="12">
        <f t="shared" si="106"/>
        <v>0.25380000000000003</v>
      </c>
      <c r="I938" s="12">
        <f t="shared" si="107"/>
        <v>1.1938</v>
      </c>
      <c r="J938" s="2"/>
      <c r="K938" s="2"/>
      <c r="L938" s="2">
        <f>I938*500</f>
        <v>596.9</v>
      </c>
      <c r="M938" s="2"/>
      <c r="N938" s="2">
        <f t="shared" si="109"/>
        <v>1193.8</v>
      </c>
      <c r="O938" s="2"/>
      <c r="P938" s="2"/>
      <c r="Q938" s="28">
        <f t="shared" si="108"/>
        <v>21.259842519685044</v>
      </c>
    </row>
    <row r="939" spans="1:17" hidden="1" x14ac:dyDescent="0.25">
      <c r="A939" s="16">
        <v>45863</v>
      </c>
      <c r="B939" s="2" t="s">
        <v>139</v>
      </c>
      <c r="C939" s="2">
        <v>1300</v>
      </c>
      <c r="D939" s="11">
        <v>0.32500000000000001</v>
      </c>
      <c r="E939" s="2">
        <f t="shared" si="105"/>
        <v>1.3</v>
      </c>
      <c r="F939" s="10">
        <v>0.02</v>
      </c>
      <c r="G939" s="10">
        <v>7.0000000000000007E-2</v>
      </c>
      <c r="H939" s="12">
        <f t="shared" si="106"/>
        <v>0.45175000000000004</v>
      </c>
      <c r="I939" s="12">
        <f t="shared" si="107"/>
        <v>1.8417500000000002</v>
      </c>
      <c r="J939" s="2"/>
      <c r="K939" s="2">
        <f>I939*350</f>
        <v>644.61250000000007</v>
      </c>
      <c r="L939" s="2"/>
      <c r="M939" s="2"/>
      <c r="N939" s="2">
        <f t="shared" si="109"/>
        <v>1841.7500000000002</v>
      </c>
      <c r="O939" s="2"/>
      <c r="P939" s="2"/>
      <c r="Q939" s="28">
        <f t="shared" si="108"/>
        <v>24.528301886792452</v>
      </c>
    </row>
    <row r="940" spans="1:17" hidden="1" x14ac:dyDescent="0.25">
      <c r="A940" s="16">
        <v>45863</v>
      </c>
      <c r="B940" s="2" t="s">
        <v>86</v>
      </c>
      <c r="C940" s="2">
        <v>1300</v>
      </c>
      <c r="D940" s="11">
        <v>0.224</v>
      </c>
      <c r="E940" s="2">
        <f t="shared" ref="E940:E980" si="110">C940/1000</f>
        <v>1.3</v>
      </c>
      <c r="F940" s="10">
        <v>0.02</v>
      </c>
      <c r="G940" s="10">
        <v>7.0000000000000007E-2</v>
      </c>
      <c r="H940" s="12">
        <f t="shared" ref="H940:H980" si="111">SUM(E940:G940)*D940</f>
        <v>0.31136000000000003</v>
      </c>
      <c r="I940" s="12">
        <f t="shared" ref="I940:I980" si="112">SUM(E940:H940)</f>
        <v>1.7013600000000002</v>
      </c>
      <c r="J940" s="2">
        <f>I940*250</f>
        <v>425.34000000000003</v>
      </c>
      <c r="K940" s="2"/>
      <c r="L940" s="2"/>
      <c r="M940" s="2"/>
      <c r="N940" s="2">
        <f t="shared" si="109"/>
        <v>1701.3600000000001</v>
      </c>
      <c r="O940" s="2"/>
      <c r="P940" s="2"/>
      <c r="Q940" s="28">
        <f t="shared" ref="Q940:Q980" si="113">H940/I940%</f>
        <v>18.300653594771241</v>
      </c>
    </row>
    <row r="941" spans="1:17" x14ac:dyDescent="0.25">
      <c r="A941" s="16">
        <v>45864</v>
      </c>
      <c r="B941" s="2" t="s">
        <v>136</v>
      </c>
      <c r="C941" s="2">
        <v>750</v>
      </c>
      <c r="D941" s="11">
        <v>0.30499999999999999</v>
      </c>
      <c r="E941" s="2">
        <f t="shared" si="110"/>
        <v>0.75</v>
      </c>
      <c r="F941" s="10">
        <v>0.02</v>
      </c>
      <c r="G941" s="10">
        <v>7.0000000000000007E-2</v>
      </c>
      <c r="H941" s="12">
        <f t="shared" si="111"/>
        <v>0.25620000000000004</v>
      </c>
      <c r="I941" s="12">
        <f t="shared" si="112"/>
        <v>1.0962000000000001</v>
      </c>
      <c r="J941" s="2"/>
      <c r="K941" s="2"/>
      <c r="L941" s="2"/>
      <c r="M941" s="2"/>
      <c r="N941" s="2">
        <f t="shared" si="109"/>
        <v>1096.2</v>
      </c>
      <c r="O941" s="2"/>
      <c r="P941" s="2"/>
      <c r="Q941" s="28">
        <f t="shared" si="113"/>
        <v>23.371647509578544</v>
      </c>
    </row>
    <row r="942" spans="1:17" hidden="1" x14ac:dyDescent="0.25">
      <c r="A942" s="16">
        <v>45864</v>
      </c>
      <c r="B942" s="2" t="s">
        <v>230</v>
      </c>
      <c r="C942" s="2">
        <v>600</v>
      </c>
      <c r="D942" s="11">
        <v>0.74</v>
      </c>
      <c r="E942" s="2">
        <f t="shared" si="110"/>
        <v>0.6</v>
      </c>
      <c r="F942" s="10">
        <v>0.02</v>
      </c>
      <c r="G942" s="10">
        <v>7.0000000000000007E-2</v>
      </c>
      <c r="H942" s="12">
        <f t="shared" si="111"/>
        <v>0.51059999999999994</v>
      </c>
      <c r="I942" s="12">
        <f t="shared" si="112"/>
        <v>1.2005999999999999</v>
      </c>
      <c r="J942" s="2"/>
      <c r="K942" s="2">
        <f>I942*400</f>
        <v>480.23999999999995</v>
      </c>
      <c r="L942" s="2"/>
      <c r="M942" s="2"/>
      <c r="N942" s="2">
        <f t="shared" si="109"/>
        <v>1200.5999999999999</v>
      </c>
      <c r="O942" s="2"/>
      <c r="P942" s="2"/>
      <c r="Q942" s="28">
        <f t="shared" si="113"/>
        <v>42.528735632183903</v>
      </c>
    </row>
    <row r="943" spans="1:17" hidden="1" x14ac:dyDescent="0.25">
      <c r="A943" s="16">
        <v>45864</v>
      </c>
      <c r="B943" s="2" t="s">
        <v>122</v>
      </c>
      <c r="C943" s="2">
        <v>600</v>
      </c>
      <c r="D943" s="11">
        <v>0.74</v>
      </c>
      <c r="E943" s="2">
        <f t="shared" si="110"/>
        <v>0.6</v>
      </c>
      <c r="F943" s="10">
        <v>0.02</v>
      </c>
      <c r="G943" s="10">
        <v>7.0000000000000007E-2</v>
      </c>
      <c r="H943" s="12">
        <f t="shared" si="111"/>
        <v>0.51059999999999994</v>
      </c>
      <c r="I943" s="12">
        <f t="shared" si="112"/>
        <v>1.2005999999999999</v>
      </c>
      <c r="J943" s="2"/>
      <c r="K943" s="2"/>
      <c r="L943" s="2">
        <f>I943*500</f>
        <v>600.29999999999995</v>
      </c>
      <c r="M943" s="2"/>
      <c r="N943" s="2">
        <f t="shared" si="109"/>
        <v>1200.5999999999999</v>
      </c>
      <c r="O943" s="2"/>
      <c r="P943" s="2"/>
      <c r="Q943" s="28">
        <f t="shared" si="113"/>
        <v>42.528735632183903</v>
      </c>
    </row>
    <row r="944" spans="1:17" hidden="1" x14ac:dyDescent="0.25">
      <c r="A944" s="16">
        <v>45864</v>
      </c>
      <c r="B944" s="2" t="s">
        <v>86</v>
      </c>
      <c r="C944" s="2">
        <v>850</v>
      </c>
      <c r="D944" s="11">
        <v>0.73</v>
      </c>
      <c r="E944" s="2">
        <f t="shared" si="110"/>
        <v>0.85</v>
      </c>
      <c r="F944" s="10">
        <v>0.02</v>
      </c>
      <c r="G944" s="10">
        <v>7.0000000000000007E-2</v>
      </c>
      <c r="H944" s="12">
        <f t="shared" si="111"/>
        <v>0.68619999999999992</v>
      </c>
      <c r="I944" s="12">
        <f t="shared" si="112"/>
        <v>1.6261999999999999</v>
      </c>
      <c r="J944" s="2">
        <f>I944*200</f>
        <v>325.23999999999995</v>
      </c>
      <c r="K944" s="2"/>
      <c r="L944" s="2"/>
      <c r="M944" s="2"/>
      <c r="N944" s="2">
        <f t="shared" si="109"/>
        <v>1626.1999999999998</v>
      </c>
      <c r="O944" s="2"/>
      <c r="P944" s="2"/>
      <c r="Q944" s="28">
        <f t="shared" si="113"/>
        <v>42.19653179190751</v>
      </c>
    </row>
    <row r="945" spans="1:17" hidden="1" x14ac:dyDescent="0.25">
      <c r="A945" s="16">
        <v>45864</v>
      </c>
      <c r="B945" s="2" t="s">
        <v>85</v>
      </c>
      <c r="C945" s="2">
        <v>850</v>
      </c>
      <c r="D945" s="11">
        <v>0.33</v>
      </c>
      <c r="E945" s="2">
        <f t="shared" si="110"/>
        <v>0.85</v>
      </c>
      <c r="F945" s="10">
        <v>0.02</v>
      </c>
      <c r="G945" s="10">
        <v>7.0000000000000007E-2</v>
      </c>
      <c r="H945" s="12">
        <f t="shared" si="111"/>
        <v>0.31019999999999998</v>
      </c>
      <c r="I945" s="12">
        <f t="shared" si="112"/>
        <v>1.2502</v>
      </c>
      <c r="J945" s="2"/>
      <c r="K945" s="2">
        <f>I945*300</f>
        <v>375.06</v>
      </c>
      <c r="L945" s="2"/>
      <c r="M945" s="2"/>
      <c r="N945" s="2">
        <f t="shared" si="109"/>
        <v>1250.2</v>
      </c>
      <c r="O945" s="2"/>
      <c r="P945" s="2"/>
      <c r="Q945" s="28">
        <f t="shared" si="113"/>
        <v>24.81203007518797</v>
      </c>
    </row>
    <row r="946" spans="1:17" hidden="1" x14ac:dyDescent="0.25">
      <c r="A946" s="16">
        <v>45865</v>
      </c>
      <c r="B946" s="2" t="s">
        <v>86</v>
      </c>
      <c r="C946" s="2">
        <v>850</v>
      </c>
      <c r="D946" s="11">
        <v>0.47</v>
      </c>
      <c r="E946" s="2">
        <f t="shared" si="110"/>
        <v>0.85</v>
      </c>
      <c r="F946" s="10">
        <v>0.02</v>
      </c>
      <c r="G946" s="10">
        <v>7.0000000000000007E-2</v>
      </c>
      <c r="H946" s="12">
        <f t="shared" si="111"/>
        <v>0.44179999999999997</v>
      </c>
      <c r="I946" s="12">
        <f t="shared" si="112"/>
        <v>1.3817999999999999</v>
      </c>
      <c r="J946" s="2">
        <f>I946*250</f>
        <v>345.45</v>
      </c>
      <c r="K946" s="2"/>
      <c r="L946" s="2"/>
      <c r="M946" s="2"/>
      <c r="N946" s="2">
        <f t="shared" si="109"/>
        <v>1381.8</v>
      </c>
      <c r="O946" s="2"/>
      <c r="P946" s="2"/>
      <c r="Q946" s="28">
        <f t="shared" si="113"/>
        <v>31.972789115646261</v>
      </c>
    </row>
    <row r="947" spans="1:17" hidden="1" x14ac:dyDescent="0.25">
      <c r="A947" s="16">
        <v>45867</v>
      </c>
      <c r="B947" s="2" t="s">
        <v>139</v>
      </c>
      <c r="C947" s="2">
        <v>1050</v>
      </c>
      <c r="D947" s="11">
        <v>0.59599999999999997</v>
      </c>
      <c r="E947" s="2">
        <f t="shared" si="110"/>
        <v>1.05</v>
      </c>
      <c r="F947" s="10">
        <v>0.02</v>
      </c>
      <c r="G947" s="10">
        <v>7.0000000000000007E-2</v>
      </c>
      <c r="H947" s="12">
        <f t="shared" si="111"/>
        <v>0.67944000000000004</v>
      </c>
      <c r="I947" s="12">
        <f t="shared" si="112"/>
        <v>1.8194400000000002</v>
      </c>
      <c r="J947" s="2"/>
      <c r="K947" s="2">
        <f>I947*300</f>
        <v>545.83200000000011</v>
      </c>
      <c r="L947" s="2"/>
      <c r="M947" s="2"/>
      <c r="N947" s="2">
        <f t="shared" ref="N947:N966" si="114">I947*1000</f>
        <v>1819.44</v>
      </c>
      <c r="O947" s="2"/>
      <c r="P947" s="2"/>
      <c r="Q947" s="28">
        <f t="shared" si="113"/>
        <v>37.343358395989974</v>
      </c>
    </row>
    <row r="948" spans="1:17" hidden="1" x14ac:dyDescent="0.25">
      <c r="A948" s="16">
        <v>45867</v>
      </c>
      <c r="B948" s="2" t="s">
        <v>86</v>
      </c>
      <c r="C948" s="2">
        <v>1050</v>
      </c>
      <c r="D948" s="11">
        <v>0.316</v>
      </c>
      <c r="E948" s="2">
        <f t="shared" si="110"/>
        <v>1.05</v>
      </c>
      <c r="F948" s="10">
        <v>0.02</v>
      </c>
      <c r="G948" s="10">
        <v>7.0000000000000007E-2</v>
      </c>
      <c r="H948" s="12">
        <f t="shared" si="111"/>
        <v>0.36024000000000006</v>
      </c>
      <c r="I948" s="12">
        <f t="shared" si="112"/>
        <v>1.5002400000000002</v>
      </c>
      <c r="J948" s="2">
        <f>I948*250</f>
        <v>375.06000000000006</v>
      </c>
      <c r="K948" s="2"/>
      <c r="L948" s="2"/>
      <c r="M948" s="2"/>
      <c r="N948" s="2">
        <f t="shared" si="114"/>
        <v>1500.2400000000002</v>
      </c>
      <c r="O948" s="2"/>
      <c r="P948" s="2"/>
      <c r="Q948" s="28">
        <f t="shared" si="113"/>
        <v>24.012158054711247</v>
      </c>
    </row>
    <row r="949" spans="1:17" hidden="1" x14ac:dyDescent="0.25">
      <c r="A949" s="16">
        <v>45868</v>
      </c>
      <c r="B949" s="2" t="s">
        <v>141</v>
      </c>
      <c r="C949" s="2">
        <v>700</v>
      </c>
      <c r="D949" s="11">
        <v>0.26</v>
      </c>
      <c r="E949" s="2">
        <f t="shared" si="110"/>
        <v>0.7</v>
      </c>
      <c r="F949" s="10">
        <v>0.02</v>
      </c>
      <c r="G949" s="10">
        <v>7.0000000000000007E-2</v>
      </c>
      <c r="H949" s="12">
        <f t="shared" si="111"/>
        <v>0.20540000000000003</v>
      </c>
      <c r="I949" s="12">
        <f t="shared" si="112"/>
        <v>0.99540000000000006</v>
      </c>
      <c r="J949" s="2"/>
      <c r="K949" s="2"/>
      <c r="L949" s="2"/>
      <c r="M949" s="2"/>
      <c r="N949" s="2">
        <f t="shared" si="114"/>
        <v>995.40000000000009</v>
      </c>
      <c r="O949" s="2"/>
      <c r="P949" s="2"/>
      <c r="Q949" s="28">
        <f t="shared" si="113"/>
        <v>20.634920634920636</v>
      </c>
    </row>
    <row r="950" spans="1:17" hidden="1" x14ac:dyDescent="0.25">
      <c r="A950" s="16">
        <v>45868</v>
      </c>
      <c r="B950" s="2" t="s">
        <v>164</v>
      </c>
      <c r="C950" s="2">
        <v>700</v>
      </c>
      <c r="D950" s="11">
        <v>0.26</v>
      </c>
      <c r="E950" s="2">
        <f t="shared" si="110"/>
        <v>0.7</v>
      </c>
      <c r="F950" s="10">
        <v>0.02</v>
      </c>
      <c r="G950" s="10">
        <v>7.0000000000000007E-2</v>
      </c>
      <c r="H950" s="12">
        <f t="shared" si="111"/>
        <v>0.20540000000000003</v>
      </c>
      <c r="I950" s="12">
        <f t="shared" si="112"/>
        <v>0.99540000000000006</v>
      </c>
      <c r="J950" s="2"/>
      <c r="K950" s="2"/>
      <c r="L950" s="2"/>
      <c r="M950" s="2">
        <f>I950*750</f>
        <v>746.55000000000007</v>
      </c>
      <c r="N950" s="2">
        <f t="shared" si="114"/>
        <v>995.40000000000009</v>
      </c>
      <c r="O950" s="2"/>
      <c r="P950" s="2"/>
      <c r="Q950" s="28">
        <f t="shared" si="113"/>
        <v>20.634920634920636</v>
      </c>
    </row>
    <row r="951" spans="1:17" hidden="1" x14ac:dyDescent="0.25">
      <c r="A951" s="16">
        <v>45868</v>
      </c>
      <c r="B951" s="2" t="s">
        <v>231</v>
      </c>
      <c r="C951" s="2">
        <v>850</v>
      </c>
      <c r="D951" s="11">
        <v>0.73</v>
      </c>
      <c r="E951" s="2">
        <f t="shared" si="110"/>
        <v>0.85</v>
      </c>
      <c r="F951" s="10">
        <v>0.02</v>
      </c>
      <c r="G951" s="10">
        <v>7.0000000000000007E-2</v>
      </c>
      <c r="H951" s="12">
        <f t="shared" si="111"/>
        <v>0.68619999999999992</v>
      </c>
      <c r="I951" s="12">
        <f t="shared" si="112"/>
        <v>1.6261999999999999</v>
      </c>
      <c r="J951" s="2">
        <f>I951*200</f>
        <v>325.23999999999995</v>
      </c>
      <c r="K951" s="2"/>
      <c r="L951" s="2"/>
      <c r="M951" s="2"/>
      <c r="N951" s="2">
        <f t="shared" si="114"/>
        <v>1626.1999999999998</v>
      </c>
      <c r="O951" s="2"/>
      <c r="P951" s="2"/>
      <c r="Q951" s="28">
        <f t="shared" si="113"/>
        <v>42.19653179190751</v>
      </c>
    </row>
    <row r="952" spans="1:17" hidden="1" x14ac:dyDescent="0.25">
      <c r="A952" s="16">
        <v>45868</v>
      </c>
      <c r="B952" s="2" t="s">
        <v>85</v>
      </c>
      <c r="C952" s="2">
        <v>850</v>
      </c>
      <c r="D952" s="11">
        <v>0.33</v>
      </c>
      <c r="E952" s="2">
        <f t="shared" si="110"/>
        <v>0.85</v>
      </c>
      <c r="F952" s="10">
        <v>0.02</v>
      </c>
      <c r="G952" s="10">
        <v>7.0000000000000007E-2</v>
      </c>
      <c r="H952" s="12">
        <f t="shared" si="111"/>
        <v>0.31019999999999998</v>
      </c>
      <c r="I952" s="12">
        <f t="shared" si="112"/>
        <v>1.2502</v>
      </c>
      <c r="J952" s="2"/>
      <c r="K952" s="2">
        <f>I952*300</f>
        <v>375.06</v>
      </c>
      <c r="L952" s="2"/>
      <c r="M952" s="2"/>
      <c r="N952" s="2">
        <f t="shared" si="114"/>
        <v>1250.2</v>
      </c>
      <c r="O952" s="2"/>
      <c r="P952" s="2"/>
      <c r="Q952" s="28">
        <f t="shared" si="113"/>
        <v>24.81203007518797</v>
      </c>
    </row>
    <row r="953" spans="1:17" hidden="1" x14ac:dyDescent="0.25">
      <c r="A953" s="16">
        <v>45870</v>
      </c>
      <c r="B953" s="2" t="s">
        <v>144</v>
      </c>
      <c r="C953" s="2">
        <v>700</v>
      </c>
      <c r="D953" s="11">
        <v>0.13400000000000001</v>
      </c>
      <c r="E953" s="2">
        <f t="shared" si="110"/>
        <v>0.7</v>
      </c>
      <c r="F953" s="10">
        <v>0.02</v>
      </c>
      <c r="G953" s="10">
        <v>7.0000000000000007E-2</v>
      </c>
      <c r="H953" s="12">
        <f t="shared" si="111"/>
        <v>0.10586000000000001</v>
      </c>
      <c r="I953" s="12">
        <f t="shared" si="112"/>
        <v>0.8958600000000001</v>
      </c>
      <c r="J953" s="2"/>
      <c r="K953" s="2"/>
      <c r="L953" s="2"/>
      <c r="M953" s="2"/>
      <c r="N953" s="2">
        <f t="shared" si="114"/>
        <v>895.86000000000013</v>
      </c>
      <c r="O953" s="2"/>
      <c r="P953" s="2"/>
      <c r="Q953" s="28">
        <f t="shared" si="113"/>
        <v>11.81657848324515</v>
      </c>
    </row>
    <row r="954" spans="1:17" hidden="1" x14ac:dyDescent="0.25">
      <c r="A954" s="16">
        <v>45870</v>
      </c>
      <c r="B954" s="2" t="s">
        <v>123</v>
      </c>
      <c r="C954" s="2">
        <v>1400</v>
      </c>
      <c r="D954" s="11">
        <v>0.3</v>
      </c>
      <c r="E954" s="2">
        <f t="shared" si="110"/>
        <v>1.4</v>
      </c>
      <c r="F954" s="10">
        <v>0.02</v>
      </c>
      <c r="G954" s="10">
        <v>7.0000000000000007E-2</v>
      </c>
      <c r="H954" s="12">
        <f t="shared" si="111"/>
        <v>0.44700000000000001</v>
      </c>
      <c r="I954" s="12">
        <f t="shared" si="112"/>
        <v>1.9370000000000001</v>
      </c>
      <c r="J954" s="2"/>
      <c r="K954" s="2"/>
      <c r="L954" s="2">
        <f>I954*500</f>
        <v>968.5</v>
      </c>
      <c r="M954" s="2"/>
      <c r="N954" s="2">
        <f t="shared" si="114"/>
        <v>1937</v>
      </c>
      <c r="O954" s="2"/>
      <c r="P954" s="2"/>
      <c r="Q954" s="28">
        <f t="shared" si="113"/>
        <v>23.076923076923077</v>
      </c>
    </row>
    <row r="955" spans="1:17" hidden="1" x14ac:dyDescent="0.25">
      <c r="A955" s="16">
        <v>45870</v>
      </c>
      <c r="B955" s="2" t="s">
        <v>149</v>
      </c>
      <c r="C955" s="2">
        <v>1400</v>
      </c>
      <c r="D955" s="11">
        <v>0.28999999999999998</v>
      </c>
      <c r="E955" s="2">
        <f t="shared" si="110"/>
        <v>1.4</v>
      </c>
      <c r="F955" s="10">
        <v>0.02</v>
      </c>
      <c r="G955" s="10">
        <v>7.0000000000000007E-2</v>
      </c>
      <c r="H955" s="12">
        <f t="shared" si="111"/>
        <v>0.43209999999999998</v>
      </c>
      <c r="I955" s="12">
        <f t="shared" si="112"/>
        <v>1.9220999999999999</v>
      </c>
      <c r="J955" s="2"/>
      <c r="K955" s="2"/>
      <c r="L955" s="2"/>
      <c r="M955" s="2">
        <f>I955*700</f>
        <v>1345.47</v>
      </c>
      <c r="N955" s="2">
        <f t="shared" si="114"/>
        <v>1922.1</v>
      </c>
      <c r="O955" s="2"/>
      <c r="P955" s="2"/>
      <c r="Q955" s="28">
        <f t="shared" si="113"/>
        <v>22.480620155038761</v>
      </c>
    </row>
    <row r="956" spans="1:17" hidden="1" x14ac:dyDescent="0.25">
      <c r="A956" s="16">
        <v>45870</v>
      </c>
      <c r="B956" s="2" t="s">
        <v>239</v>
      </c>
      <c r="C956" s="2">
        <v>150</v>
      </c>
      <c r="D956" s="11">
        <v>0.23</v>
      </c>
      <c r="E956" s="2">
        <f t="shared" si="110"/>
        <v>0.15</v>
      </c>
      <c r="F956" s="10">
        <v>0.02</v>
      </c>
      <c r="G956" s="10">
        <v>7.0000000000000007E-2</v>
      </c>
      <c r="H956" s="12">
        <f t="shared" si="111"/>
        <v>5.5199999999999999E-2</v>
      </c>
      <c r="I956" s="12">
        <f t="shared" si="112"/>
        <v>0.29520000000000002</v>
      </c>
      <c r="J956" s="2"/>
      <c r="K956" s="2"/>
      <c r="L956" s="2"/>
      <c r="M956" s="2"/>
      <c r="N956" s="2">
        <f t="shared" si="114"/>
        <v>295.20000000000005</v>
      </c>
      <c r="O956" s="2"/>
      <c r="P956" s="2"/>
      <c r="Q956" s="28">
        <f t="shared" si="113"/>
        <v>18.699186991869919</v>
      </c>
    </row>
    <row r="957" spans="1:17" hidden="1" x14ac:dyDescent="0.25">
      <c r="A957" s="16">
        <v>45870</v>
      </c>
      <c r="B957" s="2" t="s">
        <v>243</v>
      </c>
      <c r="C957" s="2">
        <v>1250</v>
      </c>
      <c r="D957" s="11">
        <v>0.376</v>
      </c>
      <c r="E957" s="2">
        <f t="shared" si="110"/>
        <v>1.25</v>
      </c>
      <c r="F957" s="10">
        <v>0.02</v>
      </c>
      <c r="G957" s="10">
        <v>7.0000000000000007E-2</v>
      </c>
      <c r="H957" s="12">
        <f t="shared" si="111"/>
        <v>0.50384000000000007</v>
      </c>
      <c r="I957" s="12">
        <f t="shared" si="112"/>
        <v>1.8438400000000001</v>
      </c>
      <c r="J957" s="2"/>
      <c r="K957" s="2">
        <f>I957*350</f>
        <v>645.34400000000005</v>
      </c>
      <c r="L957" s="2"/>
      <c r="M957" s="2"/>
      <c r="N957" s="2">
        <f t="shared" si="114"/>
        <v>1843.8400000000001</v>
      </c>
      <c r="O957" s="2"/>
      <c r="P957" s="2"/>
      <c r="Q957" s="28">
        <f t="shared" si="113"/>
        <v>27.325581395348841</v>
      </c>
    </row>
    <row r="958" spans="1:17" hidden="1" x14ac:dyDescent="0.25">
      <c r="A958" s="16">
        <v>45870</v>
      </c>
      <c r="B958" s="2" t="s">
        <v>242</v>
      </c>
      <c r="C958" s="2">
        <v>1250</v>
      </c>
      <c r="D958" s="11">
        <v>0.48199999999999998</v>
      </c>
      <c r="E958" s="2">
        <f t="shared" si="110"/>
        <v>1.25</v>
      </c>
      <c r="F958" s="10">
        <v>0.02</v>
      </c>
      <c r="G958" s="10">
        <v>7.0000000000000007E-2</v>
      </c>
      <c r="H958" s="12">
        <f t="shared" si="111"/>
        <v>0.64588000000000001</v>
      </c>
      <c r="I958" s="12">
        <f t="shared" si="112"/>
        <v>1.9858800000000001</v>
      </c>
      <c r="J958" s="2"/>
      <c r="K958" s="2">
        <f>I958*300</f>
        <v>595.76400000000001</v>
      </c>
      <c r="L958" s="2"/>
      <c r="M958" s="2"/>
      <c r="N958" s="2">
        <f t="shared" si="114"/>
        <v>1985.88</v>
      </c>
      <c r="O958" s="2"/>
      <c r="P958" s="2"/>
      <c r="Q958" s="28">
        <f t="shared" si="113"/>
        <v>32.523616734143054</v>
      </c>
    </row>
    <row r="959" spans="1:17" hidden="1" x14ac:dyDescent="0.25">
      <c r="A959" s="16">
        <v>45870</v>
      </c>
      <c r="B959" s="2" t="s">
        <v>245</v>
      </c>
      <c r="C959" s="2">
        <v>1150</v>
      </c>
      <c r="D959" s="11">
        <v>0.27600000000000002</v>
      </c>
      <c r="E959" s="2">
        <f t="shared" si="110"/>
        <v>1.1499999999999999</v>
      </c>
      <c r="F959" s="10">
        <v>0.02</v>
      </c>
      <c r="G959" s="10">
        <v>7.0000000000000007E-2</v>
      </c>
      <c r="H959" s="12">
        <f t="shared" si="111"/>
        <v>0.34224000000000004</v>
      </c>
      <c r="I959" s="12">
        <f t="shared" si="112"/>
        <v>1.5822400000000001</v>
      </c>
      <c r="J959" s="2">
        <f>I959*250</f>
        <v>395.56</v>
      </c>
      <c r="K959" s="2"/>
      <c r="L959" s="2"/>
      <c r="M959" s="2"/>
      <c r="N959" s="2">
        <f t="shared" si="114"/>
        <v>1582.24</v>
      </c>
      <c r="O959" s="2"/>
      <c r="P959" s="2"/>
      <c r="Q959" s="28">
        <f t="shared" si="113"/>
        <v>21.630094043887151</v>
      </c>
    </row>
    <row r="960" spans="1:17" hidden="1" x14ac:dyDescent="0.25">
      <c r="A960" s="16">
        <v>45870</v>
      </c>
      <c r="B960" s="2" t="s">
        <v>244</v>
      </c>
      <c r="C960" s="2">
        <v>1150</v>
      </c>
      <c r="D960" s="11">
        <v>0.21</v>
      </c>
      <c r="E960" s="2">
        <f t="shared" si="110"/>
        <v>1.1499999999999999</v>
      </c>
      <c r="F960" s="10">
        <v>0.02</v>
      </c>
      <c r="G960" s="10">
        <v>7.0000000000000007E-2</v>
      </c>
      <c r="H960" s="12">
        <f t="shared" si="111"/>
        <v>0.26039999999999996</v>
      </c>
      <c r="I960" s="12">
        <f t="shared" si="112"/>
        <v>1.5004</v>
      </c>
      <c r="J960" s="2">
        <f>I960*250</f>
        <v>375.09999999999997</v>
      </c>
      <c r="K960" s="2"/>
      <c r="L960" s="2"/>
      <c r="M960" s="2"/>
      <c r="N960" s="2">
        <f t="shared" si="114"/>
        <v>1500.3999999999999</v>
      </c>
      <c r="O960" s="2"/>
      <c r="P960" s="2"/>
      <c r="Q960" s="28">
        <f t="shared" si="113"/>
        <v>17.355371900826444</v>
      </c>
    </row>
    <row r="961" spans="1:17" hidden="1" x14ac:dyDescent="0.25">
      <c r="A961" s="16">
        <v>45871</v>
      </c>
      <c r="B961" s="2" t="s">
        <v>141</v>
      </c>
      <c r="C961" s="2">
        <v>720</v>
      </c>
      <c r="D961" s="11">
        <v>0.3</v>
      </c>
      <c r="E961" s="2">
        <f t="shared" si="110"/>
        <v>0.72</v>
      </c>
      <c r="F961" s="10">
        <v>0.02</v>
      </c>
      <c r="G961" s="10">
        <v>7.0000000000000007E-2</v>
      </c>
      <c r="H961" s="12">
        <f t="shared" si="111"/>
        <v>0.24299999999999999</v>
      </c>
      <c r="I961" s="12">
        <f t="shared" si="112"/>
        <v>1.0529999999999999</v>
      </c>
      <c r="J961" s="2"/>
      <c r="K961" s="2"/>
      <c r="L961" s="2"/>
      <c r="M961" s="2"/>
      <c r="N961" s="2">
        <f t="shared" si="114"/>
        <v>1053</v>
      </c>
      <c r="O961" s="2"/>
      <c r="P961" s="2"/>
      <c r="Q961" s="28">
        <f t="shared" si="113"/>
        <v>23.076923076923077</v>
      </c>
    </row>
    <row r="962" spans="1:17" hidden="1" x14ac:dyDescent="0.25">
      <c r="A962" s="16">
        <v>45871</v>
      </c>
      <c r="B962" s="2" t="s">
        <v>164</v>
      </c>
      <c r="C962" s="2">
        <v>720</v>
      </c>
      <c r="D962" s="11">
        <v>0.3</v>
      </c>
      <c r="E962" s="2">
        <f t="shared" si="110"/>
        <v>0.72</v>
      </c>
      <c r="F962" s="10">
        <v>0.02</v>
      </c>
      <c r="G962" s="10">
        <v>7.0000000000000007E-2</v>
      </c>
      <c r="H962" s="12">
        <f t="shared" si="111"/>
        <v>0.24299999999999999</v>
      </c>
      <c r="I962" s="12">
        <f t="shared" si="112"/>
        <v>1.0529999999999999</v>
      </c>
      <c r="J962" s="2"/>
      <c r="K962" s="2"/>
      <c r="L962" s="2"/>
      <c r="M962" s="2">
        <f>I962*750</f>
        <v>789.75</v>
      </c>
      <c r="N962" s="2">
        <f t="shared" si="114"/>
        <v>1053</v>
      </c>
      <c r="O962" s="2"/>
      <c r="P962" s="2"/>
      <c r="Q962" s="28">
        <f t="shared" si="113"/>
        <v>23.076923076923077</v>
      </c>
    </row>
    <row r="963" spans="1:17" hidden="1" x14ac:dyDescent="0.25">
      <c r="A963" s="16">
        <v>45871</v>
      </c>
      <c r="B963" s="2" t="s">
        <v>144</v>
      </c>
      <c r="C963" s="2">
        <v>800</v>
      </c>
      <c r="D963" s="11">
        <v>0.23100000000000001</v>
      </c>
      <c r="E963" s="2">
        <f t="shared" si="110"/>
        <v>0.8</v>
      </c>
      <c r="F963" s="10">
        <v>0.02</v>
      </c>
      <c r="G963" s="10">
        <v>7.0000000000000007E-2</v>
      </c>
      <c r="H963" s="12">
        <f t="shared" si="111"/>
        <v>0.20559000000000005</v>
      </c>
      <c r="I963" s="12">
        <f t="shared" si="112"/>
        <v>1.0955900000000001</v>
      </c>
      <c r="J963" s="2"/>
      <c r="K963" s="2"/>
      <c r="L963" s="2"/>
      <c r="M963" s="2"/>
      <c r="N963" s="2">
        <f t="shared" si="114"/>
        <v>1095.5900000000001</v>
      </c>
      <c r="O963" s="2"/>
      <c r="P963" s="2"/>
      <c r="Q963" s="51">
        <f t="shared" si="113"/>
        <v>18.765231519090172</v>
      </c>
    </row>
    <row r="964" spans="1:17" hidden="1" x14ac:dyDescent="0.25">
      <c r="A964" s="16">
        <v>45871</v>
      </c>
      <c r="B964" s="2" t="s">
        <v>243</v>
      </c>
      <c r="C964" s="2">
        <v>1150</v>
      </c>
      <c r="D964" s="11">
        <v>0.48699999999999999</v>
      </c>
      <c r="E964" s="2">
        <f t="shared" si="110"/>
        <v>1.1499999999999999</v>
      </c>
      <c r="F964" s="10">
        <v>0.02</v>
      </c>
      <c r="G964" s="10">
        <v>7.0000000000000007E-2</v>
      </c>
      <c r="H964" s="12">
        <f t="shared" si="111"/>
        <v>0.60387999999999997</v>
      </c>
      <c r="I964" s="12">
        <f t="shared" si="112"/>
        <v>1.84388</v>
      </c>
      <c r="J964" s="2"/>
      <c r="K964" s="2">
        <f>I964*350</f>
        <v>645.35799999999995</v>
      </c>
      <c r="L964" s="2"/>
      <c r="M964" s="2"/>
      <c r="N964" s="2">
        <f t="shared" si="114"/>
        <v>1843.8799999999999</v>
      </c>
      <c r="O964" s="2"/>
      <c r="P964" s="2"/>
      <c r="Q964" s="51">
        <f t="shared" si="113"/>
        <v>32.750504371217218</v>
      </c>
    </row>
    <row r="965" spans="1:17" hidden="1" x14ac:dyDescent="0.25">
      <c r="A965" s="16">
        <v>45872</v>
      </c>
      <c r="B965" s="2" t="s">
        <v>96</v>
      </c>
      <c r="C965" s="2">
        <v>1200</v>
      </c>
      <c r="D965" s="11">
        <v>0.435</v>
      </c>
      <c r="E965" s="2">
        <f t="shared" si="110"/>
        <v>1.2</v>
      </c>
      <c r="F965" s="10">
        <v>0.02</v>
      </c>
      <c r="G965" s="10">
        <v>7.0000000000000007E-2</v>
      </c>
      <c r="H965" s="12">
        <f t="shared" si="111"/>
        <v>0.56115000000000004</v>
      </c>
      <c r="I965" s="12">
        <f t="shared" si="112"/>
        <v>1.8511500000000001</v>
      </c>
      <c r="J965" s="2"/>
      <c r="K965" s="2"/>
      <c r="L965" s="2">
        <f>I965*500</f>
        <v>925.57500000000005</v>
      </c>
      <c r="M965" s="2"/>
      <c r="N965" s="2">
        <f t="shared" si="114"/>
        <v>1851.15</v>
      </c>
      <c r="O965" s="2"/>
      <c r="P965" s="2"/>
      <c r="Q965" s="51">
        <f t="shared" si="113"/>
        <v>30.313588850174217</v>
      </c>
    </row>
    <row r="966" spans="1:17" hidden="1" x14ac:dyDescent="0.25">
      <c r="A966" s="16">
        <v>45872</v>
      </c>
      <c r="B966" s="2" t="s">
        <v>86</v>
      </c>
      <c r="C966" s="2">
        <v>1100</v>
      </c>
      <c r="D966" s="11">
        <v>0.26300000000000001</v>
      </c>
      <c r="E966" s="2">
        <f t="shared" si="110"/>
        <v>1.1000000000000001</v>
      </c>
      <c r="F966" s="10">
        <v>0.02</v>
      </c>
      <c r="G966" s="10">
        <v>7.0000000000000007E-2</v>
      </c>
      <c r="H966" s="12">
        <f t="shared" si="111"/>
        <v>0.31297000000000008</v>
      </c>
      <c r="I966" s="12">
        <f t="shared" si="112"/>
        <v>1.5029700000000004</v>
      </c>
      <c r="J966" s="2">
        <f>I966*250</f>
        <v>375.74250000000006</v>
      </c>
      <c r="K966" s="2"/>
      <c r="L966" s="2"/>
      <c r="M966" s="2"/>
      <c r="N966" s="2">
        <f t="shared" si="114"/>
        <v>1502.9700000000003</v>
      </c>
      <c r="O966" s="2"/>
      <c r="P966" s="2"/>
      <c r="Q966" s="51">
        <f t="shared" si="113"/>
        <v>20.823436262866192</v>
      </c>
    </row>
    <row r="967" spans="1:17" hidden="1" x14ac:dyDescent="0.25">
      <c r="A967" s="16">
        <v>45872</v>
      </c>
      <c r="B967" s="2" t="s">
        <v>85</v>
      </c>
      <c r="C967" s="2">
        <v>880</v>
      </c>
      <c r="D967" s="11">
        <v>0.28999999999999998</v>
      </c>
      <c r="E967" s="2">
        <f t="shared" si="110"/>
        <v>0.88</v>
      </c>
      <c r="F967" s="10">
        <v>0.02</v>
      </c>
      <c r="G967" s="10">
        <v>7.0000000000000007E-2</v>
      </c>
      <c r="H967" s="12">
        <f t="shared" si="111"/>
        <v>0.28129999999999999</v>
      </c>
      <c r="I967" s="12">
        <f t="shared" si="112"/>
        <v>1.2513000000000001</v>
      </c>
      <c r="J967" s="2"/>
      <c r="K967" s="2">
        <f>I967*300</f>
        <v>375.39000000000004</v>
      </c>
      <c r="L967" s="2"/>
      <c r="M967" s="2"/>
      <c r="N967" s="2"/>
      <c r="O967" s="2"/>
      <c r="P967" s="2"/>
      <c r="Q967" s="51">
        <f t="shared" si="113"/>
        <v>22.480620155038757</v>
      </c>
    </row>
    <row r="968" spans="1:17" hidden="1" x14ac:dyDescent="0.25">
      <c r="A968" s="16">
        <v>45874</v>
      </c>
      <c r="B968" s="2" t="s">
        <v>150</v>
      </c>
      <c r="C968" s="2">
        <v>1450</v>
      </c>
      <c r="D968" s="39">
        <v>0.3</v>
      </c>
      <c r="E968" s="40">
        <f t="shared" si="110"/>
        <v>1.45</v>
      </c>
      <c r="F968" s="41">
        <v>0.02</v>
      </c>
      <c r="G968" s="10">
        <v>7.0000000000000007E-2</v>
      </c>
      <c r="H968" s="12">
        <f t="shared" si="111"/>
        <v>0.46199999999999997</v>
      </c>
      <c r="I968" s="12">
        <f t="shared" si="112"/>
        <v>2.0019999999999998</v>
      </c>
      <c r="J968" s="2"/>
      <c r="K968" s="2"/>
      <c r="L968" s="2"/>
      <c r="M968" s="2"/>
      <c r="N968" s="2">
        <f t="shared" ref="N968" si="115">I968*1000</f>
        <v>2001.9999999999998</v>
      </c>
      <c r="O968" s="2"/>
      <c r="P968" s="2"/>
      <c r="Q968" s="43">
        <f t="shared" si="113"/>
        <v>23.07692307692308</v>
      </c>
    </row>
    <row r="969" spans="1:17" hidden="1" x14ac:dyDescent="0.25">
      <c r="A969" s="16">
        <v>45874</v>
      </c>
      <c r="B969" s="2" t="s">
        <v>246</v>
      </c>
      <c r="C969" s="2">
        <v>1450</v>
      </c>
      <c r="D969" s="11">
        <v>0.3</v>
      </c>
      <c r="E969" s="2">
        <f t="shared" si="110"/>
        <v>1.45</v>
      </c>
      <c r="F969" s="10">
        <v>0.02</v>
      </c>
      <c r="G969" s="10">
        <v>7.0000000000000007E-2</v>
      </c>
      <c r="H969" s="12">
        <f t="shared" si="111"/>
        <v>0.46199999999999997</v>
      </c>
      <c r="I969" s="12">
        <f t="shared" si="112"/>
        <v>2.0019999999999998</v>
      </c>
      <c r="J969" s="2"/>
      <c r="K969" s="2"/>
      <c r="L969" s="2"/>
      <c r="M969" s="2">
        <f>I969*750</f>
        <v>1501.4999999999998</v>
      </c>
      <c r="N969" s="2">
        <f t="shared" ref="N969:N980" si="116">I969*1000</f>
        <v>2001.9999999999998</v>
      </c>
      <c r="O969" s="2"/>
      <c r="P969" s="2"/>
      <c r="Q969" s="51">
        <f t="shared" si="113"/>
        <v>23.07692307692308</v>
      </c>
    </row>
    <row r="970" spans="1:17" hidden="1" x14ac:dyDescent="0.25">
      <c r="A970" s="16">
        <v>45874</v>
      </c>
      <c r="B970" s="2" t="s">
        <v>247</v>
      </c>
      <c r="C970" s="2">
        <v>980</v>
      </c>
      <c r="D970" s="11">
        <v>0.40500000000000003</v>
      </c>
      <c r="E970" s="2">
        <f t="shared" si="110"/>
        <v>0.98</v>
      </c>
      <c r="F970" s="10">
        <v>0.02</v>
      </c>
      <c r="G970" s="10">
        <v>7.0000000000000007E-2</v>
      </c>
      <c r="H970" s="12">
        <f t="shared" si="111"/>
        <v>0.43335000000000007</v>
      </c>
      <c r="I970" s="12">
        <f t="shared" si="112"/>
        <v>1.5033500000000002</v>
      </c>
      <c r="J970" s="2">
        <f>I970*250</f>
        <v>375.83750000000003</v>
      </c>
      <c r="K970" s="2"/>
      <c r="L970" s="2"/>
      <c r="M970" s="2"/>
      <c r="N970" s="2">
        <f t="shared" si="116"/>
        <v>1503.3500000000001</v>
      </c>
      <c r="O970" s="2"/>
      <c r="P970" s="2"/>
      <c r="Q970" s="51">
        <f t="shared" si="113"/>
        <v>28.825622775800714</v>
      </c>
    </row>
    <row r="971" spans="1:17" x14ac:dyDescent="0.25">
      <c r="A971" s="16">
        <v>45874</v>
      </c>
      <c r="B971" s="2" t="s">
        <v>119</v>
      </c>
      <c r="C971" s="2">
        <v>700</v>
      </c>
      <c r="D971" s="11">
        <v>0.39400000000000002</v>
      </c>
      <c r="E971" s="2">
        <f t="shared" si="110"/>
        <v>0.7</v>
      </c>
      <c r="F971" s="10">
        <v>0.02</v>
      </c>
      <c r="G971" s="10">
        <v>7.0000000000000007E-2</v>
      </c>
      <c r="H971" s="12">
        <f t="shared" si="111"/>
        <v>0.31126000000000004</v>
      </c>
      <c r="I971" s="12">
        <f t="shared" si="112"/>
        <v>1.1012600000000001</v>
      </c>
      <c r="J971" s="2"/>
      <c r="K971" s="2"/>
      <c r="L971" s="2"/>
      <c r="M971" s="2">
        <f>I971*750</f>
        <v>825.94500000000005</v>
      </c>
      <c r="N971" s="2">
        <f t="shared" si="116"/>
        <v>1101.2600000000002</v>
      </c>
      <c r="O971" s="2"/>
      <c r="P971" s="2"/>
      <c r="Q971" s="51">
        <f t="shared" si="113"/>
        <v>28.263988522238165</v>
      </c>
    </row>
    <row r="972" spans="1:17" hidden="1" x14ac:dyDescent="0.25">
      <c r="A972" s="16">
        <v>45874</v>
      </c>
      <c r="B972" s="2" t="s">
        <v>86</v>
      </c>
      <c r="C972" s="2">
        <v>980</v>
      </c>
      <c r="D972" s="11">
        <v>0.4</v>
      </c>
      <c r="E972" s="2">
        <f t="shared" si="110"/>
        <v>0.98</v>
      </c>
      <c r="F972" s="10">
        <v>0.02</v>
      </c>
      <c r="G972" s="10">
        <v>7.0000000000000007E-2</v>
      </c>
      <c r="H972" s="12">
        <f t="shared" si="111"/>
        <v>0.42800000000000005</v>
      </c>
      <c r="I972" s="12">
        <f t="shared" si="112"/>
        <v>1.4980000000000002</v>
      </c>
      <c r="J972" s="2">
        <f>I972*250</f>
        <v>374.50000000000006</v>
      </c>
      <c r="K972" s="2"/>
      <c r="L972" s="2"/>
      <c r="M972" s="2"/>
      <c r="N972" s="2">
        <f t="shared" si="116"/>
        <v>1498.0000000000002</v>
      </c>
      <c r="O972" s="2"/>
      <c r="P972" s="2"/>
      <c r="Q972" s="51">
        <f t="shared" si="113"/>
        <v>28.571428571428569</v>
      </c>
    </row>
    <row r="973" spans="1:17" hidden="1" x14ac:dyDescent="0.25">
      <c r="A973" s="16">
        <v>45874</v>
      </c>
      <c r="B973" s="2" t="s">
        <v>86</v>
      </c>
      <c r="C973" s="2">
        <v>980</v>
      </c>
      <c r="D973" s="11">
        <v>0.52</v>
      </c>
      <c r="E973" s="2">
        <f t="shared" si="110"/>
        <v>0.98</v>
      </c>
      <c r="F973" s="10">
        <v>0.02</v>
      </c>
      <c r="G973" s="10">
        <v>7.0000000000000007E-2</v>
      </c>
      <c r="H973" s="12">
        <f t="shared" si="111"/>
        <v>0.55640000000000001</v>
      </c>
      <c r="I973" s="12">
        <f t="shared" si="112"/>
        <v>1.6264000000000001</v>
      </c>
      <c r="J973" s="2">
        <f>I973*200</f>
        <v>325.28000000000003</v>
      </c>
      <c r="K973" s="2"/>
      <c r="L973" s="2"/>
      <c r="M973" s="2"/>
      <c r="N973" s="2">
        <f t="shared" si="116"/>
        <v>1626.4</v>
      </c>
      <c r="O973" s="2"/>
      <c r="P973" s="2"/>
      <c r="Q973" s="51">
        <f t="shared" si="113"/>
        <v>34.210526315789473</v>
      </c>
    </row>
    <row r="974" spans="1:17" hidden="1" x14ac:dyDescent="0.25">
      <c r="A974" s="16">
        <v>45875</v>
      </c>
      <c r="B974" s="2" t="s">
        <v>86</v>
      </c>
      <c r="C974" s="2">
        <v>870</v>
      </c>
      <c r="D974" s="11">
        <v>0.4</v>
      </c>
      <c r="E974" s="2">
        <f t="shared" si="110"/>
        <v>0.87</v>
      </c>
      <c r="F974" s="10">
        <v>0.02</v>
      </c>
      <c r="G974" s="10">
        <v>7.0000000000000007E-2</v>
      </c>
      <c r="H974" s="12">
        <f t="shared" si="111"/>
        <v>0.38400000000000001</v>
      </c>
      <c r="I974" s="12">
        <f t="shared" si="112"/>
        <v>1.3439999999999999</v>
      </c>
      <c r="J974" s="2">
        <f>I974*250</f>
        <v>335.99999999999994</v>
      </c>
      <c r="K974" s="2"/>
      <c r="L974" s="2"/>
      <c r="M974" s="2"/>
      <c r="N974" s="2">
        <f t="shared" si="116"/>
        <v>1343.9999999999998</v>
      </c>
      <c r="O974" s="2"/>
      <c r="P974" s="2"/>
      <c r="Q974" s="51">
        <f t="shared" si="113"/>
        <v>28.571428571428573</v>
      </c>
    </row>
    <row r="975" spans="1:17" hidden="1" x14ac:dyDescent="0.25">
      <c r="A975" s="16">
        <v>45875</v>
      </c>
      <c r="B975" s="2" t="s">
        <v>86</v>
      </c>
      <c r="C975" s="2">
        <v>870</v>
      </c>
      <c r="D975" s="11">
        <v>0.35599999999999998</v>
      </c>
      <c r="E975" s="2">
        <f t="shared" si="110"/>
        <v>0.87</v>
      </c>
      <c r="F975" s="10">
        <v>0.02</v>
      </c>
      <c r="G975" s="10">
        <v>7.0000000000000007E-2</v>
      </c>
      <c r="H975" s="12">
        <f t="shared" si="111"/>
        <v>0.34175999999999995</v>
      </c>
      <c r="I975" s="12">
        <f t="shared" si="112"/>
        <v>1.3017599999999998</v>
      </c>
      <c r="J975" s="2">
        <f>I975*250</f>
        <v>325.43999999999994</v>
      </c>
      <c r="K975" s="2"/>
      <c r="L975" s="2"/>
      <c r="M975" s="2"/>
      <c r="N975" s="2">
        <f t="shared" si="116"/>
        <v>1301.7599999999998</v>
      </c>
      <c r="O975" s="2"/>
      <c r="P975" s="2"/>
      <c r="Q975" s="51">
        <f t="shared" si="113"/>
        <v>26.25368731563422</v>
      </c>
    </row>
    <row r="976" spans="1:17" hidden="1" x14ac:dyDescent="0.25">
      <c r="A976" s="16">
        <v>45875</v>
      </c>
      <c r="B976" s="2" t="s">
        <v>139</v>
      </c>
      <c r="C976" s="2">
        <v>870</v>
      </c>
      <c r="D976" s="11">
        <v>0.47599999999999998</v>
      </c>
      <c r="E976" s="2">
        <f t="shared" si="110"/>
        <v>0.87</v>
      </c>
      <c r="F976" s="10">
        <v>0.02</v>
      </c>
      <c r="G976" s="10">
        <v>7.0000000000000007E-2</v>
      </c>
      <c r="H976" s="12">
        <f t="shared" si="111"/>
        <v>0.45695999999999998</v>
      </c>
      <c r="I976" s="12">
        <f t="shared" si="112"/>
        <v>1.41696</v>
      </c>
      <c r="J976" s="2"/>
      <c r="K976" s="2">
        <f>I976*350</f>
        <v>495.93599999999998</v>
      </c>
      <c r="L976" s="2"/>
      <c r="M976" s="2"/>
      <c r="N976" s="2">
        <f t="shared" si="116"/>
        <v>1416.96</v>
      </c>
      <c r="O976" s="2"/>
      <c r="P976" s="2"/>
      <c r="Q976" s="51">
        <f t="shared" si="113"/>
        <v>32.24932249322493</v>
      </c>
    </row>
    <row r="977" spans="1:17" hidden="1" x14ac:dyDescent="0.25">
      <c r="A977" s="16">
        <v>45876</v>
      </c>
      <c r="B977" s="2" t="s">
        <v>85</v>
      </c>
      <c r="C977" s="2">
        <v>700</v>
      </c>
      <c r="D977" s="11">
        <v>0.375</v>
      </c>
      <c r="E977" s="2">
        <f t="shared" si="110"/>
        <v>0.7</v>
      </c>
      <c r="F977" s="10">
        <v>0.02</v>
      </c>
      <c r="G977" s="10">
        <v>7.0000000000000007E-2</v>
      </c>
      <c r="H977" s="12">
        <f t="shared" si="111"/>
        <v>0.29625000000000001</v>
      </c>
      <c r="I977" s="12">
        <f t="shared" si="112"/>
        <v>1.0862500000000002</v>
      </c>
      <c r="J977" s="2"/>
      <c r="K977" s="2">
        <f>I977*300</f>
        <v>325.87500000000006</v>
      </c>
      <c r="L977" s="2"/>
      <c r="M977" s="2"/>
      <c r="N977" s="2">
        <f t="shared" si="116"/>
        <v>1086.2500000000002</v>
      </c>
      <c r="O977" s="2"/>
      <c r="P977" s="2"/>
      <c r="Q977" s="51">
        <f t="shared" si="113"/>
        <v>27.272727272727266</v>
      </c>
    </row>
    <row r="978" spans="1:17" hidden="1" x14ac:dyDescent="0.25">
      <c r="A978" s="16">
        <v>45876</v>
      </c>
      <c r="B978" s="2" t="s">
        <v>86</v>
      </c>
      <c r="C978" s="2">
        <v>700</v>
      </c>
      <c r="D978" s="11">
        <v>0.65</v>
      </c>
      <c r="E978" s="2">
        <f t="shared" si="110"/>
        <v>0.7</v>
      </c>
      <c r="F978" s="10">
        <v>0.02</v>
      </c>
      <c r="G978" s="10">
        <v>7.0000000000000007E-2</v>
      </c>
      <c r="H978" s="12">
        <f t="shared" si="111"/>
        <v>0.51350000000000007</v>
      </c>
      <c r="I978" s="12">
        <f t="shared" si="112"/>
        <v>1.3035000000000001</v>
      </c>
      <c r="J978" s="2">
        <f>I978*250</f>
        <v>325.875</v>
      </c>
      <c r="K978" s="2"/>
      <c r="L978" s="2"/>
      <c r="M978" s="2"/>
      <c r="N978" s="2">
        <f t="shared" si="116"/>
        <v>1303.5</v>
      </c>
      <c r="O978" s="2"/>
      <c r="P978" s="2"/>
      <c r="Q978" s="51">
        <f t="shared" si="113"/>
        <v>39.393939393939398</v>
      </c>
    </row>
    <row r="979" spans="1:17" hidden="1" x14ac:dyDescent="0.25">
      <c r="A979" s="16">
        <v>45876</v>
      </c>
      <c r="B979" s="2" t="s">
        <v>122</v>
      </c>
      <c r="C979" s="2">
        <v>600</v>
      </c>
      <c r="D979" s="11">
        <v>0.378</v>
      </c>
      <c r="E979" s="2">
        <f t="shared" si="110"/>
        <v>0.6</v>
      </c>
      <c r="F979" s="10">
        <v>0.02</v>
      </c>
      <c r="G979" s="10">
        <v>7.0000000000000007E-2</v>
      </c>
      <c r="H979" s="12">
        <f t="shared" si="111"/>
        <v>0.26082</v>
      </c>
      <c r="I979" s="12">
        <f t="shared" si="112"/>
        <v>0.95082</v>
      </c>
      <c r="J979" s="2"/>
      <c r="K979" s="2"/>
      <c r="L979" s="2">
        <f>I979*500</f>
        <v>475.41</v>
      </c>
      <c r="M979" s="2"/>
      <c r="N979" s="2">
        <f t="shared" si="116"/>
        <v>950.82</v>
      </c>
      <c r="O979" s="2"/>
      <c r="P979" s="2"/>
      <c r="Q979" s="51">
        <f t="shared" si="113"/>
        <v>27.431059506531206</v>
      </c>
    </row>
    <row r="980" spans="1:17" hidden="1" x14ac:dyDescent="0.25">
      <c r="A980" s="16">
        <v>45876</v>
      </c>
      <c r="B980" s="2" t="s">
        <v>98</v>
      </c>
      <c r="C980" s="2">
        <v>600</v>
      </c>
      <c r="D980" s="11">
        <v>0.40100000000000002</v>
      </c>
      <c r="E980" s="2">
        <f t="shared" si="110"/>
        <v>0.6</v>
      </c>
      <c r="F980" s="10">
        <v>0.02</v>
      </c>
      <c r="G980" s="10">
        <v>7.0000000000000007E-2</v>
      </c>
      <c r="H980" s="12">
        <f t="shared" si="111"/>
        <v>0.27668999999999999</v>
      </c>
      <c r="I980" s="12">
        <f t="shared" si="112"/>
        <v>0.96668999999999994</v>
      </c>
      <c r="J980" s="2"/>
      <c r="K980" s="2"/>
      <c r="L980" s="2"/>
      <c r="M980" s="2">
        <f>I980*750</f>
        <v>725.01749999999993</v>
      </c>
      <c r="N980" s="2">
        <f t="shared" si="116"/>
        <v>966.68999999999994</v>
      </c>
      <c r="O980" s="2"/>
      <c r="P980" s="2"/>
      <c r="Q980" s="51">
        <f t="shared" si="113"/>
        <v>28.622412562455391</v>
      </c>
    </row>
    <row r="981" spans="1:1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</sheetData>
  <autoFilter ref="A3:Q980">
    <filterColumn colId="1">
      <filters>
        <filter val="BABY RAWAS EXTRA SMALL"/>
        <filter val="BABY RAWAS LARGE"/>
        <filter val="BABY RAWAS MEDIUM"/>
        <filter val="BABY RAWAS S/M/L/XL"/>
        <filter val="BABY RAWAS SMALL"/>
        <filter val="BABY RAWAS SMALL/MED/LARG"/>
      </filters>
    </filterColumn>
    <sortState ref="A667:Q964">
      <sortCondition ref="B1:B964"/>
    </sortState>
  </autoFilter>
  <sortState ref="A4:Q965">
    <sortCondition ref="A1:A965"/>
  </sortState>
  <mergeCells count="3">
    <mergeCell ref="E2:I2"/>
    <mergeCell ref="C2:D2"/>
    <mergeCell ref="J2:N2"/>
  </mergeCells>
  <pageMargins left="0.23622047244094491" right="0.23622047244094491" top="0.23622047244094491" bottom="0.23622047244094491" header="0.23622047244094491" footer="0.23622047244094491"/>
  <pageSetup paperSize="9"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1"/>
  <sheetViews>
    <sheetView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C104" sqref="C104"/>
    </sheetView>
  </sheetViews>
  <sheetFormatPr defaultRowHeight="15" x14ac:dyDescent="0.25"/>
  <cols>
    <col min="1" max="1" width="10.42578125" bestFit="1" customWidth="1"/>
    <col min="2" max="2" width="34.140625" bestFit="1" customWidth="1"/>
  </cols>
  <sheetData>
    <row r="2" spans="1:18" ht="60" x14ac:dyDescent="0.25">
      <c r="A2" s="2"/>
      <c r="B2" s="26" t="s">
        <v>0</v>
      </c>
      <c r="C2" s="26" t="s">
        <v>2</v>
      </c>
      <c r="D2" s="26" t="s">
        <v>1</v>
      </c>
      <c r="E2" s="26" t="s">
        <v>3</v>
      </c>
      <c r="F2" s="26" t="s">
        <v>6</v>
      </c>
      <c r="G2" s="26" t="s">
        <v>4</v>
      </c>
      <c r="H2" s="26" t="s">
        <v>5</v>
      </c>
      <c r="I2" s="26" t="s">
        <v>34</v>
      </c>
      <c r="J2" s="26" t="s">
        <v>35</v>
      </c>
      <c r="K2" s="26" t="s">
        <v>7</v>
      </c>
      <c r="L2" s="26" t="s">
        <v>12</v>
      </c>
      <c r="M2" s="26" t="s">
        <v>8</v>
      </c>
      <c r="N2" s="26" t="s">
        <v>17</v>
      </c>
      <c r="O2" s="26" t="s">
        <v>9</v>
      </c>
      <c r="P2" s="26" t="s">
        <v>10</v>
      </c>
      <c r="Q2" s="26" t="s">
        <v>11</v>
      </c>
      <c r="R2" s="27" t="s">
        <v>59</v>
      </c>
    </row>
    <row r="3" spans="1:18" x14ac:dyDescent="0.25">
      <c r="A3" s="2"/>
      <c r="B3" s="2" t="s">
        <v>63</v>
      </c>
      <c r="C3" s="2">
        <v>240</v>
      </c>
      <c r="D3" s="13">
        <v>0</v>
      </c>
      <c r="E3" s="14">
        <v>0.16</v>
      </c>
      <c r="F3" s="2">
        <f t="shared" ref="F3:F16" si="0">1000-1000*D3</f>
        <v>1000</v>
      </c>
      <c r="G3" s="2">
        <f t="shared" ref="G3:G16" si="1">C3/1000</f>
        <v>0.24</v>
      </c>
      <c r="H3" s="2">
        <f t="shared" ref="H3:H16" si="2">C3/F3</f>
        <v>0.24</v>
      </c>
      <c r="I3" s="15">
        <v>0</v>
      </c>
      <c r="J3" s="15">
        <v>7.0000000000000007E-2</v>
      </c>
      <c r="K3" s="15">
        <f t="shared" ref="K3:K16" si="3">SUM(H3:J3)*E3</f>
        <v>4.9599999999999998E-2</v>
      </c>
      <c r="L3" s="15">
        <f t="shared" ref="L3:L16" si="4">SUM(H3:K3)</f>
        <v>0.35959999999999998</v>
      </c>
      <c r="M3" s="2"/>
      <c r="N3" s="2"/>
      <c r="O3" s="2">
        <f>L3*500</f>
        <v>179.79999999999998</v>
      </c>
      <c r="P3" s="2"/>
      <c r="Q3" s="2"/>
      <c r="R3" s="28">
        <f t="shared" ref="R3:R16" si="5">K3/L3%</f>
        <v>13.793103448275863</v>
      </c>
    </row>
    <row r="4" spans="1:18" x14ac:dyDescent="0.25">
      <c r="A4" s="2"/>
      <c r="B4" s="2" t="s">
        <v>64</v>
      </c>
      <c r="C4" s="2">
        <v>440</v>
      </c>
      <c r="D4" s="13">
        <v>0</v>
      </c>
      <c r="E4" s="14">
        <v>0.1</v>
      </c>
      <c r="F4" s="2">
        <f t="shared" si="0"/>
        <v>1000</v>
      </c>
      <c r="G4" s="2">
        <f t="shared" si="1"/>
        <v>0.44</v>
      </c>
      <c r="H4" s="2">
        <f t="shared" si="2"/>
        <v>0.44</v>
      </c>
      <c r="I4" s="15">
        <v>0.02</v>
      </c>
      <c r="J4" s="15">
        <v>7.0000000000000007E-2</v>
      </c>
      <c r="K4" s="15">
        <f t="shared" si="3"/>
        <v>5.3000000000000005E-2</v>
      </c>
      <c r="L4" s="15">
        <f t="shared" si="4"/>
        <v>0.58300000000000007</v>
      </c>
      <c r="M4" s="2"/>
      <c r="N4" s="2"/>
      <c r="O4" s="2">
        <f>L4*450</f>
        <v>262.35000000000002</v>
      </c>
      <c r="P4" s="2"/>
      <c r="Q4" s="2"/>
      <c r="R4" s="28">
        <f t="shared" si="5"/>
        <v>9.0909090909090899</v>
      </c>
    </row>
    <row r="5" spans="1:18" x14ac:dyDescent="0.25">
      <c r="A5" s="2"/>
      <c r="B5" s="2" t="s">
        <v>65</v>
      </c>
      <c r="C5" s="2">
        <v>200</v>
      </c>
      <c r="D5" s="13">
        <v>0</v>
      </c>
      <c r="E5" s="14">
        <v>0.39</v>
      </c>
      <c r="F5" s="2">
        <f t="shared" si="0"/>
        <v>1000</v>
      </c>
      <c r="G5" s="2">
        <f t="shared" si="1"/>
        <v>0.2</v>
      </c>
      <c r="H5" s="2">
        <f t="shared" si="2"/>
        <v>0.2</v>
      </c>
      <c r="I5" s="15">
        <v>0.02</v>
      </c>
      <c r="J5" s="15">
        <v>7.0000000000000007E-2</v>
      </c>
      <c r="K5" s="15">
        <f t="shared" si="3"/>
        <v>0.11310000000000002</v>
      </c>
      <c r="L5" s="15">
        <f t="shared" si="4"/>
        <v>0.40310000000000007</v>
      </c>
      <c r="M5" s="2">
        <f>L5*250</f>
        <v>100.77500000000002</v>
      </c>
      <c r="N5" s="2"/>
      <c r="O5" s="2"/>
      <c r="P5" s="2"/>
      <c r="Q5" s="2"/>
      <c r="R5" s="28">
        <f t="shared" si="5"/>
        <v>28.057553956834532</v>
      </c>
    </row>
    <row r="6" spans="1:18" x14ac:dyDescent="0.25">
      <c r="A6" s="2"/>
      <c r="B6" s="2" t="s">
        <v>66</v>
      </c>
      <c r="C6" s="2">
        <v>347.61900000000003</v>
      </c>
      <c r="D6" s="13">
        <v>0</v>
      </c>
      <c r="E6" s="14">
        <v>0.09</v>
      </c>
      <c r="F6" s="2">
        <f t="shared" si="0"/>
        <v>1000</v>
      </c>
      <c r="G6" s="2">
        <f t="shared" si="1"/>
        <v>0.34761900000000001</v>
      </c>
      <c r="H6" s="2">
        <f t="shared" si="2"/>
        <v>0.34761900000000001</v>
      </c>
      <c r="I6" s="15">
        <v>0.02</v>
      </c>
      <c r="J6" s="15">
        <v>7.0000000000000007E-2</v>
      </c>
      <c r="K6" s="15">
        <f t="shared" si="3"/>
        <v>3.9385710000000004E-2</v>
      </c>
      <c r="L6" s="15">
        <f t="shared" si="4"/>
        <v>0.47700471000000005</v>
      </c>
      <c r="M6" s="2"/>
      <c r="N6" s="2"/>
      <c r="O6" s="2">
        <f>L6*420</f>
        <v>200.34197820000003</v>
      </c>
      <c r="P6" s="2"/>
      <c r="Q6" s="2"/>
      <c r="R6" s="28">
        <f t="shared" si="5"/>
        <v>8.2568807339449535</v>
      </c>
    </row>
    <row r="7" spans="1:18" x14ac:dyDescent="0.25">
      <c r="A7" s="2"/>
      <c r="B7" s="2" t="s">
        <v>67</v>
      </c>
      <c r="C7" s="2">
        <v>464.44439999999997</v>
      </c>
      <c r="D7" s="13">
        <v>0</v>
      </c>
      <c r="E7" s="14">
        <v>0.04</v>
      </c>
      <c r="F7" s="2">
        <f t="shared" si="0"/>
        <v>1000</v>
      </c>
      <c r="G7" s="2">
        <f t="shared" si="1"/>
        <v>0.46444439999999998</v>
      </c>
      <c r="H7" s="2">
        <f t="shared" si="2"/>
        <v>0.46444439999999998</v>
      </c>
      <c r="I7" s="15">
        <v>0.02</v>
      </c>
      <c r="J7" s="15">
        <v>7.0000000000000007E-2</v>
      </c>
      <c r="K7" s="15">
        <f t="shared" si="3"/>
        <v>2.2177776E-2</v>
      </c>
      <c r="L7" s="15">
        <f t="shared" si="4"/>
        <v>0.57662217599999999</v>
      </c>
      <c r="M7" s="2"/>
      <c r="N7" s="2"/>
      <c r="O7" s="2">
        <f>L7*450</f>
        <v>259.4799792</v>
      </c>
      <c r="P7" s="2"/>
      <c r="Q7" s="2"/>
      <c r="R7" s="28">
        <f t="shared" si="5"/>
        <v>3.8461538461538463</v>
      </c>
    </row>
    <row r="8" spans="1:18" x14ac:dyDescent="0.25">
      <c r="A8" s="2"/>
      <c r="B8" s="2" t="s">
        <v>68</v>
      </c>
      <c r="C8" s="2">
        <v>360</v>
      </c>
      <c r="D8" s="13">
        <v>0</v>
      </c>
      <c r="E8" s="14">
        <v>0.19</v>
      </c>
      <c r="F8" s="2">
        <f t="shared" si="0"/>
        <v>1000</v>
      </c>
      <c r="G8" s="2">
        <f t="shared" si="1"/>
        <v>0.36</v>
      </c>
      <c r="H8" s="2">
        <f t="shared" si="2"/>
        <v>0.36</v>
      </c>
      <c r="I8" s="15">
        <v>0.02</v>
      </c>
      <c r="J8" s="15">
        <v>7.0000000000000007E-2</v>
      </c>
      <c r="K8" s="15">
        <f t="shared" si="3"/>
        <v>8.5500000000000007E-2</v>
      </c>
      <c r="L8" s="15">
        <f t="shared" si="4"/>
        <v>0.53549999999999998</v>
      </c>
      <c r="M8" s="2"/>
      <c r="N8" s="2"/>
      <c r="O8" s="2">
        <f>L8*450</f>
        <v>240.97499999999999</v>
      </c>
      <c r="P8" s="2"/>
      <c r="Q8" s="2"/>
      <c r="R8" s="28">
        <f t="shared" si="5"/>
        <v>15.966386554621851</v>
      </c>
    </row>
    <row r="9" spans="1:18" x14ac:dyDescent="0.25">
      <c r="A9" s="2"/>
      <c r="B9" s="2" t="s">
        <v>69</v>
      </c>
      <c r="C9" s="2">
        <v>462.22219999999999</v>
      </c>
      <c r="D9" s="13">
        <v>0</v>
      </c>
      <c r="E9" s="14">
        <v>0.05</v>
      </c>
      <c r="F9" s="2">
        <f t="shared" si="0"/>
        <v>1000</v>
      </c>
      <c r="G9" s="2">
        <f t="shared" si="1"/>
        <v>0.46222219999999997</v>
      </c>
      <c r="H9" s="2">
        <f t="shared" si="2"/>
        <v>0.46222219999999997</v>
      </c>
      <c r="I9" s="15">
        <v>0.02</v>
      </c>
      <c r="J9" s="15">
        <v>7.0000000000000007E-2</v>
      </c>
      <c r="K9" s="15">
        <f t="shared" si="3"/>
        <v>2.7611110000000001E-2</v>
      </c>
      <c r="L9" s="15">
        <f t="shared" si="4"/>
        <v>0.57983331000000005</v>
      </c>
      <c r="M9" s="2"/>
      <c r="N9" s="2"/>
      <c r="O9" s="2">
        <f>L9*450</f>
        <v>260.92498950000004</v>
      </c>
      <c r="P9" s="2"/>
      <c r="Q9" s="2"/>
      <c r="R9" s="28">
        <f t="shared" si="5"/>
        <v>4.7619047619047619</v>
      </c>
    </row>
    <row r="10" spans="1:18" x14ac:dyDescent="0.25">
      <c r="A10" s="2"/>
      <c r="B10" s="2" t="s">
        <v>70</v>
      </c>
      <c r="C10" s="2">
        <v>306.66669999999999</v>
      </c>
      <c r="D10" s="13">
        <v>0</v>
      </c>
      <c r="E10" s="14">
        <v>0.1</v>
      </c>
      <c r="F10" s="2">
        <f t="shared" si="0"/>
        <v>1000</v>
      </c>
      <c r="G10" s="2">
        <f t="shared" si="1"/>
        <v>0.30666670000000001</v>
      </c>
      <c r="H10" s="2">
        <f t="shared" si="2"/>
        <v>0.30666670000000001</v>
      </c>
      <c r="I10" s="15">
        <v>0.02</v>
      </c>
      <c r="J10" s="15">
        <v>7.0000000000000007E-2</v>
      </c>
      <c r="K10" s="15">
        <f t="shared" si="3"/>
        <v>3.9666670000000008E-2</v>
      </c>
      <c r="L10" s="15">
        <f t="shared" si="4"/>
        <v>0.43633337000000005</v>
      </c>
      <c r="M10" s="2"/>
      <c r="N10" s="2"/>
      <c r="O10" s="2">
        <f>L10*400</f>
        <v>174.53334800000002</v>
      </c>
      <c r="P10" s="2"/>
      <c r="Q10" s="2"/>
      <c r="R10" s="28">
        <f t="shared" si="5"/>
        <v>9.0909090909090917</v>
      </c>
    </row>
    <row r="11" spans="1:18" x14ac:dyDescent="0.25">
      <c r="A11" s="16">
        <v>45354</v>
      </c>
      <c r="B11" s="2" t="s">
        <v>60</v>
      </c>
      <c r="C11" s="2">
        <v>720</v>
      </c>
      <c r="D11" s="13">
        <v>0.17</v>
      </c>
      <c r="E11" s="14">
        <v>2.4E-2</v>
      </c>
      <c r="F11" s="2">
        <f t="shared" si="0"/>
        <v>830</v>
      </c>
      <c r="G11" s="2">
        <f t="shared" si="1"/>
        <v>0.72</v>
      </c>
      <c r="H11" s="15">
        <f t="shared" si="2"/>
        <v>0.86746987951807231</v>
      </c>
      <c r="I11" s="15">
        <v>0.02</v>
      </c>
      <c r="J11" s="15">
        <v>7.0000000000000007E-2</v>
      </c>
      <c r="K11" s="15">
        <f t="shared" si="3"/>
        <v>2.2979277108433734E-2</v>
      </c>
      <c r="L11" s="15">
        <f t="shared" si="4"/>
        <v>0.980449156626506</v>
      </c>
      <c r="M11" s="15">
        <f>L11*250</f>
        <v>245.1122891566265</v>
      </c>
      <c r="N11" s="15"/>
      <c r="O11" s="15"/>
      <c r="P11" s="15"/>
      <c r="Q11" s="15">
        <f t="shared" ref="Q11:Q16" si="6">L11*1000</f>
        <v>980.44915662650601</v>
      </c>
      <c r="R11" s="28">
        <f t="shared" si="5"/>
        <v>2.34375</v>
      </c>
    </row>
    <row r="12" spans="1:18" x14ac:dyDescent="0.25">
      <c r="A12" s="16">
        <v>45587</v>
      </c>
      <c r="B12" s="2" t="s">
        <v>168</v>
      </c>
      <c r="C12" s="2">
        <v>720</v>
      </c>
      <c r="D12" s="13">
        <v>9.0899999999999995E-2</v>
      </c>
      <c r="E12" s="14">
        <v>0.01</v>
      </c>
      <c r="F12" s="2">
        <f t="shared" si="0"/>
        <v>909.1</v>
      </c>
      <c r="G12" s="2">
        <f t="shared" si="1"/>
        <v>0.72</v>
      </c>
      <c r="H12" s="15">
        <f t="shared" si="2"/>
        <v>0.79199208007919919</v>
      </c>
      <c r="I12" s="15">
        <v>0.02</v>
      </c>
      <c r="J12" s="15">
        <v>7.0000000000000007E-2</v>
      </c>
      <c r="K12" s="15">
        <f t="shared" si="3"/>
        <v>8.8199208007919919E-3</v>
      </c>
      <c r="L12" s="15">
        <f t="shared" si="4"/>
        <v>0.89081200087999113</v>
      </c>
      <c r="M12" s="15"/>
      <c r="N12" s="15"/>
      <c r="O12" s="15">
        <f>L12*500</f>
        <v>445.40600043999558</v>
      </c>
      <c r="P12" s="15"/>
      <c r="Q12" s="15">
        <f t="shared" si="6"/>
        <v>890.81200087999116</v>
      </c>
      <c r="R12" s="28">
        <f t="shared" si="5"/>
        <v>0.9900990099009902</v>
      </c>
    </row>
    <row r="13" spans="1:18" x14ac:dyDescent="0.25">
      <c r="A13" s="16">
        <v>45357</v>
      </c>
      <c r="B13" s="2" t="s">
        <v>61</v>
      </c>
      <c r="C13" s="2">
        <v>700</v>
      </c>
      <c r="D13" s="13">
        <v>0.1</v>
      </c>
      <c r="E13" s="14">
        <v>0.36</v>
      </c>
      <c r="F13" s="2">
        <f t="shared" si="0"/>
        <v>900</v>
      </c>
      <c r="G13" s="2">
        <f t="shared" si="1"/>
        <v>0.7</v>
      </c>
      <c r="H13" s="15">
        <f t="shared" si="2"/>
        <v>0.77777777777777779</v>
      </c>
      <c r="I13" s="15">
        <v>0.02</v>
      </c>
      <c r="J13" s="15">
        <v>7.0000000000000007E-2</v>
      </c>
      <c r="K13" s="15">
        <f t="shared" si="3"/>
        <v>0.31239999999999996</v>
      </c>
      <c r="L13" s="15">
        <f t="shared" si="4"/>
        <v>1.1801777777777778</v>
      </c>
      <c r="M13" s="15">
        <f>L13*250</f>
        <v>295.04444444444442</v>
      </c>
      <c r="N13" s="15"/>
      <c r="O13" s="15">
        <f>L13*500</f>
        <v>590.08888888888885</v>
      </c>
      <c r="P13" s="15"/>
      <c r="Q13" s="15">
        <f t="shared" si="6"/>
        <v>1180.1777777777777</v>
      </c>
      <c r="R13" s="28">
        <f t="shared" si="5"/>
        <v>26.470588235294116</v>
      </c>
    </row>
    <row r="14" spans="1:18" x14ac:dyDescent="0.25">
      <c r="A14" s="16">
        <v>45445</v>
      </c>
      <c r="B14" s="2" t="s">
        <v>73</v>
      </c>
      <c r="C14" s="2">
        <v>700</v>
      </c>
      <c r="D14" s="13">
        <v>0.1</v>
      </c>
      <c r="E14" s="14">
        <v>0.61</v>
      </c>
      <c r="F14" s="2">
        <f t="shared" si="0"/>
        <v>900</v>
      </c>
      <c r="G14" s="2">
        <f t="shared" si="1"/>
        <v>0.7</v>
      </c>
      <c r="H14" s="2">
        <f t="shared" si="2"/>
        <v>0.77777777777777779</v>
      </c>
      <c r="I14" s="15">
        <v>0.02</v>
      </c>
      <c r="J14" s="15">
        <v>7.0000000000000007E-2</v>
      </c>
      <c r="K14" s="15">
        <f t="shared" si="3"/>
        <v>0.5293444444444444</v>
      </c>
      <c r="L14" s="15">
        <f t="shared" si="4"/>
        <v>1.3971222222222222</v>
      </c>
      <c r="M14" s="15">
        <f>L14*250</f>
        <v>349.28055555555557</v>
      </c>
      <c r="N14" s="2"/>
      <c r="O14" s="15">
        <f>L14*500</f>
        <v>698.56111111111113</v>
      </c>
      <c r="P14" s="2"/>
      <c r="Q14" s="15">
        <f t="shared" si="6"/>
        <v>1397.1222222222223</v>
      </c>
      <c r="R14" s="28">
        <f t="shared" si="5"/>
        <v>37.888198757763973</v>
      </c>
    </row>
    <row r="15" spans="1:18" x14ac:dyDescent="0.25">
      <c r="A15" s="16">
        <v>45445</v>
      </c>
      <c r="B15" s="2" t="s">
        <v>74</v>
      </c>
      <c r="C15" s="2">
        <v>700</v>
      </c>
      <c r="D15" s="13">
        <v>0.1</v>
      </c>
      <c r="E15" s="14">
        <v>0.13</v>
      </c>
      <c r="F15" s="2">
        <f t="shared" si="0"/>
        <v>900</v>
      </c>
      <c r="G15" s="2">
        <f t="shared" si="1"/>
        <v>0.7</v>
      </c>
      <c r="H15" s="2">
        <f t="shared" si="2"/>
        <v>0.77777777777777779</v>
      </c>
      <c r="I15" s="15">
        <v>0.02</v>
      </c>
      <c r="J15" s="15">
        <v>7.0000000000000007E-2</v>
      </c>
      <c r="K15" s="15">
        <f t="shared" si="3"/>
        <v>0.11281111111111111</v>
      </c>
      <c r="L15" s="15">
        <f t="shared" si="4"/>
        <v>0.98058888888888884</v>
      </c>
      <c r="M15" s="15">
        <f>L15*250</f>
        <v>245.14722222222221</v>
      </c>
      <c r="N15" s="2"/>
      <c r="O15" s="15">
        <f>L15*500</f>
        <v>490.29444444444442</v>
      </c>
      <c r="P15" s="2"/>
      <c r="Q15" s="15">
        <f t="shared" si="6"/>
        <v>980.58888888888885</v>
      </c>
      <c r="R15" s="28">
        <f t="shared" si="5"/>
        <v>11.504424778761063</v>
      </c>
    </row>
    <row r="16" spans="1:18" x14ac:dyDescent="0.25">
      <c r="A16" s="16">
        <v>45445</v>
      </c>
      <c r="B16" s="2" t="s">
        <v>75</v>
      </c>
      <c r="C16" s="2">
        <v>700</v>
      </c>
      <c r="D16" s="13">
        <v>0.1</v>
      </c>
      <c r="E16" s="14">
        <v>0.36</v>
      </c>
      <c r="F16" s="2">
        <f t="shared" si="0"/>
        <v>900</v>
      </c>
      <c r="G16" s="2">
        <f t="shared" si="1"/>
        <v>0.7</v>
      </c>
      <c r="H16" s="2">
        <f t="shared" si="2"/>
        <v>0.77777777777777779</v>
      </c>
      <c r="I16" s="15">
        <v>0.02</v>
      </c>
      <c r="J16" s="15">
        <v>7.0000000000000007E-2</v>
      </c>
      <c r="K16" s="15">
        <f t="shared" si="3"/>
        <v>0.31239999999999996</v>
      </c>
      <c r="L16" s="15">
        <f t="shared" si="4"/>
        <v>1.1801777777777778</v>
      </c>
      <c r="M16" s="15">
        <f>L16*250</f>
        <v>295.04444444444442</v>
      </c>
      <c r="N16" s="2"/>
      <c r="O16" s="15">
        <f>L16*500</f>
        <v>590.08888888888885</v>
      </c>
      <c r="P16" s="2"/>
      <c r="Q16" s="15">
        <f t="shared" si="6"/>
        <v>1180.1777777777777</v>
      </c>
      <c r="R16" s="28">
        <f t="shared" si="5"/>
        <v>26.470588235294116</v>
      </c>
    </row>
    <row r="18" spans="1:18" x14ac:dyDescent="0.25">
      <c r="A18" s="31">
        <v>45503</v>
      </c>
      <c r="B18" s="2" t="s">
        <v>78</v>
      </c>
      <c r="C18" s="2">
        <v>195</v>
      </c>
      <c r="D18" s="19">
        <v>0.21</v>
      </c>
      <c r="E18" s="11">
        <v>0</v>
      </c>
      <c r="F18" s="10">
        <f t="shared" ref="F18:F26" si="7">1000-1000*D18</f>
        <v>790</v>
      </c>
      <c r="G18" s="10">
        <f t="shared" ref="G18:G26" si="8">C18/1000</f>
        <v>0.19500000000000001</v>
      </c>
      <c r="H18" s="12">
        <f t="shared" ref="H18:H26" si="9">C18/F18</f>
        <v>0.24683544303797469</v>
      </c>
      <c r="I18" s="12">
        <v>0.02</v>
      </c>
      <c r="J18" s="12">
        <v>7.0000000000000007E-2</v>
      </c>
      <c r="K18" s="12">
        <f t="shared" ref="K18:K26" si="10">SUM(H18:J18)*E18</f>
        <v>0</v>
      </c>
      <c r="L18" s="12">
        <f t="shared" ref="L18:L26" si="11">SUM(H18:K18)</f>
        <v>0.33683544303797469</v>
      </c>
      <c r="M18" s="12">
        <f>L18*250</f>
        <v>84.208860759493675</v>
      </c>
      <c r="N18" s="12">
        <f>L18*450</f>
        <v>151.57594936708861</v>
      </c>
      <c r="O18" s="12">
        <f>L18*500</f>
        <v>168.41772151898735</v>
      </c>
      <c r="P18" s="12"/>
      <c r="Q18" s="12"/>
      <c r="R18" s="28">
        <f t="shared" ref="R18:R26" si="12">K18/L18%</f>
        <v>0</v>
      </c>
    </row>
    <row r="19" spans="1:18" x14ac:dyDescent="0.25">
      <c r="A19" s="2"/>
      <c r="B19" s="2" t="s">
        <v>76</v>
      </c>
      <c r="C19" s="2">
        <v>195</v>
      </c>
      <c r="D19" s="19">
        <v>0.21</v>
      </c>
      <c r="E19" s="11">
        <v>0.04</v>
      </c>
      <c r="F19" s="10">
        <f t="shared" si="7"/>
        <v>790</v>
      </c>
      <c r="G19" s="10">
        <f t="shared" si="8"/>
        <v>0.19500000000000001</v>
      </c>
      <c r="H19" s="12">
        <f t="shared" si="9"/>
        <v>0.24683544303797469</v>
      </c>
      <c r="I19" s="12">
        <v>0.02</v>
      </c>
      <c r="J19" s="12">
        <v>7.0000000000000007E-2</v>
      </c>
      <c r="K19" s="12">
        <f t="shared" si="10"/>
        <v>1.3473417721518988E-2</v>
      </c>
      <c r="L19" s="12">
        <f t="shared" si="11"/>
        <v>0.35030886075949369</v>
      </c>
      <c r="M19" s="2"/>
      <c r="N19" s="12"/>
      <c r="O19" s="12">
        <f>L19*500</f>
        <v>175.15443037974686</v>
      </c>
      <c r="P19" s="2"/>
      <c r="Q19" s="2"/>
      <c r="R19" s="28">
        <f t="shared" si="12"/>
        <v>3.8461538461538463</v>
      </c>
    </row>
    <row r="20" spans="1:18" x14ac:dyDescent="0.25">
      <c r="A20" s="2"/>
      <c r="B20" s="2" t="s">
        <v>81</v>
      </c>
      <c r="C20" s="2">
        <v>195</v>
      </c>
      <c r="D20" s="19">
        <v>0.21</v>
      </c>
      <c r="E20" s="11">
        <v>0.71499999999999997</v>
      </c>
      <c r="F20" s="10">
        <f t="shared" si="7"/>
        <v>790</v>
      </c>
      <c r="G20" s="10">
        <f t="shared" si="8"/>
        <v>0.19500000000000001</v>
      </c>
      <c r="H20" s="12">
        <f t="shared" si="9"/>
        <v>0.24683544303797469</v>
      </c>
      <c r="I20" s="12">
        <v>0.02</v>
      </c>
      <c r="J20" s="12">
        <v>7.0000000000000007E-2</v>
      </c>
      <c r="K20" s="12">
        <f t="shared" si="10"/>
        <v>0.24083734177215188</v>
      </c>
      <c r="L20" s="12">
        <f t="shared" si="11"/>
        <v>0.57767278481012663</v>
      </c>
      <c r="M20" s="2"/>
      <c r="N20" s="12">
        <f>L20*450</f>
        <v>259.95275316455701</v>
      </c>
      <c r="O20" s="12"/>
      <c r="P20" s="2"/>
      <c r="Q20" s="2"/>
      <c r="R20" s="28">
        <f t="shared" si="12"/>
        <v>41.690962099125358</v>
      </c>
    </row>
    <row r="21" spans="1:18" x14ac:dyDescent="0.25">
      <c r="A21" s="2"/>
      <c r="B21" s="2" t="s">
        <v>65</v>
      </c>
      <c r="C21" s="2">
        <v>195</v>
      </c>
      <c r="D21" s="19">
        <v>0.21</v>
      </c>
      <c r="E21" s="11">
        <v>0.2</v>
      </c>
      <c r="F21" s="10">
        <f t="shared" si="7"/>
        <v>790</v>
      </c>
      <c r="G21" s="10">
        <f t="shared" si="8"/>
        <v>0.19500000000000001</v>
      </c>
      <c r="H21" s="12">
        <f t="shared" si="9"/>
        <v>0.24683544303797469</v>
      </c>
      <c r="I21" s="12">
        <v>0.02</v>
      </c>
      <c r="J21" s="12">
        <v>7.0000000000000007E-2</v>
      </c>
      <c r="K21" s="12">
        <f t="shared" si="10"/>
        <v>6.7367088607594938E-2</v>
      </c>
      <c r="L21" s="12">
        <f t="shared" si="11"/>
        <v>0.40420253164556963</v>
      </c>
      <c r="M21" s="2">
        <f>L21*250</f>
        <v>101.05063291139241</v>
      </c>
      <c r="N21" s="2"/>
      <c r="O21" s="2"/>
      <c r="P21" s="2"/>
      <c r="Q21" s="2"/>
      <c r="R21" s="28">
        <f t="shared" si="12"/>
        <v>16.666666666666668</v>
      </c>
    </row>
    <row r="22" spans="1:18" x14ac:dyDescent="0.25">
      <c r="A22" s="2"/>
      <c r="B22" s="2" t="s">
        <v>77</v>
      </c>
      <c r="C22" s="2">
        <v>195</v>
      </c>
      <c r="D22" s="19">
        <v>0.21</v>
      </c>
      <c r="E22" s="11">
        <v>0.2</v>
      </c>
      <c r="F22" s="10">
        <f t="shared" si="7"/>
        <v>790</v>
      </c>
      <c r="G22" s="10">
        <f t="shared" si="8"/>
        <v>0.19500000000000001</v>
      </c>
      <c r="H22" s="12">
        <f t="shared" si="9"/>
        <v>0.24683544303797469</v>
      </c>
      <c r="I22" s="12">
        <v>0.02</v>
      </c>
      <c r="J22" s="12">
        <v>7.0000000000000007E-2</v>
      </c>
      <c r="K22" s="12">
        <f t="shared" si="10"/>
        <v>6.7367088607594938E-2</v>
      </c>
      <c r="L22" s="12">
        <f t="shared" si="11"/>
        <v>0.40420253164556963</v>
      </c>
      <c r="M22" s="2">
        <f>L22*250</f>
        <v>101.05063291139241</v>
      </c>
      <c r="N22" s="2"/>
      <c r="O22" s="2"/>
      <c r="P22" s="2"/>
      <c r="Q22" s="2"/>
      <c r="R22" s="28">
        <f t="shared" si="12"/>
        <v>16.666666666666668</v>
      </c>
    </row>
    <row r="23" spans="1:18" x14ac:dyDescent="0.25">
      <c r="A23" s="2"/>
      <c r="B23" s="2" t="s">
        <v>79</v>
      </c>
      <c r="C23" s="2">
        <v>195</v>
      </c>
      <c r="D23" s="19">
        <v>0.21</v>
      </c>
      <c r="E23" s="11">
        <v>0.54200000000000004</v>
      </c>
      <c r="F23" s="10">
        <f t="shared" si="7"/>
        <v>790</v>
      </c>
      <c r="G23" s="10">
        <f t="shared" si="8"/>
        <v>0.19500000000000001</v>
      </c>
      <c r="H23" s="12">
        <f t="shared" si="9"/>
        <v>0.24683544303797469</v>
      </c>
      <c r="I23" s="12">
        <v>0.02</v>
      </c>
      <c r="J23" s="12">
        <v>7.0000000000000007E-2</v>
      </c>
      <c r="K23" s="12">
        <f t="shared" si="10"/>
        <v>0.18256481012658229</v>
      </c>
      <c r="L23" s="12">
        <f t="shared" si="11"/>
        <v>0.51940025316455696</v>
      </c>
      <c r="M23" s="2"/>
      <c r="N23" s="2"/>
      <c r="O23" s="2">
        <f>L23*500</f>
        <v>259.70012658227847</v>
      </c>
      <c r="P23" s="2"/>
      <c r="Q23" s="2"/>
      <c r="R23" s="28">
        <f t="shared" si="12"/>
        <v>35.149156939040211</v>
      </c>
    </row>
    <row r="24" spans="1:18" x14ac:dyDescent="0.25">
      <c r="A24" s="2"/>
      <c r="B24" s="2" t="s">
        <v>82</v>
      </c>
      <c r="C24" s="2">
        <v>195</v>
      </c>
      <c r="D24" s="19">
        <v>0.21</v>
      </c>
      <c r="E24" s="11">
        <v>0.84</v>
      </c>
      <c r="F24" s="10">
        <f t="shared" si="7"/>
        <v>790</v>
      </c>
      <c r="G24" s="10">
        <f t="shared" si="8"/>
        <v>0.19500000000000001</v>
      </c>
      <c r="H24" s="12">
        <f t="shared" si="9"/>
        <v>0.24683544303797469</v>
      </c>
      <c r="I24" s="12">
        <v>0.02</v>
      </c>
      <c r="J24" s="12">
        <v>7.0000000000000007E-2</v>
      </c>
      <c r="K24" s="12">
        <f t="shared" si="10"/>
        <v>0.28294177215189875</v>
      </c>
      <c r="L24" s="12">
        <f t="shared" si="11"/>
        <v>0.6197772151898735</v>
      </c>
      <c r="M24" s="2"/>
      <c r="N24" s="2">
        <f>L24*300</f>
        <v>185.93316455696205</v>
      </c>
      <c r="O24" s="2"/>
      <c r="P24" s="2"/>
      <c r="Q24" s="2"/>
      <c r="R24" s="28">
        <f t="shared" si="12"/>
        <v>45.652173913043477</v>
      </c>
    </row>
    <row r="25" spans="1:18" x14ac:dyDescent="0.25">
      <c r="A25" s="2"/>
      <c r="B25" s="2" t="s">
        <v>83</v>
      </c>
      <c r="C25" s="2">
        <v>195</v>
      </c>
      <c r="D25" s="19">
        <v>0.21</v>
      </c>
      <c r="E25" s="11">
        <v>0.38</v>
      </c>
      <c r="F25" s="10">
        <f t="shared" si="7"/>
        <v>790</v>
      </c>
      <c r="G25" s="10">
        <f t="shared" si="8"/>
        <v>0.19500000000000001</v>
      </c>
      <c r="H25" s="12">
        <f t="shared" si="9"/>
        <v>0.24683544303797469</v>
      </c>
      <c r="I25" s="12">
        <v>0.02</v>
      </c>
      <c r="J25" s="12">
        <v>7.0000000000000007E-2</v>
      </c>
      <c r="K25" s="12">
        <f t="shared" si="10"/>
        <v>0.12799746835443038</v>
      </c>
      <c r="L25" s="12">
        <f t="shared" si="11"/>
        <v>0.46483291139240507</v>
      </c>
      <c r="M25" s="2"/>
      <c r="N25" s="2"/>
      <c r="O25" s="2">
        <f>L25*400</f>
        <v>185.93316455696203</v>
      </c>
      <c r="P25" s="2"/>
      <c r="Q25" s="2"/>
      <c r="R25" s="28">
        <f t="shared" si="12"/>
        <v>27.536231884057973</v>
      </c>
    </row>
    <row r="26" spans="1:18" x14ac:dyDescent="0.25">
      <c r="A26" s="31">
        <v>45503</v>
      </c>
      <c r="B26" s="2" t="s">
        <v>80</v>
      </c>
      <c r="C26" s="2">
        <v>115</v>
      </c>
      <c r="D26" s="19">
        <v>0</v>
      </c>
      <c r="E26" s="11">
        <v>2.0299999999999998</v>
      </c>
      <c r="F26" s="2">
        <f t="shared" si="7"/>
        <v>1000</v>
      </c>
      <c r="G26" s="2">
        <f t="shared" si="8"/>
        <v>0.115</v>
      </c>
      <c r="H26" s="2">
        <f t="shared" si="9"/>
        <v>0.115</v>
      </c>
      <c r="I26" s="12">
        <v>0.02</v>
      </c>
      <c r="J26" s="12">
        <v>7.0000000000000007E-2</v>
      </c>
      <c r="K26" s="12">
        <f t="shared" si="10"/>
        <v>0.41614999999999996</v>
      </c>
      <c r="L26" s="12">
        <f t="shared" si="11"/>
        <v>0.62114999999999998</v>
      </c>
      <c r="M26" s="2">
        <f>L26*250</f>
        <v>155.28749999999999</v>
      </c>
      <c r="N26" s="2"/>
      <c r="O26" s="2"/>
      <c r="P26" s="2"/>
      <c r="Q26" s="2"/>
      <c r="R26" s="28">
        <f t="shared" si="12"/>
        <v>66.996699669966986</v>
      </c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31">
        <v>45515</v>
      </c>
      <c r="B28" s="2" t="s">
        <v>78</v>
      </c>
      <c r="C28" s="2">
        <v>190</v>
      </c>
      <c r="D28" s="19">
        <v>0.31</v>
      </c>
      <c r="E28" s="11">
        <v>0</v>
      </c>
      <c r="F28" s="10">
        <f t="shared" ref="F28:F36" si="13">1000-1000*D28</f>
        <v>690</v>
      </c>
      <c r="G28" s="10">
        <f t="shared" ref="G28:G36" si="14">C28/1000</f>
        <v>0.19</v>
      </c>
      <c r="H28" s="12">
        <f t="shared" ref="H28:H36" si="15">C28/F28</f>
        <v>0.27536231884057971</v>
      </c>
      <c r="I28" s="12">
        <v>0.02</v>
      </c>
      <c r="J28" s="12">
        <v>7.0000000000000007E-2</v>
      </c>
      <c r="K28" s="12">
        <f t="shared" ref="K28:K36" si="16">SUM(H28:J28)*E28</f>
        <v>0</v>
      </c>
      <c r="L28" s="12">
        <f t="shared" ref="L28:L36" si="17">SUM(H28:K28)</f>
        <v>0.36536231884057974</v>
      </c>
      <c r="M28" s="2"/>
      <c r="N28" s="2"/>
      <c r="O28" s="2"/>
      <c r="P28" s="2"/>
      <c r="Q28" s="2">
        <f>L28*1000</f>
        <v>365.36231884057975</v>
      </c>
      <c r="R28" s="2"/>
    </row>
    <row r="29" spans="1:18" x14ac:dyDescent="0.25">
      <c r="A29" s="31">
        <v>45515</v>
      </c>
      <c r="B29" s="2" t="s">
        <v>76</v>
      </c>
      <c r="C29" s="2">
        <v>365</v>
      </c>
      <c r="D29" s="19">
        <v>0</v>
      </c>
      <c r="E29" s="11">
        <v>0</v>
      </c>
      <c r="F29" s="10">
        <f t="shared" si="13"/>
        <v>1000</v>
      </c>
      <c r="G29" s="10">
        <f t="shared" si="14"/>
        <v>0.36499999999999999</v>
      </c>
      <c r="H29" s="12">
        <f t="shared" si="15"/>
        <v>0.36499999999999999</v>
      </c>
      <c r="I29" s="12">
        <v>0.02</v>
      </c>
      <c r="J29" s="12">
        <v>7.0000000000000007E-2</v>
      </c>
      <c r="K29" s="12">
        <f t="shared" si="16"/>
        <v>0</v>
      </c>
      <c r="L29" s="12">
        <f t="shared" si="17"/>
        <v>0.45500000000000002</v>
      </c>
      <c r="M29" s="2"/>
      <c r="N29" s="2"/>
      <c r="O29" s="2">
        <f>L29*500</f>
        <v>227.5</v>
      </c>
      <c r="P29" s="2"/>
      <c r="Q29" s="2"/>
      <c r="R29" s="2"/>
    </row>
    <row r="30" spans="1:18" x14ac:dyDescent="0.25">
      <c r="A30" s="31">
        <v>45515</v>
      </c>
      <c r="B30" s="2" t="s">
        <v>79</v>
      </c>
      <c r="C30" s="2">
        <v>365</v>
      </c>
      <c r="D30" s="19">
        <v>0</v>
      </c>
      <c r="E30" s="11">
        <v>0</v>
      </c>
      <c r="F30" s="10">
        <f t="shared" si="13"/>
        <v>1000</v>
      </c>
      <c r="G30" s="10">
        <f t="shared" si="14"/>
        <v>0.36499999999999999</v>
      </c>
      <c r="H30" s="12">
        <f t="shared" si="15"/>
        <v>0.36499999999999999</v>
      </c>
      <c r="I30" s="12">
        <v>0.02</v>
      </c>
      <c r="J30" s="12">
        <v>7.0000000000000007E-2</v>
      </c>
      <c r="K30" s="12">
        <f t="shared" si="16"/>
        <v>0</v>
      </c>
      <c r="L30" s="12">
        <f t="shared" si="17"/>
        <v>0.45500000000000002</v>
      </c>
      <c r="M30" s="2"/>
      <c r="N30" s="2"/>
      <c r="O30" s="2">
        <f>L30*500</f>
        <v>227.5</v>
      </c>
      <c r="P30" s="2"/>
      <c r="Q30" s="2"/>
      <c r="R30" s="2"/>
    </row>
    <row r="31" spans="1:18" x14ac:dyDescent="0.25">
      <c r="A31" s="31">
        <v>45515</v>
      </c>
      <c r="B31" s="2" t="s">
        <v>65</v>
      </c>
      <c r="C31" s="2">
        <v>365</v>
      </c>
      <c r="D31" s="19">
        <v>0</v>
      </c>
      <c r="E31" s="11">
        <v>0</v>
      </c>
      <c r="F31" s="10">
        <f t="shared" si="13"/>
        <v>1000</v>
      </c>
      <c r="G31" s="10">
        <f t="shared" si="14"/>
        <v>0.36499999999999999</v>
      </c>
      <c r="H31" s="12">
        <f t="shared" si="15"/>
        <v>0.36499999999999999</v>
      </c>
      <c r="I31" s="12">
        <v>0.02</v>
      </c>
      <c r="J31" s="12">
        <v>7.0000000000000007E-2</v>
      </c>
      <c r="K31" s="12">
        <f t="shared" si="16"/>
        <v>0</v>
      </c>
      <c r="L31" s="12">
        <f t="shared" si="17"/>
        <v>0.45500000000000002</v>
      </c>
      <c r="M31" s="2">
        <f>L31*250</f>
        <v>113.75</v>
      </c>
      <c r="N31" s="2"/>
      <c r="O31" s="2"/>
      <c r="P31" s="2"/>
      <c r="Q31" s="2"/>
      <c r="R31" s="2"/>
    </row>
    <row r="32" spans="1:18" x14ac:dyDescent="0.25">
      <c r="A32" s="31">
        <v>45515</v>
      </c>
      <c r="B32" s="2" t="s">
        <v>77</v>
      </c>
      <c r="C32" s="2">
        <v>365</v>
      </c>
      <c r="D32" s="19">
        <v>0</v>
      </c>
      <c r="E32" s="11">
        <v>0</v>
      </c>
      <c r="F32" s="10">
        <f t="shared" si="13"/>
        <v>1000</v>
      </c>
      <c r="G32" s="10">
        <f t="shared" si="14"/>
        <v>0.36499999999999999</v>
      </c>
      <c r="H32" s="12">
        <f t="shared" si="15"/>
        <v>0.36499999999999999</v>
      </c>
      <c r="I32" s="12">
        <v>0.02</v>
      </c>
      <c r="J32" s="12">
        <v>7.0000000000000007E-2</v>
      </c>
      <c r="K32" s="12">
        <f t="shared" si="16"/>
        <v>0</v>
      </c>
      <c r="L32" s="12">
        <f t="shared" si="17"/>
        <v>0.45500000000000002</v>
      </c>
      <c r="M32" s="2">
        <f>L32*250</f>
        <v>113.75</v>
      </c>
      <c r="N32" s="2"/>
      <c r="O32" s="2"/>
      <c r="P32" s="2"/>
      <c r="Q32" s="2"/>
      <c r="R32" s="2"/>
    </row>
    <row r="33" spans="1:21" x14ac:dyDescent="0.25">
      <c r="A33" s="31">
        <v>45515</v>
      </c>
      <c r="B33" s="2" t="s">
        <v>79</v>
      </c>
      <c r="C33" s="2">
        <v>365</v>
      </c>
      <c r="D33" s="19">
        <v>0</v>
      </c>
      <c r="E33" s="11">
        <v>0</v>
      </c>
      <c r="F33" s="10">
        <f t="shared" si="13"/>
        <v>1000</v>
      </c>
      <c r="G33" s="10">
        <f t="shared" si="14"/>
        <v>0.36499999999999999</v>
      </c>
      <c r="H33" s="12">
        <f t="shared" si="15"/>
        <v>0.36499999999999999</v>
      </c>
      <c r="I33" s="12">
        <v>0.02</v>
      </c>
      <c r="J33" s="12">
        <v>7.0000000000000007E-2</v>
      </c>
      <c r="K33" s="12">
        <f t="shared" si="16"/>
        <v>0</v>
      </c>
      <c r="L33" s="12">
        <f t="shared" si="17"/>
        <v>0.45500000000000002</v>
      </c>
      <c r="M33" s="2"/>
      <c r="N33" s="2"/>
      <c r="O33" s="2">
        <f>L33*500</f>
        <v>227.5</v>
      </c>
      <c r="P33" s="2"/>
      <c r="Q33" s="2"/>
      <c r="R33" s="2"/>
    </row>
    <row r="34" spans="1:21" x14ac:dyDescent="0.25">
      <c r="A34" s="31">
        <v>45515</v>
      </c>
      <c r="B34" s="2" t="s">
        <v>82</v>
      </c>
      <c r="C34" s="2">
        <v>365</v>
      </c>
      <c r="D34" s="19">
        <v>0</v>
      </c>
      <c r="E34" s="11">
        <v>0</v>
      </c>
      <c r="F34" s="10">
        <f t="shared" si="13"/>
        <v>1000</v>
      </c>
      <c r="G34" s="10">
        <f t="shared" si="14"/>
        <v>0.36499999999999999</v>
      </c>
      <c r="H34" s="12">
        <f t="shared" si="15"/>
        <v>0.36499999999999999</v>
      </c>
      <c r="I34" s="12">
        <v>0.02</v>
      </c>
      <c r="J34" s="12">
        <v>7.0000000000000007E-2</v>
      </c>
      <c r="K34" s="12">
        <f t="shared" si="16"/>
        <v>0</v>
      </c>
      <c r="L34" s="12">
        <f t="shared" si="17"/>
        <v>0.45500000000000002</v>
      </c>
      <c r="M34" s="2"/>
      <c r="N34" s="2">
        <f>L34*300</f>
        <v>136.5</v>
      </c>
      <c r="O34" s="2"/>
      <c r="P34" s="2"/>
      <c r="Q34" s="2"/>
      <c r="R34" s="2"/>
    </row>
    <row r="35" spans="1:21" x14ac:dyDescent="0.25">
      <c r="A35" s="31">
        <v>45515</v>
      </c>
      <c r="B35" s="2" t="s">
        <v>83</v>
      </c>
      <c r="C35" s="2">
        <v>365</v>
      </c>
      <c r="D35" s="19">
        <v>0</v>
      </c>
      <c r="E35" s="11">
        <v>0</v>
      </c>
      <c r="F35" s="10">
        <f t="shared" si="13"/>
        <v>1000</v>
      </c>
      <c r="G35" s="10">
        <f t="shared" si="14"/>
        <v>0.36499999999999999</v>
      </c>
      <c r="H35" s="12">
        <f t="shared" si="15"/>
        <v>0.36499999999999999</v>
      </c>
      <c r="I35" s="12">
        <v>0.02</v>
      </c>
      <c r="J35" s="12">
        <v>7.0000000000000007E-2</v>
      </c>
      <c r="K35" s="12">
        <f t="shared" si="16"/>
        <v>0</v>
      </c>
      <c r="L35" s="12">
        <f t="shared" si="17"/>
        <v>0.45500000000000002</v>
      </c>
      <c r="M35" s="2"/>
      <c r="N35" s="2">
        <f>L35*300</f>
        <v>136.5</v>
      </c>
      <c r="O35" s="2"/>
      <c r="P35" s="2"/>
      <c r="Q35" s="2"/>
      <c r="R35" s="2"/>
    </row>
    <row r="36" spans="1:21" x14ac:dyDescent="0.25">
      <c r="A36" s="31">
        <v>45515</v>
      </c>
      <c r="B36" s="2" t="s">
        <v>80</v>
      </c>
      <c r="C36" s="2">
        <v>435</v>
      </c>
      <c r="D36" s="19">
        <v>0</v>
      </c>
      <c r="E36" s="11">
        <v>0</v>
      </c>
      <c r="F36" s="2">
        <f t="shared" si="13"/>
        <v>1000</v>
      </c>
      <c r="G36" s="2">
        <f t="shared" si="14"/>
        <v>0.435</v>
      </c>
      <c r="H36" s="2">
        <f t="shared" si="15"/>
        <v>0.435</v>
      </c>
      <c r="I36" s="12">
        <v>0.02</v>
      </c>
      <c r="J36" s="12">
        <v>7.0000000000000007E-2</v>
      </c>
      <c r="K36" s="12">
        <f t="shared" si="16"/>
        <v>0</v>
      </c>
      <c r="L36" s="12">
        <f t="shared" si="17"/>
        <v>0.52500000000000002</v>
      </c>
      <c r="M36" s="2">
        <f>L36*250</f>
        <v>131.25</v>
      </c>
      <c r="N36" s="2"/>
      <c r="O36" s="2"/>
      <c r="P36" s="2"/>
      <c r="Q36" s="2"/>
      <c r="R36" s="2"/>
    </row>
    <row r="37" spans="1:21" x14ac:dyDescent="0.25">
      <c r="A37" s="31">
        <v>45515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44" spans="1:21" x14ac:dyDescent="0.25">
      <c r="B44" s="2" t="s">
        <v>78</v>
      </c>
      <c r="C44" s="2">
        <v>170</v>
      </c>
      <c r="D44" s="19">
        <v>0.15</v>
      </c>
      <c r="E44" s="11">
        <v>0</v>
      </c>
      <c r="F44" s="10">
        <f t="shared" ref="F44:F52" si="18">1000-1000*D44</f>
        <v>850</v>
      </c>
      <c r="G44" s="10">
        <f t="shared" ref="G44:G52" si="19">C44/1000</f>
        <v>0.17</v>
      </c>
      <c r="H44" s="12">
        <f t="shared" ref="H44:H52" si="20">C44/F44</f>
        <v>0.2</v>
      </c>
      <c r="I44" s="12">
        <v>0</v>
      </c>
      <c r="J44" s="12">
        <v>0</v>
      </c>
      <c r="K44" s="12">
        <f t="shared" ref="K44:K52" si="21">SUM(H44:J44)*E44</f>
        <v>0</v>
      </c>
      <c r="L44" s="12">
        <f t="shared" ref="L44:L52" si="22">SUM(H44:K44)</f>
        <v>0.2</v>
      </c>
      <c r="M44" s="2"/>
      <c r="N44" s="2"/>
      <c r="O44" s="2"/>
      <c r="P44" s="2"/>
      <c r="Q44" s="2">
        <f>L44*1000</f>
        <v>200</v>
      </c>
      <c r="R44" s="2"/>
    </row>
    <row r="45" spans="1:21" x14ac:dyDescent="0.25">
      <c r="B45" s="2" t="s">
        <v>76</v>
      </c>
      <c r="C45" s="2">
        <v>223</v>
      </c>
      <c r="D45" s="19">
        <v>0</v>
      </c>
      <c r="E45" s="11">
        <v>0.12</v>
      </c>
      <c r="F45" s="10">
        <f t="shared" si="18"/>
        <v>1000</v>
      </c>
      <c r="G45" s="10">
        <f t="shared" si="19"/>
        <v>0.223</v>
      </c>
      <c r="H45" s="12">
        <f t="shared" si="20"/>
        <v>0.223</v>
      </c>
      <c r="I45" s="12">
        <v>0.02</v>
      </c>
      <c r="J45" s="12">
        <v>7.0000000000000007E-2</v>
      </c>
      <c r="K45" s="12">
        <f t="shared" si="21"/>
        <v>3.7559999999999996E-2</v>
      </c>
      <c r="L45" s="12">
        <f t="shared" si="22"/>
        <v>0.35055999999999998</v>
      </c>
      <c r="M45" s="2"/>
      <c r="N45" s="2"/>
      <c r="O45" s="2">
        <f>L45*500</f>
        <v>175.28</v>
      </c>
      <c r="P45" s="2"/>
      <c r="Q45" s="2"/>
      <c r="R45" s="2"/>
    </row>
    <row r="46" spans="1:21" x14ac:dyDescent="0.25">
      <c r="B46" s="2" t="s">
        <v>79</v>
      </c>
      <c r="C46" s="2">
        <v>223</v>
      </c>
      <c r="D46" s="19">
        <v>0</v>
      </c>
      <c r="E46" s="11">
        <v>0.56999999999999995</v>
      </c>
      <c r="F46" s="10">
        <f t="shared" si="18"/>
        <v>1000</v>
      </c>
      <c r="G46" s="10">
        <f t="shared" si="19"/>
        <v>0.223</v>
      </c>
      <c r="H46" s="12">
        <f t="shared" si="20"/>
        <v>0.223</v>
      </c>
      <c r="I46" s="12">
        <v>0.02</v>
      </c>
      <c r="J46" s="12">
        <v>7.0000000000000007E-2</v>
      </c>
      <c r="K46" s="12">
        <f t="shared" si="21"/>
        <v>0.17840999999999999</v>
      </c>
      <c r="L46" s="12">
        <f t="shared" si="22"/>
        <v>0.49141000000000001</v>
      </c>
      <c r="M46" s="2"/>
      <c r="N46" s="2"/>
      <c r="O46" s="2">
        <f>L46*500</f>
        <v>245.70500000000001</v>
      </c>
      <c r="P46" s="2"/>
      <c r="Q46" s="2"/>
      <c r="R46" s="2"/>
    </row>
    <row r="47" spans="1:21" x14ac:dyDescent="0.25">
      <c r="B47" s="2" t="s">
        <v>65</v>
      </c>
      <c r="C47" s="2">
        <v>223</v>
      </c>
      <c r="D47" s="19">
        <v>0</v>
      </c>
      <c r="E47" s="11">
        <v>0.22</v>
      </c>
      <c r="F47" s="10">
        <f t="shared" si="18"/>
        <v>1000</v>
      </c>
      <c r="G47" s="10">
        <f t="shared" si="19"/>
        <v>0.223</v>
      </c>
      <c r="H47" s="12">
        <f t="shared" si="20"/>
        <v>0.223</v>
      </c>
      <c r="I47" s="12">
        <v>0.02</v>
      </c>
      <c r="J47" s="12">
        <v>7.0000000000000007E-2</v>
      </c>
      <c r="K47" s="12">
        <f t="shared" si="21"/>
        <v>6.8860000000000005E-2</v>
      </c>
      <c r="L47" s="12">
        <f t="shared" si="22"/>
        <v>0.38185999999999998</v>
      </c>
      <c r="M47" s="2">
        <f>L47*250</f>
        <v>95.464999999999989</v>
      </c>
      <c r="N47" s="2"/>
      <c r="O47" s="2"/>
      <c r="P47" s="2"/>
      <c r="Q47" s="2"/>
      <c r="R47" s="2"/>
      <c r="U47">
        <f>767/2680%</f>
        <v>28.619402985074625</v>
      </c>
    </row>
    <row r="48" spans="1:21" x14ac:dyDescent="0.25">
      <c r="B48" s="2" t="s">
        <v>77</v>
      </c>
      <c r="C48" s="2">
        <v>223</v>
      </c>
      <c r="D48" s="19">
        <v>0</v>
      </c>
      <c r="E48" s="11">
        <v>0.22</v>
      </c>
      <c r="F48" s="10">
        <f t="shared" si="18"/>
        <v>1000</v>
      </c>
      <c r="G48" s="10">
        <f t="shared" si="19"/>
        <v>0.223</v>
      </c>
      <c r="H48" s="12">
        <f t="shared" si="20"/>
        <v>0.223</v>
      </c>
      <c r="I48" s="12">
        <v>0.02</v>
      </c>
      <c r="J48" s="12">
        <v>7.0000000000000007E-2</v>
      </c>
      <c r="K48" s="12">
        <f t="shared" si="21"/>
        <v>6.8860000000000005E-2</v>
      </c>
      <c r="L48" s="12">
        <f t="shared" si="22"/>
        <v>0.38185999999999998</v>
      </c>
      <c r="M48" s="2">
        <f>L48*250</f>
        <v>95.464999999999989</v>
      </c>
      <c r="N48" s="2"/>
      <c r="O48" s="2"/>
      <c r="P48" s="2"/>
      <c r="Q48" s="2"/>
      <c r="R48" s="2"/>
    </row>
    <row r="49" spans="1:18" x14ac:dyDescent="0.25">
      <c r="B49" s="2" t="s">
        <v>79</v>
      </c>
      <c r="C49" s="2">
        <v>223</v>
      </c>
      <c r="D49" s="19">
        <v>0</v>
      </c>
      <c r="E49" s="11">
        <v>0</v>
      </c>
      <c r="F49" s="10">
        <f t="shared" si="18"/>
        <v>1000</v>
      </c>
      <c r="G49" s="10">
        <f t="shared" si="19"/>
        <v>0.223</v>
      </c>
      <c r="H49" s="12">
        <f t="shared" si="20"/>
        <v>0.223</v>
      </c>
      <c r="I49" s="12">
        <v>0.02</v>
      </c>
      <c r="J49" s="12">
        <v>7.0000000000000007E-2</v>
      </c>
      <c r="K49" s="12">
        <f t="shared" si="21"/>
        <v>0</v>
      </c>
      <c r="L49" s="12">
        <f t="shared" si="22"/>
        <v>0.313</v>
      </c>
      <c r="M49" s="2"/>
      <c r="N49" s="2"/>
      <c r="O49" s="2">
        <f>L49*500</f>
        <v>156.5</v>
      </c>
      <c r="P49" s="2"/>
      <c r="Q49" s="2"/>
      <c r="R49" s="2"/>
    </row>
    <row r="50" spans="1:18" x14ac:dyDescent="0.25">
      <c r="B50" s="2" t="s">
        <v>82</v>
      </c>
      <c r="C50" s="2">
        <v>223</v>
      </c>
      <c r="D50" s="19">
        <v>0</v>
      </c>
      <c r="E50" s="11">
        <v>0</v>
      </c>
      <c r="F50" s="10">
        <f t="shared" si="18"/>
        <v>1000</v>
      </c>
      <c r="G50" s="10">
        <f t="shared" si="19"/>
        <v>0.223</v>
      </c>
      <c r="H50" s="12">
        <f t="shared" si="20"/>
        <v>0.223</v>
      </c>
      <c r="I50" s="12">
        <v>0.02</v>
      </c>
      <c r="J50" s="12">
        <v>7.0000000000000007E-2</v>
      </c>
      <c r="K50" s="12">
        <f t="shared" si="21"/>
        <v>0</v>
      </c>
      <c r="L50" s="12">
        <f t="shared" si="22"/>
        <v>0.313</v>
      </c>
      <c r="M50" s="2"/>
      <c r="N50" s="2">
        <f>L50*300</f>
        <v>93.9</v>
      </c>
      <c r="O50" s="2"/>
      <c r="P50" s="2"/>
      <c r="Q50" s="2"/>
      <c r="R50" s="2"/>
    </row>
    <row r="51" spans="1:18" x14ac:dyDescent="0.25">
      <c r="B51" s="2" t="s">
        <v>83</v>
      </c>
      <c r="C51" s="2">
        <v>223</v>
      </c>
      <c r="D51" s="19">
        <v>0</v>
      </c>
      <c r="E51" s="11">
        <v>0.87</v>
      </c>
      <c r="F51" s="10">
        <f t="shared" si="18"/>
        <v>1000</v>
      </c>
      <c r="G51" s="10">
        <f t="shared" si="19"/>
        <v>0.223</v>
      </c>
      <c r="H51" s="12">
        <f t="shared" si="20"/>
        <v>0.223</v>
      </c>
      <c r="I51" s="12">
        <v>0.02</v>
      </c>
      <c r="J51" s="12">
        <v>7.0000000000000007E-2</v>
      </c>
      <c r="K51" s="12">
        <f t="shared" si="21"/>
        <v>0.27231</v>
      </c>
      <c r="L51" s="12">
        <f t="shared" si="22"/>
        <v>0.58531</v>
      </c>
      <c r="M51" s="2"/>
      <c r="N51" s="2">
        <f>L51*300</f>
        <v>175.59299999999999</v>
      </c>
      <c r="O51" s="2"/>
      <c r="P51" s="2"/>
      <c r="Q51" s="2"/>
      <c r="R51" s="2"/>
    </row>
    <row r="52" spans="1:18" x14ac:dyDescent="0.25">
      <c r="B52" s="2" t="s">
        <v>80</v>
      </c>
      <c r="C52" s="2">
        <v>223</v>
      </c>
      <c r="D52" s="19">
        <v>0</v>
      </c>
      <c r="E52" s="11">
        <v>0</v>
      </c>
      <c r="F52" s="2">
        <f t="shared" si="18"/>
        <v>1000</v>
      </c>
      <c r="G52" s="2">
        <f t="shared" si="19"/>
        <v>0.223</v>
      </c>
      <c r="H52" s="2">
        <f t="shared" si="20"/>
        <v>0.223</v>
      </c>
      <c r="I52" s="12">
        <v>0.02</v>
      </c>
      <c r="J52" s="12">
        <v>7.0000000000000007E-2</v>
      </c>
      <c r="K52" s="12">
        <f t="shared" si="21"/>
        <v>0</v>
      </c>
      <c r="L52" s="12">
        <f t="shared" si="22"/>
        <v>0.313</v>
      </c>
      <c r="M52" s="2">
        <f>L52*250</f>
        <v>78.25</v>
      </c>
      <c r="N52" s="2"/>
      <c r="O52" s="2"/>
      <c r="P52" s="2"/>
      <c r="Q52" s="2"/>
      <c r="R52" s="2"/>
    </row>
    <row r="55" spans="1:18" x14ac:dyDescent="0.25">
      <c r="B55" s="2" t="s">
        <v>79</v>
      </c>
      <c r="C55" s="2">
        <v>260</v>
      </c>
      <c r="D55" s="19">
        <v>0.16</v>
      </c>
      <c r="E55" s="11">
        <v>0.23</v>
      </c>
      <c r="F55" s="10">
        <f t="shared" ref="F55" si="23">1000-1000*D55</f>
        <v>840</v>
      </c>
      <c r="G55" s="10">
        <f t="shared" ref="G55" si="24">C55/1000</f>
        <v>0.26</v>
      </c>
      <c r="H55" s="12">
        <f t="shared" ref="H55" si="25">C55/F55</f>
        <v>0.30952380952380953</v>
      </c>
      <c r="I55" s="12">
        <v>0.02</v>
      </c>
      <c r="J55" s="12">
        <v>7.0000000000000007E-2</v>
      </c>
      <c r="K55" s="12">
        <f t="shared" ref="K55" si="26">SUM(H55:J55)*E55</f>
        <v>9.1890476190476203E-2</v>
      </c>
      <c r="L55" s="12">
        <f t="shared" ref="L55" si="27">SUM(H55:K55)</f>
        <v>0.49141428571428575</v>
      </c>
      <c r="M55" s="2"/>
      <c r="N55" s="2"/>
      <c r="O55" s="2">
        <f>L55*500</f>
        <v>245.70714285714288</v>
      </c>
      <c r="P55" s="2"/>
      <c r="Q55" s="2"/>
      <c r="R55" s="2"/>
    </row>
    <row r="58" spans="1:18" x14ac:dyDescent="0.25">
      <c r="A58" s="33">
        <v>45527</v>
      </c>
      <c r="B58" s="2" t="s">
        <v>78</v>
      </c>
      <c r="C58" s="2">
        <v>170</v>
      </c>
      <c r="D58" s="19">
        <v>0.15</v>
      </c>
      <c r="E58" s="11">
        <v>0</v>
      </c>
      <c r="F58" s="10">
        <f t="shared" ref="F58:F66" si="28">1000-1000*D58</f>
        <v>850</v>
      </c>
      <c r="G58" s="10">
        <f t="shared" ref="G58:G66" si="29">C58/1000</f>
        <v>0.17</v>
      </c>
      <c r="H58" s="12">
        <f t="shared" ref="H58:H66" si="30">C58/F58</f>
        <v>0.2</v>
      </c>
      <c r="I58" s="12">
        <v>0</v>
      </c>
      <c r="J58" s="12">
        <v>0</v>
      </c>
      <c r="K58" s="12">
        <f t="shared" ref="K58:K66" si="31">SUM(H58:J58)*E58</f>
        <v>0</v>
      </c>
      <c r="L58" s="12">
        <f t="shared" ref="L58:L66" si="32">SUM(H58:K58)</f>
        <v>0.2</v>
      </c>
      <c r="M58" s="2"/>
      <c r="N58" s="2"/>
      <c r="O58" s="2"/>
      <c r="P58" s="2"/>
      <c r="Q58" s="2">
        <f>L58*1000</f>
        <v>200</v>
      </c>
      <c r="R58" s="2"/>
    </row>
    <row r="59" spans="1:18" x14ac:dyDescent="0.25">
      <c r="B59" s="2" t="s">
        <v>76</v>
      </c>
      <c r="C59" s="2">
        <v>223</v>
      </c>
      <c r="D59" s="19">
        <v>0</v>
      </c>
      <c r="E59" s="11">
        <v>0.12</v>
      </c>
      <c r="F59" s="10">
        <f t="shared" si="28"/>
        <v>1000</v>
      </c>
      <c r="G59" s="10">
        <f t="shared" si="29"/>
        <v>0.223</v>
      </c>
      <c r="H59" s="12">
        <f t="shared" si="30"/>
        <v>0.223</v>
      </c>
      <c r="I59" s="12">
        <v>0.02</v>
      </c>
      <c r="J59" s="12">
        <v>7.0000000000000007E-2</v>
      </c>
      <c r="K59" s="12">
        <f t="shared" si="31"/>
        <v>3.7559999999999996E-2</v>
      </c>
      <c r="L59" s="12">
        <f t="shared" si="32"/>
        <v>0.35055999999999998</v>
      </c>
      <c r="M59" s="2"/>
      <c r="N59" s="2"/>
      <c r="O59" s="2">
        <f>L59*500</f>
        <v>175.28</v>
      </c>
      <c r="P59" s="2"/>
      <c r="Q59" s="2"/>
      <c r="R59" s="2"/>
    </row>
    <row r="60" spans="1:18" x14ac:dyDescent="0.25">
      <c r="B60" s="2" t="s">
        <v>79</v>
      </c>
      <c r="C60" s="2">
        <v>223</v>
      </c>
      <c r="D60" s="19">
        <v>0</v>
      </c>
      <c r="E60" s="11">
        <v>0.56999999999999995</v>
      </c>
      <c r="F60" s="10">
        <f t="shared" si="28"/>
        <v>1000</v>
      </c>
      <c r="G60" s="10">
        <f t="shared" si="29"/>
        <v>0.223</v>
      </c>
      <c r="H60" s="12">
        <f t="shared" si="30"/>
        <v>0.223</v>
      </c>
      <c r="I60" s="12">
        <v>0.02</v>
      </c>
      <c r="J60" s="12">
        <v>7.0000000000000007E-2</v>
      </c>
      <c r="K60" s="12">
        <f t="shared" si="31"/>
        <v>0.17840999999999999</v>
      </c>
      <c r="L60" s="12">
        <f t="shared" si="32"/>
        <v>0.49141000000000001</v>
      </c>
      <c r="M60" s="2"/>
      <c r="N60" s="2"/>
      <c r="O60" s="2">
        <f>L60*500</f>
        <v>245.70500000000001</v>
      </c>
      <c r="P60" s="2"/>
      <c r="Q60" s="2"/>
      <c r="R60" s="2"/>
    </row>
    <row r="61" spans="1:18" x14ac:dyDescent="0.25">
      <c r="B61" s="2" t="s">
        <v>65</v>
      </c>
      <c r="C61" s="2">
        <v>223</v>
      </c>
      <c r="D61" s="19">
        <v>0</v>
      </c>
      <c r="E61" s="11">
        <v>0.22</v>
      </c>
      <c r="F61" s="10">
        <f t="shared" si="28"/>
        <v>1000</v>
      </c>
      <c r="G61" s="10">
        <f t="shared" si="29"/>
        <v>0.223</v>
      </c>
      <c r="H61" s="12">
        <f t="shared" si="30"/>
        <v>0.223</v>
      </c>
      <c r="I61" s="12">
        <v>0.02</v>
      </c>
      <c r="J61" s="12">
        <v>7.0000000000000007E-2</v>
      </c>
      <c r="K61" s="12">
        <f t="shared" si="31"/>
        <v>6.8860000000000005E-2</v>
      </c>
      <c r="L61" s="12">
        <f t="shared" si="32"/>
        <v>0.38185999999999998</v>
      </c>
      <c r="M61" s="2">
        <f>L61*250</f>
        <v>95.464999999999989</v>
      </c>
      <c r="N61" s="2"/>
      <c r="O61" s="2"/>
      <c r="P61" s="2"/>
      <c r="Q61" s="2"/>
      <c r="R61" s="2"/>
    </row>
    <row r="62" spans="1:18" x14ac:dyDescent="0.25">
      <c r="B62" s="2" t="s">
        <v>77</v>
      </c>
      <c r="C62" s="2">
        <v>223</v>
      </c>
      <c r="D62" s="19">
        <v>0</v>
      </c>
      <c r="E62" s="11">
        <v>0.22</v>
      </c>
      <c r="F62" s="10">
        <f t="shared" si="28"/>
        <v>1000</v>
      </c>
      <c r="G62" s="10">
        <f t="shared" si="29"/>
        <v>0.223</v>
      </c>
      <c r="H62" s="12">
        <f t="shared" si="30"/>
        <v>0.223</v>
      </c>
      <c r="I62" s="12">
        <v>0.02</v>
      </c>
      <c r="J62" s="12">
        <v>7.0000000000000007E-2</v>
      </c>
      <c r="K62" s="12">
        <f t="shared" si="31"/>
        <v>6.8860000000000005E-2</v>
      </c>
      <c r="L62" s="12">
        <f t="shared" si="32"/>
        <v>0.38185999999999998</v>
      </c>
      <c r="M62" s="2">
        <f>L62*250</f>
        <v>95.464999999999989</v>
      </c>
      <c r="N62" s="2"/>
      <c r="O62" s="2"/>
      <c r="P62" s="2"/>
      <c r="Q62" s="2"/>
      <c r="R62" s="2"/>
    </row>
    <row r="63" spans="1:18" x14ac:dyDescent="0.25">
      <c r="B63" s="2" t="s">
        <v>79</v>
      </c>
      <c r="C63" s="2">
        <v>223</v>
      </c>
      <c r="D63" s="19">
        <v>0</v>
      </c>
      <c r="E63" s="11">
        <v>0</v>
      </c>
      <c r="F63" s="10">
        <f t="shared" si="28"/>
        <v>1000</v>
      </c>
      <c r="G63" s="10">
        <f t="shared" si="29"/>
        <v>0.223</v>
      </c>
      <c r="H63" s="12">
        <f t="shared" si="30"/>
        <v>0.223</v>
      </c>
      <c r="I63" s="12">
        <v>0.02</v>
      </c>
      <c r="J63" s="12">
        <v>7.0000000000000007E-2</v>
      </c>
      <c r="K63" s="12">
        <f t="shared" si="31"/>
        <v>0</v>
      </c>
      <c r="L63" s="12">
        <f t="shared" si="32"/>
        <v>0.313</v>
      </c>
      <c r="M63" s="2"/>
      <c r="N63" s="2"/>
      <c r="O63" s="2">
        <f>L63*500</f>
        <v>156.5</v>
      </c>
      <c r="P63" s="2"/>
      <c r="Q63" s="2"/>
      <c r="R63" s="2"/>
    </row>
    <row r="64" spans="1:18" x14ac:dyDescent="0.25">
      <c r="B64" s="2" t="s">
        <v>82</v>
      </c>
      <c r="C64" s="2">
        <v>223</v>
      </c>
      <c r="D64" s="19">
        <v>0</v>
      </c>
      <c r="E64" s="11">
        <v>0</v>
      </c>
      <c r="F64" s="10">
        <f t="shared" si="28"/>
        <v>1000</v>
      </c>
      <c r="G64" s="10">
        <f t="shared" si="29"/>
        <v>0.223</v>
      </c>
      <c r="H64" s="12">
        <f t="shared" si="30"/>
        <v>0.223</v>
      </c>
      <c r="I64" s="12">
        <v>0.02</v>
      </c>
      <c r="J64" s="12">
        <v>7.0000000000000007E-2</v>
      </c>
      <c r="K64" s="12">
        <f t="shared" si="31"/>
        <v>0</v>
      </c>
      <c r="L64" s="12">
        <f t="shared" si="32"/>
        <v>0.313</v>
      </c>
      <c r="M64" s="2"/>
      <c r="N64" s="2">
        <f>L64*300</f>
        <v>93.9</v>
      </c>
      <c r="O64" s="2"/>
      <c r="P64" s="2"/>
      <c r="Q64" s="2"/>
      <c r="R64" s="2"/>
    </row>
    <row r="65" spans="1:18" x14ac:dyDescent="0.25">
      <c r="B65" s="2" t="s">
        <v>83</v>
      </c>
      <c r="C65" s="2">
        <v>223</v>
      </c>
      <c r="D65" s="19">
        <v>0</v>
      </c>
      <c r="E65" s="11">
        <v>0.87</v>
      </c>
      <c r="F65" s="10">
        <f t="shared" si="28"/>
        <v>1000</v>
      </c>
      <c r="G65" s="10">
        <f t="shared" si="29"/>
        <v>0.223</v>
      </c>
      <c r="H65" s="12">
        <f t="shared" si="30"/>
        <v>0.223</v>
      </c>
      <c r="I65" s="12">
        <v>0.02</v>
      </c>
      <c r="J65" s="12">
        <v>7.0000000000000007E-2</v>
      </c>
      <c r="K65" s="12">
        <f t="shared" si="31"/>
        <v>0.27231</v>
      </c>
      <c r="L65" s="12">
        <f t="shared" si="32"/>
        <v>0.58531</v>
      </c>
      <c r="M65" s="2"/>
      <c r="N65" s="2">
        <f>L65*300</f>
        <v>175.59299999999999</v>
      </c>
      <c r="O65" s="2"/>
      <c r="P65" s="2"/>
      <c r="Q65" s="2"/>
      <c r="R65" s="2"/>
    </row>
    <row r="66" spans="1:18" x14ac:dyDescent="0.25">
      <c r="B66" s="2" t="s">
        <v>80</v>
      </c>
      <c r="C66" s="2">
        <v>223</v>
      </c>
      <c r="D66" s="19">
        <v>0</v>
      </c>
      <c r="E66" s="11">
        <v>0</v>
      </c>
      <c r="F66" s="2">
        <f t="shared" si="28"/>
        <v>1000</v>
      </c>
      <c r="G66" s="2">
        <f t="shared" si="29"/>
        <v>0.223</v>
      </c>
      <c r="H66" s="2">
        <f t="shared" si="30"/>
        <v>0.223</v>
      </c>
      <c r="I66" s="12">
        <v>0.02</v>
      </c>
      <c r="J66" s="12">
        <v>7.0000000000000007E-2</v>
      </c>
      <c r="K66" s="12">
        <f t="shared" si="31"/>
        <v>0</v>
      </c>
      <c r="L66" s="12">
        <f t="shared" si="32"/>
        <v>0.313</v>
      </c>
      <c r="M66" s="2">
        <f>L66*250</f>
        <v>78.25</v>
      </c>
      <c r="N66" s="2"/>
      <c r="O66" s="2"/>
      <c r="P66" s="2"/>
      <c r="Q66" s="2"/>
      <c r="R66" s="2"/>
    </row>
    <row r="71" spans="1:18" x14ac:dyDescent="0.25">
      <c r="A71" s="33">
        <v>45531</v>
      </c>
      <c r="B71" s="2" t="s">
        <v>78</v>
      </c>
      <c r="C71" s="2">
        <v>170</v>
      </c>
      <c r="D71" s="19">
        <v>0.15</v>
      </c>
      <c r="E71" s="11">
        <v>0</v>
      </c>
      <c r="F71" s="10">
        <f t="shared" ref="F71:F79" si="33">1000-1000*D71</f>
        <v>850</v>
      </c>
      <c r="G71" s="10">
        <f t="shared" ref="G71:G79" si="34">C71/1000</f>
        <v>0.17</v>
      </c>
      <c r="H71" s="12">
        <f t="shared" ref="H71:H79" si="35">C71/F71</f>
        <v>0.2</v>
      </c>
      <c r="I71" s="12">
        <v>0</v>
      </c>
      <c r="J71" s="12">
        <v>0</v>
      </c>
      <c r="K71" s="12">
        <f t="shared" ref="K71:K79" si="36">SUM(H71:J71)*E71</f>
        <v>0</v>
      </c>
      <c r="L71" s="12">
        <f t="shared" ref="L71:L79" si="37">SUM(H71:K71)</f>
        <v>0.2</v>
      </c>
      <c r="M71" s="2"/>
      <c r="N71" s="2"/>
      <c r="O71" s="2"/>
      <c r="P71" s="2"/>
      <c r="Q71" s="2">
        <f>L71*1000</f>
        <v>200</v>
      </c>
      <c r="R71" s="2"/>
    </row>
    <row r="72" spans="1:18" x14ac:dyDescent="0.25">
      <c r="B72" s="2" t="s">
        <v>76</v>
      </c>
      <c r="C72" s="2">
        <v>223</v>
      </c>
      <c r="D72" s="19">
        <v>0</v>
      </c>
      <c r="E72" s="11">
        <v>0.12</v>
      </c>
      <c r="F72" s="10">
        <f t="shared" si="33"/>
        <v>1000</v>
      </c>
      <c r="G72" s="10">
        <f t="shared" si="34"/>
        <v>0.223</v>
      </c>
      <c r="H72" s="12">
        <f t="shared" si="35"/>
        <v>0.223</v>
      </c>
      <c r="I72" s="12">
        <v>0.02</v>
      </c>
      <c r="J72" s="12">
        <v>7.0000000000000007E-2</v>
      </c>
      <c r="K72" s="12">
        <f t="shared" si="36"/>
        <v>3.7559999999999996E-2</v>
      </c>
      <c r="L72" s="12">
        <f t="shared" si="37"/>
        <v>0.35055999999999998</v>
      </c>
      <c r="M72" s="2"/>
      <c r="N72" s="2"/>
      <c r="O72" s="2">
        <f>L72*500</f>
        <v>175.28</v>
      </c>
      <c r="P72" s="2"/>
      <c r="Q72" s="2"/>
      <c r="R72" s="2"/>
    </row>
    <row r="73" spans="1:18" x14ac:dyDescent="0.25">
      <c r="B73" s="2" t="s">
        <v>79</v>
      </c>
      <c r="C73" s="2">
        <v>223</v>
      </c>
      <c r="D73" s="19">
        <v>0</v>
      </c>
      <c r="E73" s="11">
        <v>0.56999999999999995</v>
      </c>
      <c r="F73" s="10">
        <f t="shared" si="33"/>
        <v>1000</v>
      </c>
      <c r="G73" s="10">
        <f t="shared" si="34"/>
        <v>0.223</v>
      </c>
      <c r="H73" s="12">
        <f t="shared" si="35"/>
        <v>0.223</v>
      </c>
      <c r="I73" s="12">
        <v>0.02</v>
      </c>
      <c r="J73" s="12">
        <v>7.0000000000000007E-2</v>
      </c>
      <c r="K73" s="12">
        <f t="shared" si="36"/>
        <v>0.17840999999999999</v>
      </c>
      <c r="L73" s="12">
        <f t="shared" si="37"/>
        <v>0.49141000000000001</v>
      </c>
      <c r="M73" s="2"/>
      <c r="N73" s="2"/>
      <c r="O73" s="2">
        <f>L73*500</f>
        <v>245.70500000000001</v>
      </c>
      <c r="P73" s="2"/>
      <c r="Q73" s="2"/>
      <c r="R73" s="2"/>
    </row>
    <row r="74" spans="1:18" x14ac:dyDescent="0.25">
      <c r="B74" s="2" t="s">
        <v>65</v>
      </c>
      <c r="C74" s="2">
        <v>223</v>
      </c>
      <c r="D74" s="19">
        <v>0</v>
      </c>
      <c r="E74" s="11">
        <v>0.22</v>
      </c>
      <c r="F74" s="10">
        <f t="shared" si="33"/>
        <v>1000</v>
      </c>
      <c r="G74" s="10">
        <f t="shared" si="34"/>
        <v>0.223</v>
      </c>
      <c r="H74" s="12">
        <f t="shared" si="35"/>
        <v>0.223</v>
      </c>
      <c r="I74" s="12">
        <v>0.02</v>
      </c>
      <c r="J74" s="12">
        <v>7.0000000000000007E-2</v>
      </c>
      <c r="K74" s="12">
        <f t="shared" si="36"/>
        <v>6.8860000000000005E-2</v>
      </c>
      <c r="L74" s="12">
        <f t="shared" si="37"/>
        <v>0.38185999999999998</v>
      </c>
      <c r="M74" s="2">
        <f>L74*250</f>
        <v>95.464999999999989</v>
      </c>
      <c r="N74" s="2"/>
      <c r="O74" s="2"/>
      <c r="P74" s="2"/>
      <c r="Q74" s="2"/>
      <c r="R74" s="2"/>
    </row>
    <row r="75" spans="1:18" x14ac:dyDescent="0.25">
      <c r="B75" s="2" t="s">
        <v>77</v>
      </c>
      <c r="C75" s="2">
        <v>223</v>
      </c>
      <c r="D75" s="19">
        <v>0</v>
      </c>
      <c r="E75" s="11">
        <v>0.22</v>
      </c>
      <c r="F75" s="10">
        <f t="shared" si="33"/>
        <v>1000</v>
      </c>
      <c r="G75" s="10">
        <f t="shared" si="34"/>
        <v>0.223</v>
      </c>
      <c r="H75" s="12">
        <f t="shared" si="35"/>
        <v>0.223</v>
      </c>
      <c r="I75" s="12">
        <v>0.02</v>
      </c>
      <c r="J75" s="12">
        <v>7.0000000000000007E-2</v>
      </c>
      <c r="K75" s="12">
        <f t="shared" si="36"/>
        <v>6.8860000000000005E-2</v>
      </c>
      <c r="L75" s="12">
        <f t="shared" si="37"/>
        <v>0.38185999999999998</v>
      </c>
      <c r="M75" s="2">
        <f>L75*250</f>
        <v>95.464999999999989</v>
      </c>
      <c r="N75" s="2"/>
      <c r="O75" s="2"/>
      <c r="P75" s="2"/>
      <c r="Q75" s="2"/>
      <c r="R75" s="2"/>
    </row>
    <row r="76" spans="1:18" x14ac:dyDescent="0.25">
      <c r="B76" s="2" t="s">
        <v>79</v>
      </c>
      <c r="C76" s="2">
        <v>223</v>
      </c>
      <c r="D76" s="19">
        <v>0</v>
      </c>
      <c r="E76" s="11">
        <v>0</v>
      </c>
      <c r="F76" s="10">
        <f t="shared" si="33"/>
        <v>1000</v>
      </c>
      <c r="G76" s="10">
        <f t="shared" si="34"/>
        <v>0.223</v>
      </c>
      <c r="H76" s="12">
        <f t="shared" si="35"/>
        <v>0.223</v>
      </c>
      <c r="I76" s="12">
        <v>0.02</v>
      </c>
      <c r="J76" s="12">
        <v>7.0000000000000007E-2</v>
      </c>
      <c r="K76" s="12">
        <f t="shared" si="36"/>
        <v>0</v>
      </c>
      <c r="L76" s="12">
        <f t="shared" si="37"/>
        <v>0.313</v>
      </c>
      <c r="M76" s="2"/>
      <c r="N76" s="2"/>
      <c r="O76" s="2">
        <f>L76*500</f>
        <v>156.5</v>
      </c>
      <c r="P76" s="2"/>
      <c r="Q76" s="2"/>
      <c r="R76" s="2"/>
    </row>
    <row r="77" spans="1:18" x14ac:dyDescent="0.25">
      <c r="B77" s="2" t="s">
        <v>82</v>
      </c>
      <c r="C77" s="2">
        <v>223</v>
      </c>
      <c r="D77" s="19">
        <v>0</v>
      </c>
      <c r="E77" s="11">
        <v>0</v>
      </c>
      <c r="F77" s="10">
        <f t="shared" si="33"/>
        <v>1000</v>
      </c>
      <c r="G77" s="10">
        <f t="shared" si="34"/>
        <v>0.223</v>
      </c>
      <c r="H77" s="12">
        <f t="shared" si="35"/>
        <v>0.223</v>
      </c>
      <c r="I77" s="12">
        <v>0.02</v>
      </c>
      <c r="J77" s="12">
        <v>7.0000000000000007E-2</v>
      </c>
      <c r="K77" s="12">
        <f t="shared" si="36"/>
        <v>0</v>
      </c>
      <c r="L77" s="12">
        <f t="shared" si="37"/>
        <v>0.313</v>
      </c>
      <c r="M77" s="2"/>
      <c r="N77" s="2">
        <f>L77*300</f>
        <v>93.9</v>
      </c>
      <c r="O77" s="2"/>
      <c r="P77" s="2"/>
      <c r="Q77" s="2"/>
      <c r="R77" s="2"/>
    </row>
    <row r="78" spans="1:18" x14ac:dyDescent="0.25">
      <c r="B78" s="2" t="s">
        <v>83</v>
      </c>
      <c r="C78" s="2">
        <v>223</v>
      </c>
      <c r="D78" s="19">
        <v>0</v>
      </c>
      <c r="E78" s="11">
        <v>0.87</v>
      </c>
      <c r="F78" s="10">
        <f t="shared" si="33"/>
        <v>1000</v>
      </c>
      <c r="G78" s="10">
        <f t="shared" si="34"/>
        <v>0.223</v>
      </c>
      <c r="H78" s="12">
        <f t="shared" si="35"/>
        <v>0.223</v>
      </c>
      <c r="I78" s="12">
        <v>0.02</v>
      </c>
      <c r="J78" s="12">
        <v>7.0000000000000007E-2</v>
      </c>
      <c r="K78" s="12">
        <f t="shared" si="36"/>
        <v>0.27231</v>
      </c>
      <c r="L78" s="12">
        <f t="shared" si="37"/>
        <v>0.58531</v>
      </c>
      <c r="M78" s="2"/>
      <c r="N78" s="2">
        <f>L78*300</f>
        <v>175.59299999999999</v>
      </c>
      <c r="O78" s="2"/>
      <c r="P78" s="2"/>
      <c r="Q78" s="2"/>
      <c r="R78" s="2"/>
    </row>
    <row r="79" spans="1:18" x14ac:dyDescent="0.25">
      <c r="B79" s="2" t="s">
        <v>80</v>
      </c>
      <c r="C79" s="2">
        <v>223</v>
      </c>
      <c r="D79" s="19">
        <v>0</v>
      </c>
      <c r="E79" s="11">
        <v>0</v>
      </c>
      <c r="F79" s="2">
        <f t="shared" si="33"/>
        <v>1000</v>
      </c>
      <c r="G79" s="2">
        <f t="shared" si="34"/>
        <v>0.223</v>
      </c>
      <c r="H79" s="2">
        <f t="shared" si="35"/>
        <v>0.223</v>
      </c>
      <c r="I79" s="12">
        <v>0.02</v>
      </c>
      <c r="J79" s="12">
        <v>7.0000000000000007E-2</v>
      </c>
      <c r="K79" s="12">
        <f t="shared" si="36"/>
        <v>0</v>
      </c>
      <c r="L79" s="12">
        <f t="shared" si="37"/>
        <v>0.313</v>
      </c>
      <c r="M79" s="2">
        <f>L79*250</f>
        <v>78.25</v>
      </c>
      <c r="N79" s="2"/>
      <c r="O79" s="2"/>
      <c r="P79" s="2"/>
      <c r="Q79" s="2"/>
      <c r="R79" s="2"/>
    </row>
    <row r="83" spans="1:18" x14ac:dyDescent="0.25">
      <c r="A83" s="33">
        <v>45534</v>
      </c>
      <c r="B83" s="2" t="s">
        <v>78</v>
      </c>
      <c r="C83" s="2">
        <v>180</v>
      </c>
      <c r="D83" s="19">
        <v>0.21</v>
      </c>
      <c r="E83" s="11">
        <v>0</v>
      </c>
      <c r="F83" s="10">
        <f t="shared" ref="F83:F90" si="38">1000-1000*D83</f>
        <v>790</v>
      </c>
      <c r="G83" s="10">
        <f t="shared" ref="G83:G90" si="39">C83/1000</f>
        <v>0.18</v>
      </c>
      <c r="H83" s="12">
        <f t="shared" ref="H83:H90" si="40">C83/F83</f>
        <v>0.22784810126582278</v>
      </c>
      <c r="I83" s="12">
        <v>0</v>
      </c>
      <c r="J83" s="12">
        <v>0</v>
      </c>
      <c r="K83" s="12">
        <f t="shared" ref="K83:K90" si="41">SUM(H83:J83)*E83</f>
        <v>0</v>
      </c>
      <c r="L83" s="12">
        <f t="shared" ref="L83:L90" si="42">SUM(H83:K83)</f>
        <v>0.22784810126582278</v>
      </c>
      <c r="M83" s="2"/>
      <c r="N83" s="2"/>
      <c r="O83" s="2"/>
      <c r="P83" s="2"/>
      <c r="Q83" s="2">
        <f>L83*1000</f>
        <v>227.84810126582278</v>
      </c>
      <c r="R83" s="2"/>
    </row>
    <row r="84" spans="1:18" x14ac:dyDescent="0.25">
      <c r="B84" s="2" t="s">
        <v>76</v>
      </c>
      <c r="C84" s="2">
        <v>227</v>
      </c>
      <c r="D84" s="19">
        <v>0</v>
      </c>
      <c r="E84" s="11">
        <v>0.11</v>
      </c>
      <c r="F84" s="10">
        <f t="shared" si="38"/>
        <v>1000</v>
      </c>
      <c r="G84" s="10">
        <f t="shared" si="39"/>
        <v>0.22700000000000001</v>
      </c>
      <c r="H84" s="12">
        <f t="shared" si="40"/>
        <v>0.22700000000000001</v>
      </c>
      <c r="I84" s="12">
        <v>0.02</v>
      </c>
      <c r="J84" s="12">
        <v>7.0000000000000007E-2</v>
      </c>
      <c r="K84" s="12">
        <f t="shared" si="41"/>
        <v>3.4869999999999998E-2</v>
      </c>
      <c r="L84" s="12">
        <f t="shared" si="42"/>
        <v>0.35187000000000002</v>
      </c>
      <c r="M84" s="2"/>
      <c r="N84" s="2"/>
      <c r="O84" s="2">
        <f>L84*500</f>
        <v>175.935</v>
      </c>
      <c r="P84" s="2"/>
      <c r="Q84" s="2"/>
      <c r="R84" s="2"/>
    </row>
    <row r="85" spans="1:18" x14ac:dyDescent="0.25">
      <c r="B85" s="2" t="s">
        <v>79</v>
      </c>
      <c r="C85" s="2">
        <v>227</v>
      </c>
      <c r="D85" s="19">
        <v>0</v>
      </c>
      <c r="E85" s="11">
        <v>0.42</v>
      </c>
      <c r="F85" s="10">
        <f t="shared" si="38"/>
        <v>1000</v>
      </c>
      <c r="G85" s="10">
        <f t="shared" si="39"/>
        <v>0.22700000000000001</v>
      </c>
      <c r="H85" s="12">
        <f t="shared" si="40"/>
        <v>0.22700000000000001</v>
      </c>
      <c r="I85" s="12">
        <v>0.02</v>
      </c>
      <c r="J85" s="12">
        <v>7.0000000000000007E-2</v>
      </c>
      <c r="K85" s="12">
        <f t="shared" si="41"/>
        <v>0.13314000000000001</v>
      </c>
      <c r="L85" s="12">
        <f t="shared" si="42"/>
        <v>0.45013999999999998</v>
      </c>
      <c r="M85" s="2"/>
      <c r="N85" s="2"/>
      <c r="O85" s="2">
        <f>L85*500</f>
        <v>225.07</v>
      </c>
      <c r="P85" s="2"/>
      <c r="Q85" s="2"/>
      <c r="R85" s="2"/>
    </row>
    <row r="86" spans="1:18" x14ac:dyDescent="0.25">
      <c r="B86" s="2" t="s">
        <v>65</v>
      </c>
      <c r="C86" s="2">
        <v>227</v>
      </c>
      <c r="D86" s="19">
        <v>0</v>
      </c>
      <c r="E86" s="11">
        <v>0.21</v>
      </c>
      <c r="F86" s="10">
        <f t="shared" si="38"/>
        <v>1000</v>
      </c>
      <c r="G86" s="10">
        <f t="shared" si="39"/>
        <v>0.22700000000000001</v>
      </c>
      <c r="H86" s="12">
        <f t="shared" si="40"/>
        <v>0.22700000000000001</v>
      </c>
      <c r="I86" s="12">
        <v>0.02</v>
      </c>
      <c r="J86" s="12">
        <v>7.0000000000000007E-2</v>
      </c>
      <c r="K86" s="12">
        <f t="shared" si="41"/>
        <v>6.6570000000000004E-2</v>
      </c>
      <c r="L86" s="12">
        <f t="shared" si="42"/>
        <v>0.38357000000000002</v>
      </c>
      <c r="M86" s="2">
        <f>L86*250</f>
        <v>95.892500000000013</v>
      </c>
      <c r="N86" s="2"/>
      <c r="O86" s="2"/>
      <c r="P86" s="2"/>
      <c r="Q86" s="2"/>
      <c r="R86" s="2"/>
    </row>
    <row r="87" spans="1:18" x14ac:dyDescent="0.25">
      <c r="B87" s="2" t="s">
        <v>77</v>
      </c>
      <c r="C87" s="2">
        <v>227</v>
      </c>
      <c r="D87" s="19">
        <v>0</v>
      </c>
      <c r="E87" s="11">
        <v>0.21</v>
      </c>
      <c r="F87" s="10">
        <f t="shared" si="38"/>
        <v>1000</v>
      </c>
      <c r="G87" s="10">
        <f t="shared" si="39"/>
        <v>0.22700000000000001</v>
      </c>
      <c r="H87" s="12">
        <f t="shared" si="40"/>
        <v>0.22700000000000001</v>
      </c>
      <c r="I87" s="12">
        <v>0.02</v>
      </c>
      <c r="J87" s="12">
        <v>7.0000000000000007E-2</v>
      </c>
      <c r="K87" s="12">
        <f t="shared" si="41"/>
        <v>6.6570000000000004E-2</v>
      </c>
      <c r="L87" s="12">
        <f t="shared" si="42"/>
        <v>0.38357000000000002</v>
      </c>
      <c r="M87" s="2">
        <f>L87*250</f>
        <v>95.892500000000013</v>
      </c>
      <c r="N87" s="2"/>
      <c r="O87" s="2"/>
      <c r="P87" s="2"/>
      <c r="Q87" s="2"/>
      <c r="R87" s="2"/>
    </row>
    <row r="88" spans="1:18" x14ac:dyDescent="0.25">
      <c r="B88" s="2" t="s">
        <v>82</v>
      </c>
      <c r="C88" s="2">
        <v>227</v>
      </c>
      <c r="D88" s="19">
        <v>0</v>
      </c>
      <c r="E88" s="11">
        <v>0.53</v>
      </c>
      <c r="F88" s="10">
        <f t="shared" si="38"/>
        <v>1000</v>
      </c>
      <c r="G88" s="10">
        <f t="shared" si="39"/>
        <v>0.22700000000000001</v>
      </c>
      <c r="H88" s="12">
        <f t="shared" si="40"/>
        <v>0.22700000000000001</v>
      </c>
      <c r="I88" s="12">
        <v>0.02</v>
      </c>
      <c r="J88" s="12">
        <v>7.0000000000000007E-2</v>
      </c>
      <c r="K88" s="12">
        <f t="shared" si="41"/>
        <v>0.16801000000000002</v>
      </c>
      <c r="L88" s="12">
        <f t="shared" si="42"/>
        <v>0.48501000000000005</v>
      </c>
      <c r="M88" s="2"/>
      <c r="N88" s="2">
        <f>L88*300</f>
        <v>145.50300000000001</v>
      </c>
      <c r="O88" s="2"/>
      <c r="P88" s="2"/>
      <c r="Q88" s="2"/>
      <c r="R88" s="2"/>
    </row>
    <row r="89" spans="1:18" x14ac:dyDescent="0.25">
      <c r="B89" s="2" t="s">
        <v>83</v>
      </c>
      <c r="C89" s="2">
        <v>227</v>
      </c>
      <c r="D89" s="19">
        <v>0</v>
      </c>
      <c r="E89" s="11">
        <v>0.85</v>
      </c>
      <c r="F89" s="10">
        <f t="shared" si="38"/>
        <v>1000</v>
      </c>
      <c r="G89" s="10">
        <f t="shared" si="39"/>
        <v>0.22700000000000001</v>
      </c>
      <c r="H89" s="12">
        <f t="shared" si="40"/>
        <v>0.22700000000000001</v>
      </c>
      <c r="I89" s="12">
        <v>0.02</v>
      </c>
      <c r="J89" s="12">
        <v>7.0000000000000007E-2</v>
      </c>
      <c r="K89" s="12">
        <f t="shared" si="41"/>
        <v>0.26945000000000002</v>
      </c>
      <c r="L89" s="12">
        <f t="shared" si="42"/>
        <v>0.58645000000000003</v>
      </c>
      <c r="M89" s="2"/>
      <c r="N89" s="2">
        <f>L89*300</f>
        <v>175.935</v>
      </c>
      <c r="O89" s="2"/>
      <c r="P89" s="2"/>
      <c r="Q89" s="2"/>
      <c r="R89" s="2"/>
    </row>
    <row r="90" spans="1:18" x14ac:dyDescent="0.25">
      <c r="B90" s="2" t="s">
        <v>80</v>
      </c>
      <c r="C90" s="2">
        <v>227</v>
      </c>
      <c r="D90" s="19">
        <v>0</v>
      </c>
      <c r="E90" s="11">
        <v>0.9</v>
      </c>
      <c r="F90" s="2">
        <f t="shared" si="38"/>
        <v>1000</v>
      </c>
      <c r="G90" s="2">
        <f t="shared" si="39"/>
        <v>0.22700000000000001</v>
      </c>
      <c r="H90" s="2">
        <f t="shared" si="40"/>
        <v>0.22700000000000001</v>
      </c>
      <c r="I90" s="12">
        <v>0.02</v>
      </c>
      <c r="J90" s="12">
        <v>7.0000000000000007E-2</v>
      </c>
      <c r="K90" s="12">
        <f t="shared" si="41"/>
        <v>0.2853</v>
      </c>
      <c r="L90" s="12">
        <f t="shared" si="42"/>
        <v>0.60230000000000006</v>
      </c>
      <c r="M90" s="2">
        <f>L90*250</f>
        <v>150.57500000000002</v>
      </c>
      <c r="N90" s="2"/>
      <c r="O90" s="2"/>
      <c r="P90" s="2"/>
      <c r="Q90" s="2"/>
      <c r="R90" s="2"/>
    </row>
    <row r="92" spans="1:18" x14ac:dyDescent="0.25">
      <c r="A92" s="33">
        <v>45666</v>
      </c>
      <c r="B92" s="2" t="s">
        <v>78</v>
      </c>
      <c r="C92" s="2">
        <v>203</v>
      </c>
      <c r="D92" s="19">
        <v>0.22</v>
      </c>
      <c r="E92" s="11">
        <v>0</v>
      </c>
      <c r="F92" s="10">
        <f t="shared" ref="F92:F99" si="43">1000-1000*D92</f>
        <v>780</v>
      </c>
      <c r="G92" s="10">
        <f t="shared" ref="G92:G99" si="44">C92/1000</f>
        <v>0.20300000000000001</v>
      </c>
      <c r="H92" s="12">
        <f t="shared" ref="H92:H99" si="45">C92/F92</f>
        <v>0.26025641025641028</v>
      </c>
      <c r="I92" s="12">
        <v>0</v>
      </c>
      <c r="J92" s="12">
        <v>0</v>
      </c>
      <c r="K92" s="12">
        <f t="shared" ref="K92:K99" si="46">SUM(H92:J92)*E92</f>
        <v>0</v>
      </c>
      <c r="L92" s="12">
        <f t="shared" ref="L92:L99" si="47">SUM(H92:K92)</f>
        <v>0.26025641025641028</v>
      </c>
      <c r="M92" s="2"/>
      <c r="N92" s="2"/>
      <c r="O92" s="2"/>
      <c r="P92" s="2"/>
      <c r="Q92" s="2">
        <f>L92*1000</f>
        <v>260.25641025641028</v>
      </c>
      <c r="R92" s="2"/>
    </row>
    <row r="93" spans="1:18" x14ac:dyDescent="0.25">
      <c r="B93" s="2" t="s">
        <v>76</v>
      </c>
      <c r="C93" s="2">
        <v>261</v>
      </c>
      <c r="D93" s="19">
        <v>0</v>
      </c>
      <c r="E93" s="11">
        <v>0</v>
      </c>
      <c r="F93" s="10">
        <f t="shared" si="43"/>
        <v>1000</v>
      </c>
      <c r="G93" s="10">
        <f t="shared" si="44"/>
        <v>0.26100000000000001</v>
      </c>
      <c r="H93" s="12">
        <f t="shared" si="45"/>
        <v>0.26100000000000001</v>
      </c>
      <c r="I93" s="12">
        <v>0.02</v>
      </c>
      <c r="J93" s="12">
        <v>7.0000000000000007E-2</v>
      </c>
      <c r="K93" s="12">
        <f t="shared" si="46"/>
        <v>0</v>
      </c>
      <c r="L93" s="12">
        <f t="shared" si="47"/>
        <v>0.35100000000000003</v>
      </c>
      <c r="M93" s="2"/>
      <c r="N93" s="2"/>
      <c r="O93" s="2">
        <f>L93*500</f>
        <v>175.50000000000003</v>
      </c>
      <c r="P93" s="2"/>
      <c r="Q93" s="2"/>
      <c r="R93" s="2"/>
    </row>
    <row r="94" spans="1:18" x14ac:dyDescent="0.25">
      <c r="B94" s="2" t="s">
        <v>79</v>
      </c>
      <c r="C94" s="2">
        <v>261</v>
      </c>
      <c r="D94" s="19">
        <v>0</v>
      </c>
      <c r="E94" s="11">
        <v>0.4</v>
      </c>
      <c r="F94" s="10">
        <f t="shared" si="43"/>
        <v>1000</v>
      </c>
      <c r="G94" s="10">
        <f t="shared" si="44"/>
        <v>0.26100000000000001</v>
      </c>
      <c r="H94" s="12">
        <f t="shared" si="45"/>
        <v>0.26100000000000001</v>
      </c>
      <c r="I94" s="12">
        <v>0.02</v>
      </c>
      <c r="J94" s="12">
        <v>7.0000000000000007E-2</v>
      </c>
      <c r="K94" s="12">
        <f t="shared" si="46"/>
        <v>0.14040000000000002</v>
      </c>
      <c r="L94" s="12">
        <f t="shared" si="47"/>
        <v>0.49140000000000006</v>
      </c>
      <c r="M94" s="2"/>
      <c r="N94" s="2"/>
      <c r="O94" s="2">
        <f>L94*500</f>
        <v>245.70000000000002</v>
      </c>
      <c r="P94" s="2"/>
      <c r="Q94" s="2"/>
      <c r="R94" s="2"/>
    </row>
    <row r="95" spans="1:18" x14ac:dyDescent="0.25">
      <c r="B95" s="2" t="s">
        <v>65</v>
      </c>
      <c r="C95" s="2">
        <v>261</v>
      </c>
      <c r="D95" s="19">
        <v>0</v>
      </c>
      <c r="E95" s="11">
        <v>0.03</v>
      </c>
      <c r="F95" s="10">
        <f t="shared" si="43"/>
        <v>1000</v>
      </c>
      <c r="G95" s="10">
        <f t="shared" si="44"/>
        <v>0.26100000000000001</v>
      </c>
      <c r="H95" s="12">
        <f t="shared" si="45"/>
        <v>0.26100000000000001</v>
      </c>
      <c r="I95" s="12">
        <v>0.02</v>
      </c>
      <c r="J95" s="12">
        <v>7.0000000000000007E-2</v>
      </c>
      <c r="K95" s="12">
        <f t="shared" si="46"/>
        <v>1.0530000000000001E-2</v>
      </c>
      <c r="L95" s="12">
        <f t="shared" si="47"/>
        <v>0.36153000000000002</v>
      </c>
      <c r="M95" s="2">
        <f>L95*250</f>
        <v>90.382500000000007</v>
      </c>
      <c r="N95" s="2"/>
      <c r="O95" s="2"/>
      <c r="P95" s="2"/>
      <c r="Q95" s="2"/>
      <c r="R95" s="2"/>
    </row>
    <row r="96" spans="1:18" x14ac:dyDescent="0.25">
      <c r="B96" s="2" t="s">
        <v>77</v>
      </c>
      <c r="C96" s="2">
        <v>261</v>
      </c>
      <c r="D96" s="19">
        <v>0</v>
      </c>
      <c r="E96" s="11">
        <v>0.03</v>
      </c>
      <c r="F96" s="10">
        <f t="shared" si="43"/>
        <v>1000</v>
      </c>
      <c r="G96" s="10">
        <f t="shared" si="44"/>
        <v>0.26100000000000001</v>
      </c>
      <c r="H96" s="12">
        <f t="shared" si="45"/>
        <v>0.26100000000000001</v>
      </c>
      <c r="I96" s="12">
        <v>0.02</v>
      </c>
      <c r="J96" s="12">
        <v>7.0000000000000007E-2</v>
      </c>
      <c r="K96" s="12">
        <f t="shared" si="46"/>
        <v>1.0530000000000001E-2</v>
      </c>
      <c r="L96" s="12">
        <f t="shared" si="47"/>
        <v>0.36153000000000002</v>
      </c>
      <c r="M96" s="2">
        <f>L96*250</f>
        <v>90.382500000000007</v>
      </c>
      <c r="N96" s="2"/>
      <c r="O96" s="2"/>
      <c r="P96" s="2"/>
      <c r="Q96" s="2"/>
      <c r="R96" s="2"/>
    </row>
    <row r="97" spans="2:18" x14ac:dyDescent="0.25">
      <c r="B97" s="2" t="s">
        <v>82</v>
      </c>
      <c r="C97" s="2">
        <v>261</v>
      </c>
      <c r="D97" s="19">
        <v>0</v>
      </c>
      <c r="E97" s="11">
        <v>0.53</v>
      </c>
      <c r="F97" s="10">
        <f t="shared" si="43"/>
        <v>1000</v>
      </c>
      <c r="G97" s="10">
        <f t="shared" si="44"/>
        <v>0.26100000000000001</v>
      </c>
      <c r="H97" s="12">
        <f t="shared" si="45"/>
        <v>0.26100000000000001</v>
      </c>
      <c r="I97" s="12">
        <v>0.02</v>
      </c>
      <c r="J97" s="12">
        <v>7.0000000000000007E-2</v>
      </c>
      <c r="K97" s="12">
        <f t="shared" si="46"/>
        <v>0.18603000000000003</v>
      </c>
      <c r="L97" s="12">
        <f t="shared" si="47"/>
        <v>0.53703000000000012</v>
      </c>
      <c r="M97" s="2"/>
      <c r="N97" s="2">
        <f>L97*300</f>
        <v>161.10900000000004</v>
      </c>
      <c r="O97" s="2"/>
      <c r="P97" s="2"/>
      <c r="Q97" s="2"/>
      <c r="R97" s="2"/>
    </row>
    <row r="98" spans="2:18" x14ac:dyDescent="0.25">
      <c r="B98" s="2" t="s">
        <v>83</v>
      </c>
      <c r="C98" s="2">
        <v>261</v>
      </c>
      <c r="D98" s="19">
        <v>0</v>
      </c>
      <c r="E98" s="11">
        <v>0.85</v>
      </c>
      <c r="F98" s="10">
        <f t="shared" si="43"/>
        <v>1000</v>
      </c>
      <c r="G98" s="10">
        <f t="shared" si="44"/>
        <v>0.26100000000000001</v>
      </c>
      <c r="H98" s="12">
        <f t="shared" si="45"/>
        <v>0.26100000000000001</v>
      </c>
      <c r="I98" s="12">
        <v>0.02</v>
      </c>
      <c r="J98" s="12">
        <v>7.0000000000000007E-2</v>
      </c>
      <c r="K98" s="12">
        <f t="shared" si="46"/>
        <v>0.29835</v>
      </c>
      <c r="L98" s="12">
        <f t="shared" si="47"/>
        <v>0.64935000000000009</v>
      </c>
      <c r="M98" s="2"/>
      <c r="N98" s="2">
        <f>L98*300</f>
        <v>194.80500000000004</v>
      </c>
      <c r="O98" s="2"/>
      <c r="P98" s="2"/>
      <c r="Q98" s="2"/>
      <c r="R98" s="2"/>
    </row>
    <row r="99" spans="2:18" x14ac:dyDescent="0.25">
      <c r="B99" s="2" t="s">
        <v>80</v>
      </c>
      <c r="C99" s="2">
        <v>261</v>
      </c>
      <c r="D99" s="19">
        <v>0</v>
      </c>
      <c r="E99" s="11">
        <v>0.9</v>
      </c>
      <c r="F99" s="2">
        <f t="shared" si="43"/>
        <v>1000</v>
      </c>
      <c r="G99" s="2">
        <f t="shared" si="44"/>
        <v>0.26100000000000001</v>
      </c>
      <c r="H99" s="2">
        <f t="shared" si="45"/>
        <v>0.26100000000000001</v>
      </c>
      <c r="I99" s="12">
        <v>0.02</v>
      </c>
      <c r="J99" s="12">
        <v>7.0000000000000007E-2</v>
      </c>
      <c r="K99" s="12">
        <f t="shared" si="46"/>
        <v>0.31590000000000001</v>
      </c>
      <c r="L99" s="12">
        <f t="shared" si="47"/>
        <v>0.66690000000000005</v>
      </c>
      <c r="M99" s="2">
        <f>L99*250</f>
        <v>166.72500000000002</v>
      </c>
      <c r="N99" s="2"/>
      <c r="O99" s="2"/>
      <c r="P99" s="2"/>
      <c r="Q99" s="2"/>
      <c r="R99" s="2"/>
    </row>
    <row r="101" spans="2:18" x14ac:dyDescent="0.25">
      <c r="B101" s="2" t="s">
        <v>71</v>
      </c>
      <c r="C101" s="2">
        <v>16.5</v>
      </c>
      <c r="D101" s="2">
        <v>13</v>
      </c>
      <c r="E101" s="2">
        <f>C101-D101</f>
        <v>3.5</v>
      </c>
      <c r="F101" s="2">
        <f>E101/C101%</f>
        <v>21.212121212121211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6" sqref="F26"/>
    </sheetView>
  </sheetViews>
  <sheetFormatPr defaultRowHeight="15" x14ac:dyDescent="0.25"/>
  <cols>
    <col min="2" max="2" width="17.5703125" bestFit="1" customWidth="1"/>
    <col min="3" max="3" width="20.140625" bestFit="1" customWidth="1"/>
    <col min="4" max="4" width="20.28515625" bestFit="1" customWidth="1"/>
    <col min="5" max="5" width="19.140625" bestFit="1" customWidth="1"/>
    <col min="6" max="6" width="18.140625" bestFit="1" customWidth="1"/>
    <col min="7" max="7" width="17.28515625" bestFit="1" customWidth="1"/>
    <col min="8" max="8" width="23" bestFit="1" customWidth="1"/>
    <col min="9" max="9" width="34.28515625" bestFit="1" customWidth="1"/>
    <col min="10" max="10" width="23.5703125" bestFit="1" customWidth="1"/>
    <col min="11" max="11" width="27.28515625" bestFit="1" customWidth="1"/>
    <col min="13" max="13" width="25.140625" bestFit="1" customWidth="1"/>
    <col min="14" max="14" width="14.7109375" bestFit="1" customWidth="1"/>
  </cols>
  <sheetData>
    <row r="1" spans="1:14" s="4" customFormat="1" x14ac:dyDescent="0.25">
      <c r="A1" s="4" t="s">
        <v>27</v>
      </c>
      <c r="B1" s="4" t="s">
        <v>19</v>
      </c>
      <c r="C1" s="4" t="s">
        <v>22</v>
      </c>
      <c r="D1" s="4" t="s">
        <v>20</v>
      </c>
      <c r="E1" s="4" t="s">
        <v>23</v>
      </c>
      <c r="F1" s="4" t="s">
        <v>21</v>
      </c>
      <c r="G1" s="4" t="s">
        <v>24</v>
      </c>
      <c r="H1" s="4" t="s">
        <v>25</v>
      </c>
      <c r="I1" s="4" t="s">
        <v>26</v>
      </c>
      <c r="J1" s="4" t="s">
        <v>28</v>
      </c>
      <c r="K1" s="4" t="s">
        <v>31</v>
      </c>
      <c r="M1" s="4" t="s">
        <v>33</v>
      </c>
      <c r="N1" s="6">
        <f>((SUM(K2:K4))/3)</f>
        <v>2.4663338373586526E-2</v>
      </c>
    </row>
    <row r="2" spans="1:14" s="4" customFormat="1" x14ac:dyDescent="0.25">
      <c r="A2" s="3">
        <v>45139</v>
      </c>
      <c r="B2">
        <v>1245</v>
      </c>
      <c r="C2">
        <f t="shared" ref="C2:C13" si="0">B2*10.62</f>
        <v>13221.9</v>
      </c>
      <c r="D2">
        <v>1049</v>
      </c>
      <c r="E2">
        <f t="shared" ref="E2:E13" si="1">D2*9.44</f>
        <v>9902.56</v>
      </c>
      <c r="F2">
        <v>20</v>
      </c>
      <c r="G2">
        <f t="shared" ref="G2:G10" si="2">F2*110</f>
        <v>2200</v>
      </c>
      <c r="H2">
        <f t="shared" ref="H2:H10" si="3">SUM(G2,E2,C2)</f>
        <v>25324.46</v>
      </c>
      <c r="I2">
        <v>898.46</v>
      </c>
      <c r="J2">
        <f t="shared" ref="J2:J10" si="4">H2/I2</f>
        <v>28.18651915499855</v>
      </c>
      <c r="K2" s="4">
        <f t="shared" ref="K2:K10" si="5">J2/1000</f>
        <v>2.8186519154998549E-2</v>
      </c>
    </row>
    <row r="3" spans="1:14" s="4" customFormat="1" x14ac:dyDescent="0.25">
      <c r="A3" s="3">
        <v>45170</v>
      </c>
      <c r="B3">
        <v>1023</v>
      </c>
      <c r="C3">
        <f t="shared" si="0"/>
        <v>10864.259999999998</v>
      </c>
      <c r="D3">
        <v>1134</v>
      </c>
      <c r="E3">
        <f t="shared" si="1"/>
        <v>10704.96</v>
      </c>
      <c r="F3">
        <v>20</v>
      </c>
      <c r="G3">
        <f t="shared" si="2"/>
        <v>2200</v>
      </c>
      <c r="H3">
        <f t="shared" si="3"/>
        <v>23769.219999999998</v>
      </c>
      <c r="I3">
        <v>960.22</v>
      </c>
      <c r="J3">
        <f t="shared" si="4"/>
        <v>24.753931390722958</v>
      </c>
      <c r="K3" s="4">
        <f t="shared" si="5"/>
        <v>2.4753931390722957E-2</v>
      </c>
    </row>
    <row r="4" spans="1:14" x14ac:dyDescent="0.25">
      <c r="A4" s="3">
        <v>45200</v>
      </c>
      <c r="B4">
        <v>1000</v>
      </c>
      <c r="C4">
        <f t="shared" si="0"/>
        <v>10620</v>
      </c>
      <c r="D4">
        <v>1400</v>
      </c>
      <c r="E4">
        <f t="shared" si="1"/>
        <v>13216</v>
      </c>
      <c r="F4">
        <v>25</v>
      </c>
      <c r="G4">
        <f t="shared" si="2"/>
        <v>2750</v>
      </c>
      <c r="H4">
        <f t="shared" si="3"/>
        <v>26586</v>
      </c>
      <c r="I4">
        <v>1263.019</v>
      </c>
      <c r="J4">
        <f t="shared" si="4"/>
        <v>21.049564575038062</v>
      </c>
      <c r="K4" s="4">
        <f t="shared" si="5"/>
        <v>2.1049564575038062E-2</v>
      </c>
    </row>
    <row r="5" spans="1:14" x14ac:dyDescent="0.25">
      <c r="A5" s="3">
        <v>45231</v>
      </c>
      <c r="B5">
        <v>0</v>
      </c>
      <c r="C5">
        <f t="shared" si="0"/>
        <v>0</v>
      </c>
      <c r="E5">
        <f t="shared" si="1"/>
        <v>0</v>
      </c>
      <c r="G5">
        <f t="shared" si="2"/>
        <v>0</v>
      </c>
      <c r="H5">
        <f t="shared" si="3"/>
        <v>0</v>
      </c>
      <c r="I5">
        <v>1263.019</v>
      </c>
      <c r="J5">
        <f t="shared" si="4"/>
        <v>0</v>
      </c>
      <c r="K5" s="4">
        <f t="shared" si="5"/>
        <v>0</v>
      </c>
    </row>
    <row r="6" spans="1:14" x14ac:dyDescent="0.25">
      <c r="A6" s="3">
        <v>45261</v>
      </c>
      <c r="B6">
        <v>950</v>
      </c>
      <c r="C6">
        <f t="shared" si="0"/>
        <v>10089</v>
      </c>
      <c r="D6">
        <v>1737</v>
      </c>
      <c r="E6">
        <f t="shared" si="1"/>
        <v>16397.28</v>
      </c>
      <c r="F6">
        <v>18</v>
      </c>
      <c r="G6">
        <f t="shared" si="2"/>
        <v>1980</v>
      </c>
      <c r="H6">
        <f t="shared" si="3"/>
        <v>28466.28</v>
      </c>
      <c r="I6">
        <v>1163.402</v>
      </c>
      <c r="J6">
        <f t="shared" si="4"/>
        <v>24.468137410800392</v>
      </c>
      <c r="K6" s="4">
        <f t="shared" si="5"/>
        <v>2.4468137410800391E-2</v>
      </c>
    </row>
    <row r="7" spans="1:14" x14ac:dyDescent="0.25">
      <c r="A7" s="3">
        <v>45292</v>
      </c>
      <c r="B7">
        <v>1067</v>
      </c>
      <c r="C7">
        <f t="shared" si="0"/>
        <v>11331.539999999999</v>
      </c>
      <c r="D7">
        <v>1758</v>
      </c>
      <c r="E7">
        <f t="shared" si="1"/>
        <v>16595.52</v>
      </c>
      <c r="F7">
        <v>27</v>
      </c>
      <c r="G7">
        <f t="shared" si="2"/>
        <v>2970</v>
      </c>
      <c r="H7">
        <f t="shared" si="3"/>
        <v>30897.059999999998</v>
      </c>
      <c r="I7">
        <v>1209.04</v>
      </c>
      <c r="J7">
        <f t="shared" si="4"/>
        <v>25.555035399986764</v>
      </c>
      <c r="K7" s="4">
        <f t="shared" si="5"/>
        <v>2.5555035399986763E-2</v>
      </c>
    </row>
    <row r="8" spans="1:14" x14ac:dyDescent="0.25">
      <c r="A8" s="3">
        <v>45323</v>
      </c>
      <c r="B8">
        <v>1051</v>
      </c>
      <c r="C8">
        <f t="shared" si="0"/>
        <v>11161.619999999999</v>
      </c>
      <c r="D8">
        <v>1470</v>
      </c>
      <c r="E8">
        <f t="shared" si="1"/>
        <v>13876.8</v>
      </c>
      <c r="F8">
        <v>24</v>
      </c>
      <c r="G8">
        <f t="shared" si="2"/>
        <v>2640</v>
      </c>
      <c r="H8">
        <f t="shared" si="3"/>
        <v>27678.42</v>
      </c>
      <c r="I8">
        <v>1100.0899999999999</v>
      </c>
      <c r="J8">
        <f t="shared" si="4"/>
        <v>25.160141442972847</v>
      </c>
      <c r="K8" s="4">
        <f t="shared" si="5"/>
        <v>2.5160141442972846E-2</v>
      </c>
    </row>
    <row r="9" spans="1:14" x14ac:dyDescent="0.25">
      <c r="A9" s="3">
        <v>45352</v>
      </c>
      <c r="B9">
        <v>893</v>
      </c>
      <c r="C9">
        <f t="shared" si="0"/>
        <v>9483.66</v>
      </c>
      <c r="D9">
        <v>1289</v>
      </c>
      <c r="E9">
        <f t="shared" si="1"/>
        <v>12168.16</v>
      </c>
      <c r="F9">
        <v>21</v>
      </c>
      <c r="G9">
        <f t="shared" si="2"/>
        <v>2310</v>
      </c>
      <c r="H9">
        <f t="shared" si="3"/>
        <v>23961.82</v>
      </c>
      <c r="I9">
        <v>1113.3800000000001</v>
      </c>
      <c r="J9">
        <f t="shared" si="4"/>
        <v>21.521690707575129</v>
      </c>
      <c r="K9" s="4">
        <f t="shared" si="5"/>
        <v>2.152169070757513E-2</v>
      </c>
    </row>
    <row r="10" spans="1:14" x14ac:dyDescent="0.25">
      <c r="A10" s="3">
        <v>45383</v>
      </c>
      <c r="B10">
        <v>1116</v>
      </c>
      <c r="C10">
        <f t="shared" si="0"/>
        <v>11851.919999999998</v>
      </c>
      <c r="D10">
        <v>1256</v>
      </c>
      <c r="E10">
        <f t="shared" si="1"/>
        <v>11856.64</v>
      </c>
      <c r="F10">
        <v>23</v>
      </c>
      <c r="G10">
        <f t="shared" si="2"/>
        <v>2530</v>
      </c>
      <c r="H10">
        <f t="shared" si="3"/>
        <v>26238.559999999998</v>
      </c>
      <c r="I10">
        <v>984.56</v>
      </c>
      <c r="J10">
        <f t="shared" si="4"/>
        <v>26.650036564556757</v>
      </c>
      <c r="K10" s="4">
        <f t="shared" si="5"/>
        <v>2.6650036564556757E-2</v>
      </c>
    </row>
    <row r="11" spans="1:14" x14ac:dyDescent="0.25">
      <c r="A11" s="3">
        <v>45413</v>
      </c>
      <c r="B11">
        <v>862</v>
      </c>
      <c r="C11">
        <f t="shared" si="0"/>
        <v>9154.4399999999987</v>
      </c>
      <c r="D11">
        <v>1718</v>
      </c>
      <c r="E11">
        <f t="shared" si="1"/>
        <v>16217.919999999998</v>
      </c>
    </row>
    <row r="12" spans="1:14" x14ac:dyDescent="0.25">
      <c r="A12" s="3">
        <v>45444</v>
      </c>
      <c r="B12">
        <v>954</v>
      </c>
      <c r="C12">
        <f t="shared" si="0"/>
        <v>10131.48</v>
      </c>
      <c r="D12">
        <v>1681</v>
      </c>
      <c r="E12">
        <f t="shared" si="1"/>
        <v>15868.64</v>
      </c>
    </row>
    <row r="13" spans="1:14" x14ac:dyDescent="0.25">
      <c r="A13" s="3">
        <v>45474</v>
      </c>
      <c r="B13">
        <v>567</v>
      </c>
      <c r="C13">
        <f t="shared" si="0"/>
        <v>6021.54</v>
      </c>
      <c r="D13">
        <v>1909</v>
      </c>
      <c r="E13">
        <f t="shared" si="1"/>
        <v>18020.96</v>
      </c>
    </row>
    <row r="18" spans="2:4" x14ac:dyDescent="0.25">
      <c r="B18">
        <f>SUM(B10:B17)</f>
        <v>3499</v>
      </c>
      <c r="D18">
        <f>SUM(D10:D17)</f>
        <v>6564</v>
      </c>
    </row>
    <row r="19" spans="2:4" x14ac:dyDescent="0.25">
      <c r="B19">
        <f>5000-B18</f>
        <v>1501</v>
      </c>
      <c r="D19">
        <f>10000-D18</f>
        <v>3436</v>
      </c>
    </row>
  </sheetData>
  <pageMargins left="0.7" right="0.7" top="0.75" bottom="0.75" header="0.3" footer="0.3"/>
  <pageSetup paperSize="9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0" sqref="C10"/>
    </sheetView>
  </sheetViews>
  <sheetFormatPr defaultRowHeight="15" x14ac:dyDescent="0.25"/>
  <cols>
    <col min="2" max="2" width="20.42578125" bestFit="1" customWidth="1"/>
    <col min="3" max="3" width="34.28515625" bestFit="1" customWidth="1"/>
    <col min="4" max="4" width="21" bestFit="1" customWidth="1"/>
    <col min="5" max="5" width="24.5703125" bestFit="1" customWidth="1"/>
    <col min="6" max="6" width="25.140625" bestFit="1" customWidth="1"/>
  </cols>
  <sheetData>
    <row r="1" spans="1:6" x14ac:dyDescent="0.25">
      <c r="A1" s="4" t="s">
        <v>27</v>
      </c>
      <c r="B1" s="4" t="s">
        <v>29</v>
      </c>
      <c r="C1" s="4" t="s">
        <v>26</v>
      </c>
      <c r="D1" s="4" t="s">
        <v>30</v>
      </c>
      <c r="E1" s="4" t="s">
        <v>32</v>
      </c>
      <c r="F1" s="4" t="s">
        <v>33</v>
      </c>
    </row>
    <row r="2" spans="1:6" x14ac:dyDescent="0.25">
      <c r="A2" s="5">
        <v>45139</v>
      </c>
      <c r="B2" s="4">
        <v>64856.58</v>
      </c>
      <c r="C2">
        <v>898.46</v>
      </c>
      <c r="D2">
        <f>B2/C2</f>
        <v>72.186385593126019</v>
      </c>
      <c r="E2">
        <f>D2/1000</f>
        <v>7.2186385593126012E-2</v>
      </c>
    </row>
    <row r="3" spans="1:6" x14ac:dyDescent="0.25">
      <c r="A3" s="5">
        <v>45170</v>
      </c>
      <c r="B3" s="4">
        <v>64686.57</v>
      </c>
      <c r="C3">
        <v>960.22</v>
      </c>
      <c r="D3">
        <f>B3/C3</f>
        <v>67.366405615379804</v>
      </c>
      <c r="E3">
        <f>D3/1000</f>
        <v>6.7366405615379807E-2</v>
      </c>
    </row>
    <row r="4" spans="1:6" x14ac:dyDescent="0.25">
      <c r="A4" s="3">
        <v>45200</v>
      </c>
      <c r="B4">
        <v>92307.19</v>
      </c>
      <c r="C4">
        <v>1263.019</v>
      </c>
      <c r="D4">
        <f>B4/C4</f>
        <v>73.084561673260652</v>
      </c>
      <c r="E4">
        <f>D4/1000</f>
        <v>7.3084561673260648E-2</v>
      </c>
    </row>
    <row r="5" spans="1:6" x14ac:dyDescent="0.25">
      <c r="A5" s="3">
        <v>45231</v>
      </c>
    </row>
    <row r="6" spans="1:6" x14ac:dyDescent="0.25">
      <c r="A6" s="3">
        <v>45261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0"/>
  <sheetViews>
    <sheetView workbookViewId="0">
      <selection activeCell="N26" sqref="N26"/>
    </sheetView>
  </sheetViews>
  <sheetFormatPr defaultRowHeight="15" x14ac:dyDescent="0.25"/>
  <cols>
    <col min="2" max="2" width="28.42578125" bestFit="1" customWidth="1"/>
  </cols>
  <sheetData>
    <row r="3" spans="2:8" x14ac:dyDescent="0.25">
      <c r="C3" s="22" t="s">
        <v>56</v>
      </c>
      <c r="D3" t="s">
        <v>57</v>
      </c>
      <c r="E3" t="s">
        <v>58</v>
      </c>
      <c r="F3" t="s">
        <v>59</v>
      </c>
    </row>
    <row r="4" spans="2:8" x14ac:dyDescent="0.25">
      <c r="B4" t="s">
        <v>44</v>
      </c>
      <c r="C4">
        <v>168</v>
      </c>
      <c r="D4">
        <v>225</v>
      </c>
      <c r="E4">
        <f>+C4*D4</f>
        <v>37800</v>
      </c>
      <c r="F4">
        <v>6.6</v>
      </c>
      <c r="G4">
        <f>+E4*F4%</f>
        <v>2494.8000000000002</v>
      </c>
    </row>
    <row r="5" spans="2:8" x14ac:dyDescent="0.25">
      <c r="B5" t="s">
        <v>46</v>
      </c>
      <c r="C5">
        <v>53</v>
      </c>
      <c r="D5">
        <v>225</v>
      </c>
      <c r="E5">
        <f t="shared" ref="E5:E17" si="0">+C5*D5</f>
        <v>11925</v>
      </c>
      <c r="F5">
        <v>6.6</v>
      </c>
      <c r="G5">
        <f t="shared" ref="G5:G17" si="1">+E5*F5%</f>
        <v>787.05000000000007</v>
      </c>
    </row>
    <row r="6" spans="2:8" x14ac:dyDescent="0.25">
      <c r="B6" t="s">
        <v>45</v>
      </c>
      <c r="C6">
        <v>153</v>
      </c>
      <c r="D6">
        <v>170</v>
      </c>
      <c r="E6">
        <f t="shared" si="0"/>
        <v>26010</v>
      </c>
      <c r="F6">
        <v>30</v>
      </c>
      <c r="G6">
        <f t="shared" si="1"/>
        <v>7803</v>
      </c>
    </row>
    <row r="7" spans="2:8" x14ac:dyDescent="0.25">
      <c r="B7" t="s">
        <v>43</v>
      </c>
      <c r="C7">
        <v>125</v>
      </c>
      <c r="D7">
        <v>275</v>
      </c>
      <c r="E7">
        <f t="shared" si="0"/>
        <v>34375</v>
      </c>
      <c r="F7">
        <v>1.8</v>
      </c>
      <c r="G7">
        <f t="shared" si="1"/>
        <v>618.75000000000011</v>
      </c>
      <c r="H7">
        <f>+G7/G11</f>
        <v>0.13799063336306872</v>
      </c>
    </row>
    <row r="8" spans="2:8" x14ac:dyDescent="0.25">
      <c r="B8" t="s">
        <v>42</v>
      </c>
      <c r="C8">
        <v>115</v>
      </c>
      <c r="D8">
        <v>375</v>
      </c>
      <c r="E8">
        <f t="shared" si="0"/>
        <v>43125</v>
      </c>
      <c r="F8">
        <v>14.4</v>
      </c>
      <c r="G8">
        <f t="shared" si="1"/>
        <v>6210.0000000000009</v>
      </c>
    </row>
    <row r="9" spans="2:8" x14ac:dyDescent="0.25">
      <c r="B9" t="s">
        <v>47</v>
      </c>
      <c r="C9">
        <v>109</v>
      </c>
      <c r="D9">
        <v>300</v>
      </c>
      <c r="E9">
        <f t="shared" si="0"/>
        <v>32700</v>
      </c>
      <c r="F9">
        <v>5</v>
      </c>
      <c r="G9">
        <f t="shared" si="1"/>
        <v>1635</v>
      </c>
    </row>
    <row r="10" spans="2:8" x14ac:dyDescent="0.25">
      <c r="B10" t="s">
        <v>48</v>
      </c>
      <c r="C10">
        <v>105</v>
      </c>
      <c r="D10">
        <v>350</v>
      </c>
      <c r="E10">
        <f t="shared" si="0"/>
        <v>36750</v>
      </c>
      <c r="F10" s="25">
        <v>30.7</v>
      </c>
      <c r="G10">
        <f t="shared" si="1"/>
        <v>11282.25</v>
      </c>
    </row>
    <row r="11" spans="2:8" x14ac:dyDescent="0.25">
      <c r="B11" t="s">
        <v>49</v>
      </c>
      <c r="C11">
        <v>76</v>
      </c>
      <c r="D11">
        <v>250</v>
      </c>
      <c r="E11">
        <f>+C11*D11</f>
        <v>19000</v>
      </c>
      <c r="F11" s="25">
        <v>23.6</v>
      </c>
      <c r="G11">
        <f t="shared" si="1"/>
        <v>4484</v>
      </c>
    </row>
    <row r="12" spans="2:8" x14ac:dyDescent="0.25">
      <c r="B12" t="s">
        <v>50</v>
      </c>
      <c r="C12">
        <v>76</v>
      </c>
      <c r="D12">
        <v>275</v>
      </c>
      <c r="E12">
        <f t="shared" si="0"/>
        <v>20900</v>
      </c>
      <c r="F12">
        <v>12.7</v>
      </c>
      <c r="G12">
        <f t="shared" si="1"/>
        <v>2654.3</v>
      </c>
    </row>
    <row r="13" spans="2:8" x14ac:dyDescent="0.25">
      <c r="B13" t="s">
        <v>51</v>
      </c>
      <c r="C13">
        <v>69</v>
      </c>
      <c r="D13">
        <v>650</v>
      </c>
      <c r="E13">
        <f t="shared" si="0"/>
        <v>44850</v>
      </c>
      <c r="F13" s="25">
        <v>30.7</v>
      </c>
      <c r="G13">
        <f t="shared" si="1"/>
        <v>13768.949999999999</v>
      </c>
    </row>
    <row r="14" spans="2:8" x14ac:dyDescent="0.25">
      <c r="B14" t="s">
        <v>52</v>
      </c>
      <c r="C14">
        <v>62</v>
      </c>
      <c r="D14">
        <v>200</v>
      </c>
      <c r="E14">
        <f t="shared" si="0"/>
        <v>12400</v>
      </c>
      <c r="F14" s="25">
        <v>25</v>
      </c>
      <c r="G14">
        <f t="shared" si="1"/>
        <v>3100</v>
      </c>
    </row>
    <row r="15" spans="2:8" x14ac:dyDescent="0.25">
      <c r="B15" t="s">
        <v>53</v>
      </c>
      <c r="C15">
        <v>59</v>
      </c>
      <c r="D15">
        <v>600</v>
      </c>
      <c r="E15">
        <f t="shared" si="0"/>
        <v>35400</v>
      </c>
      <c r="F15">
        <v>15.78</v>
      </c>
      <c r="G15">
        <f t="shared" si="1"/>
        <v>5586.12</v>
      </c>
    </row>
    <row r="16" spans="2:8" x14ac:dyDescent="0.25">
      <c r="B16" t="s">
        <v>54</v>
      </c>
      <c r="C16">
        <v>40</v>
      </c>
      <c r="D16">
        <v>375</v>
      </c>
      <c r="E16">
        <f t="shared" si="0"/>
        <v>15000</v>
      </c>
      <c r="F16">
        <v>17.329999999999998</v>
      </c>
      <c r="G16">
        <f t="shared" si="1"/>
        <v>2599.4999999999995</v>
      </c>
    </row>
    <row r="17" spans="2:7" x14ac:dyDescent="0.25">
      <c r="B17" t="s">
        <v>55</v>
      </c>
      <c r="C17">
        <v>11</v>
      </c>
      <c r="D17">
        <v>375</v>
      </c>
      <c r="E17">
        <f t="shared" si="0"/>
        <v>4125</v>
      </c>
      <c r="F17">
        <v>17.329999999999998</v>
      </c>
      <c r="G17">
        <f t="shared" si="1"/>
        <v>714.86249999999995</v>
      </c>
    </row>
    <row r="19" spans="2:7" x14ac:dyDescent="0.25">
      <c r="E19">
        <f>+SUM(E4:E17)</f>
        <v>374360</v>
      </c>
      <c r="G19">
        <f>+SUM(G4:G17)</f>
        <v>63738.582500000011</v>
      </c>
    </row>
    <row r="20" spans="2:7" x14ac:dyDescent="0.25">
      <c r="G20" s="23">
        <f>+G19/E19</f>
        <v>0.17026013062292983</v>
      </c>
    </row>
    <row r="22" spans="2:7" x14ac:dyDescent="0.25">
      <c r="B22" s="24" t="s">
        <v>41</v>
      </c>
      <c r="C22">
        <v>14</v>
      </c>
      <c r="D22">
        <v>300</v>
      </c>
      <c r="E22">
        <f>+C22*D22</f>
        <v>4200</v>
      </c>
      <c r="F22">
        <v>40</v>
      </c>
      <c r="G22">
        <f>+E22*F22%</f>
        <v>1680</v>
      </c>
    </row>
    <row r="23" spans="2:7" x14ac:dyDescent="0.25">
      <c r="B23" s="24" t="s">
        <v>36</v>
      </c>
      <c r="C23">
        <v>22</v>
      </c>
      <c r="D23">
        <f>+E23/C23</f>
        <v>302.27272727272725</v>
      </c>
      <c r="E23">
        <v>6650</v>
      </c>
      <c r="F23">
        <v>38</v>
      </c>
      <c r="G23">
        <f>+E23*F23%</f>
        <v>2527</v>
      </c>
    </row>
    <row r="24" spans="2:7" x14ac:dyDescent="0.25">
      <c r="B24" s="24" t="s">
        <v>40</v>
      </c>
      <c r="C24">
        <v>52</v>
      </c>
      <c r="E24">
        <v>9040</v>
      </c>
      <c r="F24">
        <v>29</v>
      </c>
      <c r="G24">
        <f>+E24*F24%</f>
        <v>2621.6</v>
      </c>
    </row>
    <row r="25" spans="2:7" x14ac:dyDescent="0.25">
      <c r="B25" s="24" t="s">
        <v>39</v>
      </c>
      <c r="C25">
        <v>85</v>
      </c>
      <c r="E25">
        <v>21625</v>
      </c>
      <c r="F25">
        <v>23.6</v>
      </c>
      <c r="G25">
        <f>+E25*F25%</f>
        <v>5103.5</v>
      </c>
    </row>
    <row r="26" spans="2:7" x14ac:dyDescent="0.25">
      <c r="B26" s="24" t="s">
        <v>38</v>
      </c>
      <c r="C26">
        <v>18</v>
      </c>
      <c r="E26">
        <v>6400</v>
      </c>
      <c r="F26">
        <v>17.100000000000001</v>
      </c>
      <c r="G26">
        <f>+E26*F26%</f>
        <v>1094.4000000000001</v>
      </c>
    </row>
    <row r="27" spans="2:7" x14ac:dyDescent="0.25">
      <c r="E27">
        <f>SUM(E22:E26)</f>
        <v>47915</v>
      </c>
      <c r="G27">
        <f>SUM(G22:G26)</f>
        <v>13026.5</v>
      </c>
    </row>
    <row r="28" spans="2:7" x14ac:dyDescent="0.25">
      <c r="G28">
        <f>+G27/E27</f>
        <v>0.27186684754252322</v>
      </c>
    </row>
    <row r="30" spans="2:7" x14ac:dyDescent="0.25">
      <c r="E30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15" sqref="B15"/>
    </sheetView>
  </sheetViews>
  <sheetFormatPr defaultRowHeight="15" x14ac:dyDescent="0.25"/>
  <cols>
    <col min="1" max="1" width="10.42578125" bestFit="1" customWidth="1"/>
    <col min="2" max="2" width="13.140625" bestFit="1" customWidth="1"/>
  </cols>
  <sheetData>
    <row r="1" spans="1:17" ht="23.25" x14ac:dyDescent="0.35">
      <c r="D1" s="20">
        <f>AVERAGE(D4:D127)</f>
        <v>0.39046153846153853</v>
      </c>
      <c r="E1" s="18"/>
    </row>
    <row r="2" spans="1:17" ht="30" x14ac:dyDescent="0.25">
      <c r="A2" s="7"/>
      <c r="B2" s="8" t="s">
        <v>14</v>
      </c>
      <c r="C2" s="61"/>
      <c r="D2" s="61"/>
      <c r="E2" s="60" t="s">
        <v>15</v>
      </c>
      <c r="F2" s="60"/>
      <c r="G2" s="60"/>
      <c r="H2" s="60"/>
      <c r="I2" s="60"/>
      <c r="J2" s="61" t="s">
        <v>16</v>
      </c>
      <c r="K2" s="61"/>
      <c r="L2" s="61"/>
      <c r="M2" s="62"/>
      <c r="N2" s="61"/>
      <c r="O2" s="7"/>
      <c r="P2" s="7"/>
    </row>
    <row r="3" spans="1:17" ht="60" x14ac:dyDescent="0.25">
      <c r="A3" s="9" t="s">
        <v>37</v>
      </c>
      <c r="B3" s="9" t="s">
        <v>0</v>
      </c>
      <c r="C3" s="9" t="s">
        <v>2</v>
      </c>
      <c r="D3" s="9" t="s">
        <v>3</v>
      </c>
      <c r="E3" s="9" t="s">
        <v>4</v>
      </c>
      <c r="F3" s="9" t="s">
        <v>34</v>
      </c>
      <c r="G3" s="9" t="s">
        <v>35</v>
      </c>
      <c r="H3" s="9" t="s">
        <v>7</v>
      </c>
      <c r="I3" s="9" t="s">
        <v>12</v>
      </c>
      <c r="J3" s="9" t="s">
        <v>177</v>
      </c>
      <c r="K3" s="9" t="s">
        <v>62</v>
      </c>
      <c r="L3" s="9" t="s">
        <v>9</v>
      </c>
      <c r="M3" s="9" t="s">
        <v>10</v>
      </c>
      <c r="N3" s="9" t="s">
        <v>11</v>
      </c>
      <c r="O3" s="9" t="s">
        <v>18</v>
      </c>
      <c r="P3" s="9">
        <v>1500</v>
      </c>
      <c r="Q3" s="29" t="s">
        <v>59</v>
      </c>
    </row>
    <row r="4" spans="1:17" x14ac:dyDescent="0.25">
      <c r="A4" s="16">
        <v>45602</v>
      </c>
      <c r="B4" s="2" t="s">
        <v>176</v>
      </c>
      <c r="C4" s="10">
        <v>500</v>
      </c>
      <c r="D4" s="11">
        <v>0.28000000000000003</v>
      </c>
      <c r="E4" s="10">
        <f t="shared" ref="E4" si="0">C4/1000</f>
        <v>0.5</v>
      </c>
      <c r="F4" s="10">
        <v>0</v>
      </c>
      <c r="G4" s="10">
        <v>7.0000000000000007E-2</v>
      </c>
      <c r="H4" s="12">
        <f t="shared" ref="H4" si="1">SUM(E4:G4)*D4</f>
        <v>0.15960000000000002</v>
      </c>
      <c r="I4" s="12">
        <f t="shared" ref="I4" si="2">SUM(E4:H4)</f>
        <v>0.72960000000000003</v>
      </c>
      <c r="J4" s="10">
        <f t="shared" ref="J4:J9" si="3">I4*200</f>
        <v>145.92000000000002</v>
      </c>
      <c r="K4" s="10"/>
      <c r="L4" s="10">
        <f t="shared" ref="L4:L14" si="4">I4*500</f>
        <v>364.8</v>
      </c>
      <c r="M4" s="10"/>
      <c r="N4" s="10">
        <f t="shared" ref="N4:N16" si="5">I4*1000</f>
        <v>729.6</v>
      </c>
      <c r="O4" s="10"/>
      <c r="P4" s="10"/>
      <c r="Q4" s="28">
        <f t="shared" ref="Q4" si="6">H4/I4%</f>
        <v>21.875</v>
      </c>
    </row>
    <row r="5" spans="1:17" x14ac:dyDescent="0.25">
      <c r="A5" s="16">
        <v>45602</v>
      </c>
      <c r="B5" s="2" t="s">
        <v>180</v>
      </c>
      <c r="C5" s="10">
        <v>1200</v>
      </c>
      <c r="D5" s="11">
        <v>0.28000000000000003</v>
      </c>
      <c r="E5" s="10">
        <f t="shared" ref="E5:E8" si="7">C5/1000</f>
        <v>1.2</v>
      </c>
      <c r="F5" s="10">
        <v>0</v>
      </c>
      <c r="G5" s="10">
        <v>7.0000000000000007E-2</v>
      </c>
      <c r="H5" s="12">
        <f t="shared" ref="H5:H6" si="8">SUM(E5:G5)*D5</f>
        <v>0.35560000000000003</v>
      </c>
      <c r="I5" s="12">
        <f t="shared" ref="I5:I6" si="9">SUM(E5:H5)</f>
        <v>1.6255999999999999</v>
      </c>
      <c r="J5" s="10">
        <f t="shared" si="3"/>
        <v>325.12</v>
      </c>
      <c r="K5" s="10"/>
      <c r="L5" s="10">
        <f t="shared" si="4"/>
        <v>812.8</v>
      </c>
      <c r="M5" s="10"/>
      <c r="N5" s="10">
        <f t="shared" si="5"/>
        <v>1625.6</v>
      </c>
      <c r="O5" s="10"/>
      <c r="P5" s="10"/>
      <c r="Q5" s="28">
        <f t="shared" ref="Q5:Q8" si="10">H5/I5%</f>
        <v>21.875000000000004</v>
      </c>
    </row>
    <row r="6" spans="1:17" x14ac:dyDescent="0.25">
      <c r="A6" s="16">
        <v>45618</v>
      </c>
      <c r="B6" s="2" t="s">
        <v>182</v>
      </c>
      <c r="C6" s="2">
        <v>1200</v>
      </c>
      <c r="D6" s="11">
        <v>0.28000000000000003</v>
      </c>
      <c r="E6" s="10">
        <f t="shared" si="7"/>
        <v>1.2</v>
      </c>
      <c r="F6" s="10">
        <v>0</v>
      </c>
      <c r="G6" s="10">
        <v>7.0000000000000007E-2</v>
      </c>
      <c r="H6" s="12">
        <f t="shared" si="8"/>
        <v>0.35560000000000003</v>
      </c>
      <c r="I6" s="12">
        <f t="shared" si="9"/>
        <v>1.6255999999999999</v>
      </c>
      <c r="J6" s="10">
        <f t="shared" si="3"/>
        <v>325.12</v>
      </c>
      <c r="K6" s="2"/>
      <c r="L6" s="10">
        <f t="shared" si="4"/>
        <v>812.8</v>
      </c>
      <c r="M6" s="2"/>
      <c r="N6" s="10">
        <f t="shared" si="5"/>
        <v>1625.6</v>
      </c>
      <c r="O6" s="2"/>
      <c r="P6" s="2"/>
      <c r="Q6" s="28">
        <f t="shared" si="10"/>
        <v>21.875000000000004</v>
      </c>
    </row>
    <row r="7" spans="1:17" x14ac:dyDescent="0.25">
      <c r="A7" s="16">
        <v>45675</v>
      </c>
      <c r="B7" s="2" t="s">
        <v>176</v>
      </c>
      <c r="C7" s="10">
        <v>500</v>
      </c>
      <c r="D7" s="11">
        <v>0.28000000000000003</v>
      </c>
      <c r="E7" s="10">
        <f t="shared" si="7"/>
        <v>0.5</v>
      </c>
      <c r="F7" s="10">
        <v>0</v>
      </c>
      <c r="G7" s="10">
        <v>7.0000000000000007E-2</v>
      </c>
      <c r="H7" s="12">
        <f t="shared" ref="H7:H8" si="11">SUM(E7:G7)*D7</f>
        <v>0.15960000000000002</v>
      </c>
      <c r="I7" s="12">
        <f t="shared" ref="I7:I8" si="12">SUM(E7:H7)</f>
        <v>0.72960000000000003</v>
      </c>
      <c r="J7" s="10">
        <f t="shared" si="3"/>
        <v>145.92000000000002</v>
      </c>
      <c r="K7" s="10"/>
      <c r="L7" s="10">
        <f t="shared" si="4"/>
        <v>364.8</v>
      </c>
      <c r="M7" s="10"/>
      <c r="N7" s="10">
        <f t="shared" si="5"/>
        <v>729.6</v>
      </c>
      <c r="O7" s="10"/>
      <c r="P7" s="10"/>
      <c r="Q7" s="28">
        <f t="shared" si="10"/>
        <v>21.875</v>
      </c>
    </row>
    <row r="8" spans="1:17" x14ac:dyDescent="0.25">
      <c r="A8" s="16">
        <v>45706</v>
      </c>
      <c r="B8" s="2" t="s">
        <v>176</v>
      </c>
      <c r="C8" s="2">
        <v>300</v>
      </c>
      <c r="D8" s="11">
        <v>0.38</v>
      </c>
      <c r="E8" s="2">
        <f t="shared" si="7"/>
        <v>0.3</v>
      </c>
      <c r="F8" s="10">
        <v>0.02</v>
      </c>
      <c r="G8" s="10">
        <v>7.0000000000000007E-2</v>
      </c>
      <c r="H8" s="12">
        <f t="shared" si="11"/>
        <v>0.1482</v>
      </c>
      <c r="I8" s="12">
        <f t="shared" si="12"/>
        <v>0.53820000000000001</v>
      </c>
      <c r="J8" s="10">
        <f>I8*250</f>
        <v>134.55000000000001</v>
      </c>
      <c r="K8" s="2"/>
      <c r="L8" s="10">
        <f t="shared" ref="L8" si="13">I8*500</f>
        <v>269.10000000000002</v>
      </c>
      <c r="M8" s="2"/>
      <c r="N8" s="2">
        <f t="shared" ref="N8" si="14">I8*1000</f>
        <v>538.20000000000005</v>
      </c>
      <c r="O8" s="2"/>
      <c r="P8" s="2"/>
      <c r="Q8" s="28">
        <f t="shared" si="10"/>
        <v>27.536231884057969</v>
      </c>
    </row>
    <row r="9" spans="1:17" x14ac:dyDescent="0.25">
      <c r="A9" s="16">
        <v>45675</v>
      </c>
      <c r="B9" s="2" t="s">
        <v>180</v>
      </c>
      <c r="C9" s="10">
        <v>1200</v>
      </c>
      <c r="D9" s="11">
        <v>0.28000000000000003</v>
      </c>
      <c r="E9" s="10">
        <f t="shared" ref="E9:E16" si="15">C9/1000</f>
        <v>1.2</v>
      </c>
      <c r="F9" s="10">
        <v>0</v>
      </c>
      <c r="G9" s="10">
        <v>7.0000000000000007E-2</v>
      </c>
      <c r="H9" s="12">
        <f t="shared" ref="H9:H16" si="16">SUM(E9:G9)*D9</f>
        <v>0.35560000000000003</v>
      </c>
      <c r="I9" s="12">
        <f t="shared" ref="I9:I16" si="17">SUM(E9:H9)</f>
        <v>1.6255999999999999</v>
      </c>
      <c r="J9" s="10">
        <f t="shared" si="3"/>
        <v>325.12</v>
      </c>
      <c r="K9" s="10"/>
      <c r="L9" s="10">
        <f t="shared" si="4"/>
        <v>812.8</v>
      </c>
      <c r="M9" s="10"/>
      <c r="N9" s="10">
        <f t="shared" si="5"/>
        <v>1625.6</v>
      </c>
      <c r="O9" s="10"/>
      <c r="P9" s="10"/>
      <c r="Q9" s="28">
        <f t="shared" ref="Q9:Q16" si="18">H9/I9%</f>
        <v>21.875000000000004</v>
      </c>
    </row>
    <row r="10" spans="1:17" x14ac:dyDescent="0.25">
      <c r="A10" s="16">
        <v>45706</v>
      </c>
      <c r="B10" s="2" t="s">
        <v>198</v>
      </c>
      <c r="C10" s="2">
        <v>1400</v>
      </c>
      <c r="D10" s="11">
        <v>0.19600000000000001</v>
      </c>
      <c r="E10" s="2">
        <f t="shared" si="15"/>
        <v>1.4</v>
      </c>
      <c r="F10" s="10">
        <v>0.02</v>
      </c>
      <c r="G10" s="10">
        <v>7.0000000000000007E-2</v>
      </c>
      <c r="H10" s="12">
        <f t="shared" si="16"/>
        <v>0.29204000000000002</v>
      </c>
      <c r="I10" s="12">
        <f t="shared" si="17"/>
        <v>1.7820400000000001</v>
      </c>
      <c r="J10" s="10">
        <f t="shared" ref="J10:J16" si="19">I10*250</f>
        <v>445.51</v>
      </c>
      <c r="K10" s="2"/>
      <c r="L10" s="10">
        <f t="shared" si="4"/>
        <v>891.02</v>
      </c>
      <c r="M10" s="2"/>
      <c r="N10" s="2">
        <f t="shared" si="5"/>
        <v>1782.04</v>
      </c>
      <c r="O10" s="2"/>
      <c r="P10" s="2"/>
      <c r="Q10" s="28">
        <f t="shared" si="18"/>
        <v>16.387959866220736</v>
      </c>
    </row>
    <row r="11" spans="1:17" x14ac:dyDescent="0.25">
      <c r="A11" s="16">
        <v>45729</v>
      </c>
      <c r="B11" s="2" t="s">
        <v>198</v>
      </c>
      <c r="C11" s="2">
        <v>1500</v>
      </c>
      <c r="D11" s="11">
        <v>0.2</v>
      </c>
      <c r="E11" s="2">
        <f t="shared" si="15"/>
        <v>1.5</v>
      </c>
      <c r="F11" s="10">
        <v>0.02</v>
      </c>
      <c r="G11" s="10">
        <v>7.0000000000000007E-2</v>
      </c>
      <c r="H11" s="12">
        <f t="shared" si="16"/>
        <v>0.31800000000000006</v>
      </c>
      <c r="I11" s="12">
        <f t="shared" si="17"/>
        <v>1.9080000000000001</v>
      </c>
      <c r="J11" s="10">
        <f t="shared" si="19"/>
        <v>477.00000000000006</v>
      </c>
      <c r="K11" s="2"/>
      <c r="L11" s="10">
        <f t="shared" si="4"/>
        <v>954.00000000000011</v>
      </c>
      <c r="M11" s="2"/>
      <c r="N11" s="2">
        <f t="shared" si="5"/>
        <v>1908.0000000000002</v>
      </c>
      <c r="O11" s="2"/>
      <c r="P11" s="2"/>
      <c r="Q11" s="28">
        <f t="shared" si="18"/>
        <v>16.666666666666671</v>
      </c>
    </row>
    <row r="12" spans="1:17" x14ac:dyDescent="0.25">
      <c r="A12" s="16">
        <v>45729</v>
      </c>
      <c r="B12" s="2" t="s">
        <v>176</v>
      </c>
      <c r="C12" s="2">
        <v>250</v>
      </c>
      <c r="D12" s="11">
        <v>0.48</v>
      </c>
      <c r="E12" s="2">
        <f t="shared" si="15"/>
        <v>0.25</v>
      </c>
      <c r="F12" s="10">
        <v>0.02</v>
      </c>
      <c r="G12" s="10">
        <v>7.0000000000000007E-2</v>
      </c>
      <c r="H12" s="12">
        <f t="shared" si="16"/>
        <v>0.16320000000000001</v>
      </c>
      <c r="I12" s="12">
        <f t="shared" si="17"/>
        <v>0.50320000000000009</v>
      </c>
      <c r="J12" s="10">
        <f t="shared" si="19"/>
        <v>125.80000000000003</v>
      </c>
      <c r="K12" s="2"/>
      <c r="L12" s="10">
        <f t="shared" si="4"/>
        <v>251.60000000000005</v>
      </c>
      <c r="M12" s="2"/>
      <c r="N12" s="2">
        <f t="shared" si="5"/>
        <v>503.2000000000001</v>
      </c>
      <c r="O12" s="2"/>
      <c r="P12" s="2"/>
      <c r="Q12" s="28">
        <f t="shared" si="18"/>
        <v>32.432432432432428</v>
      </c>
    </row>
    <row r="13" spans="1:17" x14ac:dyDescent="0.25">
      <c r="A13" s="16">
        <v>45729</v>
      </c>
      <c r="B13" s="2" t="s">
        <v>213</v>
      </c>
      <c r="C13" s="2">
        <v>500</v>
      </c>
      <c r="D13" s="11">
        <v>1.21</v>
      </c>
      <c r="E13" s="2">
        <f t="shared" si="15"/>
        <v>0.5</v>
      </c>
      <c r="F13" s="10">
        <v>0.02</v>
      </c>
      <c r="G13" s="10">
        <v>7.0000000000000007E-2</v>
      </c>
      <c r="H13" s="12">
        <f t="shared" si="16"/>
        <v>0.71390000000000009</v>
      </c>
      <c r="I13" s="12">
        <f t="shared" si="17"/>
        <v>1.3039000000000001</v>
      </c>
      <c r="J13" s="10">
        <f t="shared" si="19"/>
        <v>325.97500000000002</v>
      </c>
      <c r="K13" s="2"/>
      <c r="L13" s="10">
        <f t="shared" si="4"/>
        <v>651.95000000000005</v>
      </c>
      <c r="M13" s="2"/>
      <c r="N13" s="2">
        <f t="shared" si="5"/>
        <v>1303.9000000000001</v>
      </c>
      <c r="O13" s="2"/>
      <c r="P13" s="2"/>
      <c r="Q13" s="28">
        <f t="shared" si="18"/>
        <v>54.751131221719461</v>
      </c>
    </row>
    <row r="14" spans="1:17" x14ac:dyDescent="0.25">
      <c r="A14" s="16">
        <v>45741</v>
      </c>
      <c r="B14" s="2" t="s">
        <v>213</v>
      </c>
      <c r="C14" s="2">
        <v>500</v>
      </c>
      <c r="D14" s="11">
        <v>1.21</v>
      </c>
      <c r="E14" s="2">
        <f t="shared" si="15"/>
        <v>0.5</v>
      </c>
      <c r="F14" s="10">
        <v>0.02</v>
      </c>
      <c r="G14" s="10">
        <v>7.0000000000000007E-2</v>
      </c>
      <c r="H14" s="12">
        <f t="shared" si="16"/>
        <v>0.71390000000000009</v>
      </c>
      <c r="I14" s="12">
        <f t="shared" si="17"/>
        <v>1.3039000000000001</v>
      </c>
      <c r="J14" s="10">
        <f t="shared" si="19"/>
        <v>325.97500000000002</v>
      </c>
      <c r="K14" s="2"/>
      <c r="L14" s="10">
        <f t="shared" si="4"/>
        <v>651.95000000000005</v>
      </c>
      <c r="M14" s="2"/>
      <c r="N14" s="2">
        <f t="shared" si="5"/>
        <v>1303.9000000000001</v>
      </c>
      <c r="O14" s="2"/>
      <c r="P14" s="2"/>
      <c r="Q14" s="28">
        <f t="shared" si="18"/>
        <v>54.751131221719461</v>
      </c>
    </row>
    <row r="15" spans="1:17" x14ac:dyDescent="0.25">
      <c r="A15" s="16">
        <v>45763</v>
      </c>
      <c r="B15" s="2" t="s">
        <v>213</v>
      </c>
      <c r="C15" s="2">
        <v>500</v>
      </c>
      <c r="D15" s="11">
        <v>0</v>
      </c>
      <c r="E15" s="2">
        <f t="shared" si="15"/>
        <v>0.5</v>
      </c>
      <c r="F15" s="10">
        <v>0.02</v>
      </c>
      <c r="G15" s="10">
        <v>7.0000000000000007E-2</v>
      </c>
      <c r="H15" s="12">
        <f t="shared" si="16"/>
        <v>0</v>
      </c>
      <c r="I15" s="12">
        <f t="shared" si="17"/>
        <v>0.59000000000000008</v>
      </c>
      <c r="J15" s="10">
        <f t="shared" si="19"/>
        <v>147.50000000000003</v>
      </c>
      <c r="K15" s="2"/>
      <c r="L15" s="2"/>
      <c r="M15" s="2"/>
      <c r="N15" s="2">
        <f t="shared" si="5"/>
        <v>590.00000000000011</v>
      </c>
      <c r="O15" s="2"/>
      <c r="P15" s="2"/>
      <c r="Q15" s="28">
        <f t="shared" si="18"/>
        <v>0</v>
      </c>
    </row>
    <row r="16" spans="1:17" x14ac:dyDescent="0.25">
      <c r="A16" s="16">
        <v>45763</v>
      </c>
      <c r="B16" s="2" t="s">
        <v>176</v>
      </c>
      <c r="C16" s="2">
        <v>300</v>
      </c>
      <c r="D16" s="11">
        <v>0</v>
      </c>
      <c r="E16" s="2">
        <f t="shared" si="15"/>
        <v>0.3</v>
      </c>
      <c r="F16" s="10">
        <v>0.02</v>
      </c>
      <c r="G16" s="10">
        <v>7.0000000000000007E-2</v>
      </c>
      <c r="H16" s="12">
        <f t="shared" si="16"/>
        <v>0</v>
      </c>
      <c r="I16" s="12">
        <f t="shared" si="17"/>
        <v>0.39</v>
      </c>
      <c r="J16" s="10">
        <f t="shared" si="19"/>
        <v>97.5</v>
      </c>
      <c r="K16" s="2"/>
      <c r="L16" s="2"/>
      <c r="M16" s="2"/>
      <c r="N16" s="2">
        <f t="shared" si="5"/>
        <v>390</v>
      </c>
      <c r="O16" s="2"/>
      <c r="P16" s="2"/>
      <c r="Q16" s="28">
        <f t="shared" si="18"/>
        <v>0</v>
      </c>
    </row>
  </sheetData>
  <mergeCells count="3">
    <mergeCell ref="C2:D2"/>
    <mergeCell ref="E2:I2"/>
    <mergeCell ref="J2:N2"/>
  </mergeCells>
  <pageMargins left="0.7" right="0.7" top="0.75" bottom="0.75" header="0.3" footer="0.3"/>
  <ignoredErrors>
    <ignoredError sqref="J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NETT WEIGHT</vt:lpstr>
      <vt:lpstr>GROSS WEIGHT</vt:lpstr>
      <vt:lpstr>MEAT</vt:lpstr>
      <vt:lpstr>PACKAGING COSTS</vt:lpstr>
      <vt:lpstr>DELIVERY COSTS</vt:lpstr>
      <vt:lpstr>Sheet1</vt:lpstr>
      <vt:lpstr>DRY FISH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</dc:creator>
  <cp:lastModifiedBy>Admin</cp:lastModifiedBy>
  <cp:lastPrinted>2024-05-25T11:05:18Z</cp:lastPrinted>
  <dcterms:created xsi:type="dcterms:W3CDTF">2023-10-23T07:45:38Z</dcterms:created>
  <dcterms:modified xsi:type="dcterms:W3CDTF">2025-10-15T06:08:50Z</dcterms:modified>
</cp:coreProperties>
</file>